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보조기기 서비스 상세" state="visible" r:id="rId4"/>
    <sheet sheetId="2" name="제품명" state="visible" r:id="rId5"/>
    <sheet sheetId="3" name="품목명" state="visible" r:id="rId6"/>
  </sheets>
  <definedNames>
    <definedName name="_xlnm._FilterDatabase">'품목명'!$B$3:$D$791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I4" authorId="0">
      <text/>
    </comment>
    <comment ref="O4" authorId="0">
      <text/>
    </comment>
    <comment ref="U6" authorId="0">
      <text/>
    </comment>
    <comment ref="O10" authorId="0">
      <text/>
    </comment>
  </commentList>
</comments>
</file>

<file path=xl/sharedStrings.xml><?xml version="1.0" encoding="utf-8"?>
<sst xmlns="http://schemas.openxmlformats.org/spreadsheetml/2006/main" count="22571" uniqueCount="4635">
  <si>
    <t>2026년</t>
  </si>
  <si>
    <t>목표</t>
  </si>
  <si>
    <t>건</t>
  </si>
  <si>
    <t xml:space="preserve">날짜
(접수일 
기준)</t>
  </si>
  <si>
    <t>연번</t>
  </si>
  <si>
    <t>2026년 접수</t>
  </si>
  <si>
    <t>재접수</t>
  </si>
  <si>
    <t>접수번호</t>
  </si>
  <si>
    <t>이름</t>
  </si>
  <si>
    <t>생년월일</t>
  </si>
  <si>
    <t xml:space="preserve">연령
(입력금지자동완성)</t>
  </si>
  <si>
    <t xml:space="preserve">성별
(입력금지자동완성)</t>
  </si>
  <si>
    <t xml:space="preserve">거주지
(시군구)
-필수</t>
  </si>
  <si>
    <t xml:space="preserve">주
장애유형</t>
  </si>
  <si>
    <t>서비스 분류</t>
  </si>
  <si>
    <t>제품명</t>
  </si>
  <si>
    <t xml:space="preserve">픔목고시
(자동완성)</t>
  </si>
  <si>
    <t xml:space="preserve">서비스 제공 내용
(서비스 상세 내용 작성)</t>
  </si>
  <si>
    <t xml:space="preserve">서비스
영역
(자동완성)</t>
  </si>
  <si>
    <t>보조기기센터 사업</t>
  </si>
  <si>
    <t>서비스진행상황</t>
  </si>
  <si>
    <t xml:space="preserve">그외
(09-25)</t>
  </si>
  <si>
    <t>년도</t>
  </si>
  <si>
    <t>번호</t>
  </si>
  <si>
    <t>보조기기 상담</t>
  </si>
  <si>
    <t>체험지원</t>
  </si>
  <si>
    <t>보조기기 맞춤형 지원</t>
  </si>
  <si>
    <t>교육</t>
  </si>
  <si>
    <t>기타사업</t>
  </si>
  <si>
    <t>주요 사업 외</t>
  </si>
  <si>
    <t>재원연계</t>
  </si>
  <si>
    <t>재원확보</t>
  </si>
  <si>
    <t>사후관리 지원사업</t>
  </si>
  <si>
    <t xml:space="preserve">모니
터링</t>
  </si>
  <si>
    <t xml:space="preserve">의뢰
구분</t>
  </si>
  <si>
    <t>서비스 제공</t>
  </si>
  <si>
    <t xml:space="preserve">종결
여부</t>
  </si>
  <si>
    <t>담당자</t>
  </si>
  <si>
    <t>상담</t>
  </si>
  <si>
    <t>평가</t>
  </si>
  <si>
    <t xml:space="preserve">보조
기기
사용
체험
(구. 시험적용)</t>
  </si>
  <si>
    <t>대여</t>
  </si>
  <si>
    <t xml:space="preserve">맞춤 
제작 
지원</t>
  </si>
  <si>
    <t xml:space="preserve">교부
사업
맞춤형
평가
지원</t>
  </si>
  <si>
    <t xml:space="preserve">이용자
교육</t>
  </si>
  <si>
    <t xml:space="preserve">기타
사업</t>
  </si>
  <si>
    <t xml:space="preserve">정보
제공/
교육 및 훈련</t>
  </si>
  <si>
    <t xml:space="preserve">공적
급여</t>
  </si>
  <si>
    <t xml:space="preserve">민간
급여</t>
  </si>
  <si>
    <t>자부담</t>
  </si>
  <si>
    <t xml:space="preserve">재원
확보시
체크</t>
  </si>
  <si>
    <t>점검 및 수리</t>
  </si>
  <si>
    <t>소독 및 세척</t>
  </si>
  <si>
    <t>재사용</t>
  </si>
  <si>
    <t>유선</t>
  </si>
  <si>
    <t>내방</t>
  </si>
  <si>
    <t xml:space="preserve">방문
(출장)</t>
  </si>
  <si>
    <t>합계</t>
  </si>
  <si>
    <t>-</t>
  </si>
  <si>
    <t>연락처</t>
  </si>
  <si>
    <t>주소</t>
  </si>
  <si>
    <t>2026-01-02</t>
  </si>
  <si>
    <t/>
  </si>
  <si>
    <t>완료</t>
  </si>
  <si>
    <t>김도원</t>
  </si>
  <si>
    <t>2013-08-12</t>
  </si>
  <si>
    <t>남</t>
  </si>
  <si>
    <t>춘천시</t>
  </si>
  <si>
    <t>뇌병변</t>
  </si>
  <si>
    <t>정보제공(주요사업 외)</t>
  </si>
  <si>
    <t>오터목욕의자</t>
  </si>
  <si>
    <t>목욕의자</t>
  </si>
  <si>
    <t>신용카드사회공헌재단 민간지원사업 신청</t>
  </si>
  <si>
    <t>ADL</t>
  </si>
  <si>
    <t>✓</t>
  </si>
  <si>
    <t>지역</t>
  </si>
  <si>
    <t>종결</t>
  </si>
  <si>
    <t>양하나</t>
  </si>
  <si>
    <t>2026-01-07</t>
  </si>
  <si>
    <t>한효리</t>
  </si>
  <si>
    <t>2020-06-11</t>
  </si>
  <si>
    <t>여</t>
  </si>
  <si>
    <t>원주시</t>
  </si>
  <si>
    <t>지체</t>
  </si>
  <si>
    <t>모션큐 이보크</t>
  </si>
  <si>
    <t>침대 및 탈착식 침대 판/전동조절식 매트리스 지지단 (전동 침대)</t>
  </si>
  <si>
    <t>2026-01-13</t>
  </si>
  <si>
    <t>조유나</t>
  </si>
  <si>
    <t>2019-12-03</t>
  </si>
  <si>
    <t>파이퍼 유모차형휠체어</t>
  </si>
  <si>
    <t>유모차형 이동보조기기</t>
  </si>
  <si>
    <t>WC</t>
  </si>
  <si>
    <t>2026-01-14</t>
  </si>
  <si>
    <t>미정</t>
  </si>
  <si>
    <t>김강민</t>
  </si>
  <si>
    <t>2016-10-04</t>
  </si>
  <si>
    <t>오터 목욕의자(중)</t>
  </si>
  <si>
    <t>목욕 의자</t>
  </si>
  <si>
    <t>오터 목욕의자 / 6개월</t>
  </si>
  <si>
    <t>심채연</t>
  </si>
  <si>
    <t>2026-01-15</t>
  </si>
  <si>
    <t>김경아</t>
  </si>
  <si>
    <t>1976-09-13</t>
  </si>
  <si>
    <t>지팡이</t>
  </si>
  <si>
    <t>지팡이 / 6개월</t>
  </si>
  <si>
    <t>2026-01-19</t>
  </si>
  <si>
    <t>장상윤</t>
  </si>
  <si>
    <t>1957-09-06</t>
  </si>
  <si>
    <t>맞춤 제작 지원</t>
  </si>
  <si>
    <t>조이스틱</t>
  </si>
  <si>
    <t>-(휠체어 액세서리)</t>
  </si>
  <si>
    <t>전동휠체어 조이스틱</t>
  </si>
  <si>
    <t>송근필</t>
  </si>
  <si>
    <t>2026-01-20</t>
  </si>
  <si>
    <t>김애라</t>
  </si>
  <si>
    <t>1962-10-27</t>
  </si>
  <si>
    <t>청각</t>
  </si>
  <si>
    <t>교부사업 맞춤형 평가</t>
  </si>
  <si>
    <t>진동시계</t>
  </si>
  <si>
    <t>진동시계/ 적합</t>
  </si>
  <si>
    <t>S</t>
  </si>
  <si>
    <t>연계</t>
  </si>
  <si>
    <t>조선희</t>
  </si>
  <si>
    <t>1966-04-24</t>
  </si>
  <si>
    <t>전동침대</t>
  </si>
  <si>
    <t>전동침대/취소</t>
  </si>
  <si>
    <t>김태희</t>
  </si>
  <si>
    <t>2015-10-11</t>
  </si>
  <si>
    <t>캐롯카시트</t>
  </si>
  <si>
    <t>차량 내 착석을 위한 좌석과 방석, 액세서리, 개조용품</t>
  </si>
  <si>
    <t>AM</t>
  </si>
  <si>
    <t>2026-01-21</t>
  </si>
  <si>
    <t>이찬섭</t>
  </si>
  <si>
    <t>1961-10-16</t>
  </si>
  <si>
    <t>수동휠체어</t>
  </si>
  <si>
    <t>일반형 수동휠체어(양 손 추진 휠체어)</t>
  </si>
  <si>
    <t>수동휠체어 / 6개월</t>
  </si>
  <si>
    <t>박동재</t>
  </si>
  <si>
    <t>1994-03-07</t>
  </si>
  <si>
    <t>수동휠체어 재사용 지원</t>
  </si>
  <si>
    <t>2026-01-22</t>
  </si>
  <si>
    <t>2025-10-11</t>
  </si>
  <si>
    <t>EY한영 장애아동청소년 민간지원사업 신청</t>
  </si>
  <si>
    <t>신인준</t>
  </si>
  <si>
    <t>1966-10-13</t>
  </si>
  <si>
    <t>EY한영 민간지원사업 신청</t>
  </si>
  <si>
    <t>2026-01-24</t>
  </si>
  <si>
    <t>안홍태</t>
  </si>
  <si>
    <t>1967-04-21</t>
  </si>
  <si>
    <t>강릉시</t>
  </si>
  <si>
    <t>수동휠체어  / 6개월</t>
  </si>
  <si>
    <t>2026-01-28</t>
  </si>
  <si>
    <t>이근수</t>
  </si>
  <si>
    <t>1968-03-01</t>
  </si>
  <si>
    <t>2026-01-30</t>
  </si>
  <si>
    <t>전기택</t>
  </si>
  <si>
    <t>1964-03-04</t>
  </si>
  <si>
    <t>목욕의자/적합</t>
  </si>
  <si>
    <t>박호연</t>
  </si>
  <si>
    <t>1979-04-27</t>
  </si>
  <si>
    <t>박영희</t>
  </si>
  <si>
    <t>1957-03-11</t>
  </si>
  <si>
    <t>2026-02-01</t>
  </si>
  <si>
    <t>김다영</t>
  </si>
  <si>
    <t>2004-02-09</t>
  </si>
  <si>
    <t>철원군</t>
  </si>
  <si>
    <t>장애인용유모차</t>
  </si>
  <si>
    <t>빙고 / 6개월</t>
  </si>
  <si>
    <t>2026-02-02</t>
  </si>
  <si>
    <t>권춘자</t>
  </si>
  <si>
    <t>1937-07-02</t>
  </si>
  <si>
    <t>장기요양</t>
  </si>
  <si>
    <t>ASH-201</t>
  </si>
  <si>
    <t>고정형 손잡이와 핸드그립</t>
  </si>
  <si>
    <t>ASH-201 / 6개월</t>
  </si>
  <si>
    <t>2026-02-03</t>
  </si>
  <si>
    <t>조재명</t>
  </si>
  <si>
    <t>1951-12-09</t>
  </si>
  <si>
    <t>홍천군</t>
  </si>
  <si>
    <t>시각</t>
  </si>
  <si>
    <t>리보3S</t>
  </si>
  <si>
    <t>키보드</t>
  </si>
  <si>
    <t>리보3S / 적합</t>
  </si>
  <si>
    <t>CA</t>
  </si>
  <si>
    <t>최윤석</t>
  </si>
  <si>
    <t>1973-04-13</t>
  </si>
  <si>
    <t>랩보드</t>
  </si>
  <si>
    <t>휠체어용 무릎받침대</t>
  </si>
  <si>
    <t>랩보드(취소)</t>
  </si>
  <si>
    <t>SP</t>
  </si>
  <si>
    <t>윤성광</t>
  </si>
  <si>
    <t>1993-05-05</t>
  </si>
  <si>
    <t>보치아경기용세트</t>
  </si>
  <si>
    <t>팀 구기 스포츠용 보조기기</t>
  </si>
  <si>
    <t>보치아용 푸셔</t>
  </si>
  <si>
    <t>L</t>
  </si>
  <si>
    <t>김시영</t>
  </si>
  <si>
    <t>2026-02-04</t>
  </si>
  <si>
    <t>김종길</t>
  </si>
  <si>
    <t>1958-06-05</t>
  </si>
  <si>
    <t>휠체어용 우산거치대</t>
  </si>
  <si>
    <t>수동휠체어 우산꽃이</t>
  </si>
  <si>
    <t>2026-02-05</t>
  </si>
  <si>
    <t>이용기</t>
  </si>
  <si>
    <t>1981-09-11</t>
  </si>
  <si>
    <t>속초시</t>
  </si>
  <si>
    <t>안전손잡이</t>
  </si>
  <si>
    <t>안전손잡이 / 취소</t>
  </si>
  <si>
    <t>김혜경</t>
  </si>
  <si>
    <t>1975-04-13</t>
  </si>
  <si>
    <t>AFM-06</t>
  </si>
  <si>
    <t>목욕용 미끄럼 방지용품</t>
  </si>
  <si>
    <t>AFM-06 / 적합</t>
  </si>
  <si>
    <t>박광종</t>
  </si>
  <si>
    <t>1964-02-15</t>
  </si>
  <si>
    <t>DGP-0002</t>
  </si>
  <si>
    <t>DGP-0002 / 변경</t>
  </si>
  <si>
    <t>조지영</t>
  </si>
  <si>
    <t>1977-01-11</t>
  </si>
  <si>
    <t>유모차형이동보조기기 / 부적합</t>
  </si>
  <si>
    <t>2026-02-09</t>
  </si>
  <si>
    <t>이상기</t>
  </si>
  <si>
    <t>1957-09-09</t>
  </si>
  <si>
    <t>수동휠체어 랩보드</t>
  </si>
  <si>
    <t>이시훈</t>
  </si>
  <si>
    <t>2007-12-04</t>
  </si>
  <si>
    <t>한손키보드</t>
  </si>
  <si>
    <t>2026-02-12</t>
  </si>
  <si>
    <t>이유영</t>
  </si>
  <si>
    <t>1959-08-26</t>
  </si>
  <si>
    <t>삼척시</t>
  </si>
  <si>
    <t>소변수집장치</t>
  </si>
  <si>
    <t>소변 수집 장치</t>
  </si>
  <si>
    <t>소변수집장치 / 적합</t>
  </si>
  <si>
    <t>이칠홍</t>
  </si>
  <si>
    <t>1937-07-16</t>
  </si>
  <si>
    <t>전동침대 / 취소</t>
  </si>
  <si>
    <t>이지숙</t>
  </si>
  <si>
    <t>1973-06-09</t>
  </si>
  <si>
    <t>WS900</t>
  </si>
  <si>
    <t>전동침대 / 적합</t>
  </si>
  <si>
    <t>2026-02-13</t>
  </si>
  <si>
    <t>권수미</t>
  </si>
  <si>
    <t>2012-12-27</t>
  </si>
  <si>
    <t>보조기기 사용 체험</t>
  </si>
  <si>
    <t>3점압 모듈러 이너</t>
  </si>
  <si>
    <t>자세보조용구</t>
  </si>
  <si>
    <t>3점압 모듈러 이너 체험</t>
  </si>
  <si>
    <t>이지오토앵글데스크</t>
  </si>
  <si>
    <t>독서용탁자, 책상 및 기립형 책상</t>
  </si>
  <si>
    <t>2026-02-19</t>
  </si>
  <si>
    <t>박명자</t>
  </si>
  <si>
    <t>1946-07-07</t>
  </si>
  <si>
    <t>기립훈련기</t>
  </si>
  <si>
    <t>기립틀 및 기립을 위한 지지대(기립훈련기)</t>
  </si>
  <si>
    <t>기립훈련기 체험</t>
  </si>
  <si>
    <t>SP, ADL</t>
  </si>
  <si>
    <t>정무영</t>
  </si>
  <si>
    <t>2019-06-11</t>
  </si>
  <si>
    <t>고성군</t>
  </si>
  <si>
    <t>2026-02-20</t>
  </si>
  <si>
    <t>우이서</t>
  </si>
  <si>
    <t>2020-07-09</t>
  </si>
  <si>
    <t>2026-02-23</t>
  </si>
  <si>
    <t>슈트케이스 AS02피트</t>
  </si>
  <si>
    <t>휴대용 경사로</t>
  </si>
  <si>
    <t>슈트케이스 AS02피트 / 6개월</t>
  </si>
  <si>
    <t>EC</t>
  </si>
  <si>
    <t>2026-02-25</t>
  </si>
  <si>
    <t>정은희</t>
  </si>
  <si>
    <t>1978-03-03</t>
  </si>
  <si>
    <t>리보탭</t>
  </si>
  <si>
    <t>영상 확대 시스템</t>
  </si>
  <si>
    <t>리보탭 / 적합</t>
  </si>
  <si>
    <t>임대현</t>
  </si>
  <si>
    <t>1992-11-23</t>
  </si>
  <si>
    <t>/ 적합</t>
  </si>
  <si>
    <t>장둘남</t>
  </si>
  <si>
    <t>1967-11-01</t>
  </si>
  <si>
    <t>CSH-5000</t>
  </si>
  <si>
    <t>독립형 변기 팔 지지대 및 등 지지대</t>
  </si>
  <si>
    <t>CSH-5000 / 적합</t>
  </si>
  <si>
    <t>2026-02-26</t>
  </si>
  <si>
    <t>배태랑</t>
  </si>
  <si>
    <t>2019-08-26</t>
  </si>
  <si>
    <t>인제군</t>
  </si>
  <si>
    <t>발달</t>
  </si>
  <si>
    <t>토커블4</t>
  </si>
  <si>
    <t>대화용 장치</t>
  </si>
  <si>
    <t>토커블4 / 6개월</t>
  </si>
  <si>
    <t>AAC</t>
  </si>
  <si>
    <t>2026-02-27</t>
  </si>
  <si>
    <t>최현철</t>
  </si>
  <si>
    <t>1939-03-15</t>
  </si>
  <si>
    <t>2026-03-03</t>
  </si>
  <si>
    <t>한지율</t>
  </si>
  <si>
    <t>2024-06-12</t>
  </si>
  <si>
    <t>전방기립훈련기 체험</t>
  </si>
  <si>
    <t>진현호</t>
  </si>
  <si>
    <t>1983-02-12</t>
  </si>
  <si>
    <t>2026-03-04</t>
  </si>
  <si>
    <t>권채빈</t>
  </si>
  <si>
    <t>2004-05-17</t>
  </si>
  <si>
    <t>plus shower M-1</t>
  </si>
  <si>
    <t>plus shower M-1 / 적합</t>
  </si>
  <si>
    <t>2026-03-05</t>
  </si>
  <si>
    <t>송연준</t>
  </si>
  <si>
    <t>1993-04-25</t>
  </si>
  <si>
    <t>2026-03-10</t>
  </si>
  <si>
    <t>이모희</t>
  </si>
  <si>
    <t>1973-11-24</t>
  </si>
  <si>
    <t>영월군</t>
  </si>
  <si>
    <t>올캠 마이리더 SE</t>
  </si>
  <si>
    <t>OCR 장치 및 OCR 소프트웨어 (문자판독기)</t>
  </si>
  <si>
    <t>올캠 마이리더 SE 정보제공</t>
  </si>
  <si>
    <t>배정운</t>
  </si>
  <si>
    <t>1962-12-23</t>
  </si>
  <si>
    <t>WS9550</t>
  </si>
  <si>
    <t>WS9550 / 적합</t>
  </si>
  <si>
    <t>김하민</t>
  </si>
  <si>
    <t>2005-08-05</t>
  </si>
  <si>
    <t>피더시트</t>
  </si>
  <si>
    <t>바닥 특수 앉기 자세유지용 장치</t>
  </si>
  <si>
    <t>취소</t>
  </si>
  <si>
    <t>유양희</t>
  </si>
  <si>
    <t>1962-10-22</t>
  </si>
  <si>
    <t>CA8860L</t>
  </si>
  <si>
    <t>-(양팔 조작형 보행용 보조기기)</t>
  </si>
  <si>
    <t>CA8860L / 적합</t>
  </si>
  <si>
    <t>2026-03-12</t>
  </si>
  <si>
    <t>신재용</t>
  </si>
  <si>
    <t>1961-02-23</t>
  </si>
  <si>
    <t>슈트케이스SFAS02</t>
  </si>
  <si>
    <t>슈트케이스SFAS02 / 적합</t>
  </si>
  <si>
    <t>박상철</t>
  </si>
  <si>
    <t>1962-10-02</t>
  </si>
  <si>
    <t>SW-M260</t>
  </si>
  <si>
    <t>미끄럼 방지용품</t>
  </si>
  <si>
    <t>SW-M260 / 적합</t>
  </si>
  <si>
    <t>원현수</t>
  </si>
  <si>
    <t>1985-07-22</t>
  </si>
  <si>
    <t>전동칫솔</t>
  </si>
  <si>
    <t>전동 칫솔</t>
  </si>
  <si>
    <t>이창하</t>
  </si>
  <si>
    <t>최하연</t>
  </si>
  <si>
    <t>2011-02-17</t>
  </si>
  <si>
    <t>유모차형휠체어</t>
  </si>
  <si>
    <t>정예준</t>
  </si>
  <si>
    <t>2018-09-15</t>
  </si>
  <si>
    <t>토마토피더시트</t>
  </si>
  <si>
    <t>토마토피더시트 / 6개월</t>
  </si>
  <si>
    <t>2026-03-16</t>
  </si>
  <si>
    <t>우드베니어 모션데스크</t>
  </si>
  <si>
    <t>독서용 탁자, 책상 및 기립형 책상</t>
  </si>
  <si>
    <t>우드베니어 모션데스크 / 적합</t>
  </si>
  <si>
    <t>임무빈</t>
  </si>
  <si>
    <t>1940-10-23</t>
  </si>
  <si>
    <t>이종명</t>
  </si>
  <si>
    <t>1979-02-15</t>
  </si>
  <si>
    <t>센스리더 베이직</t>
  </si>
  <si>
    <t>텍스트 음성 변환(TTS) 장치 및 소프트웨어</t>
  </si>
  <si>
    <t>센스리더 베이직 / 적합</t>
  </si>
  <si>
    <t>2026-03-17</t>
  </si>
  <si>
    <t>김광희</t>
  </si>
  <si>
    <t>1946-07-19</t>
  </si>
  <si>
    <t>하티오아이</t>
  </si>
  <si>
    <t>부적합</t>
  </si>
  <si>
    <t>박혜숙</t>
  </si>
  <si>
    <t>1953-09-07</t>
  </si>
  <si>
    <t>슬라이딩보드</t>
  </si>
  <si>
    <t>미끄럼 및 회전을 위한 보조기기</t>
  </si>
  <si>
    <t>정보제공</t>
  </si>
  <si>
    <t>김형준</t>
  </si>
  <si>
    <t>1981-07-30</t>
  </si>
  <si>
    <t>MSH-505</t>
  </si>
  <si>
    <t>MSH-505 / 적합</t>
  </si>
  <si>
    <t>여운일</t>
  </si>
  <si>
    <t>1964-05-09</t>
  </si>
  <si>
    <t>2026-03-18</t>
  </si>
  <si>
    <t>김영래</t>
  </si>
  <si>
    <t>1985-07-07</t>
  </si>
  <si>
    <t>독서확대기</t>
  </si>
  <si>
    <t>심재진</t>
  </si>
  <si>
    <t>1970-03-21</t>
  </si>
  <si>
    <t>2026-03-20</t>
  </si>
  <si>
    <t>추옥화</t>
  </si>
  <si>
    <t>1948-03-20</t>
  </si>
  <si>
    <t>화천군</t>
  </si>
  <si>
    <t>워커 바구니</t>
  </si>
  <si>
    <t>롤레이터(보행차)</t>
  </si>
  <si>
    <t>워커 바구니 제작</t>
  </si>
  <si>
    <t>전경화</t>
  </si>
  <si>
    <t>1972-01-16</t>
  </si>
  <si>
    <t>포크 보조기기</t>
  </si>
  <si>
    <t>음식섭취 보조기기</t>
  </si>
  <si>
    <t>2026-03-24</t>
  </si>
  <si>
    <t>이성근</t>
  </si>
  <si>
    <t>1964-08-17</t>
  </si>
  <si>
    <t>동해시</t>
  </si>
  <si>
    <t>하티오아이 v1.10 / 적합</t>
  </si>
  <si>
    <t>조순태</t>
  </si>
  <si>
    <t>1944-08-20</t>
  </si>
  <si>
    <t>코지워커P02</t>
  </si>
  <si>
    <t>코지워커P02 / 적합</t>
  </si>
  <si>
    <t>이강우</t>
  </si>
  <si>
    <t>1975-03-09</t>
  </si>
  <si>
    <t>2026-03-26</t>
  </si>
  <si>
    <t>정호원</t>
  </si>
  <si>
    <t>1986-02-12</t>
  </si>
  <si>
    <t>휠체어</t>
  </si>
  <si>
    <t>#N/A</t>
  </si>
  <si>
    <t>보치아 볼트레이</t>
  </si>
  <si>
    <t>탁충열</t>
  </si>
  <si>
    <t>1969-04-16</t>
  </si>
  <si>
    <t>SS-1000</t>
  </si>
  <si>
    <t>SS-1000 / 적합</t>
  </si>
  <si>
    <t>장희정</t>
  </si>
  <si>
    <t>1969-01-25</t>
  </si>
  <si>
    <t>이아름</t>
  </si>
  <si>
    <t>1994-09-21</t>
  </si>
  <si>
    <t>WS9550 / 추가</t>
  </si>
  <si>
    <t>김준형</t>
  </si>
  <si>
    <t>1979-05-31</t>
  </si>
  <si>
    <t>ASC-10</t>
  </si>
  <si>
    <t>ASC-10 / 적합</t>
  </si>
  <si>
    <t>미뇽</t>
  </si>
  <si>
    <t>미뇽 / 6개월</t>
  </si>
  <si>
    <t>2026-03-27</t>
  </si>
  <si>
    <t>임찬후</t>
  </si>
  <si>
    <t>2020-06-22</t>
  </si>
  <si>
    <t>전방기립훈련기</t>
  </si>
  <si>
    <t>코지프론스탠더 / 6개월</t>
  </si>
  <si>
    <t>김미자</t>
  </si>
  <si>
    <t>1963-06-21</t>
  </si>
  <si>
    <t>휠체어컵홀더</t>
  </si>
  <si>
    <t>물건을 고정 또는 옮기기 위하여 보행 보조기기에 부착되는 액세서리</t>
  </si>
  <si>
    <t>지역센터의뢰 보조기기정보제공</t>
  </si>
  <si>
    <t>김옥향</t>
  </si>
  <si>
    <t>1947-02-03</t>
  </si>
  <si>
    <t>KCS-303</t>
  </si>
  <si>
    <t>KCS-303 / 6개월</t>
  </si>
  <si>
    <t>입시유모차</t>
  </si>
  <si>
    <t>현대모비스 지원사업 신청</t>
  </si>
  <si>
    <t>2026-03-31</t>
  </si>
  <si>
    <t>변다온</t>
  </si>
  <si>
    <t>2021-04-12</t>
  </si>
  <si>
    <t>코지수파인스탠더</t>
  </si>
  <si>
    <t>안지유</t>
  </si>
  <si>
    <t>2016-08-30</t>
  </si>
  <si>
    <t>다기능높낮이조절책상</t>
  </si>
  <si>
    <t>최민슬</t>
  </si>
  <si>
    <t>2021-06-29</t>
  </si>
  <si>
    <t>LV전방전동기립스탠더</t>
  </si>
  <si>
    <t>조예샘</t>
  </si>
  <si>
    <t>2017-04-09</t>
  </si>
  <si>
    <t>레스트웨건2</t>
  </si>
  <si>
    <t>이다온</t>
  </si>
  <si>
    <t>2019-03-23</t>
  </si>
  <si>
    <t>LV체형복원이너</t>
  </si>
  <si>
    <t>전소윤</t>
  </si>
  <si>
    <t>2023-09-01</t>
  </si>
  <si>
    <t>모션큐 이보크 1100</t>
  </si>
  <si>
    <t>엄영섭</t>
  </si>
  <si>
    <t>1971-05-30</t>
  </si>
  <si>
    <t>ws900</t>
  </si>
  <si>
    <t>교부사업 적합</t>
  </si>
  <si>
    <t>2026-04-07</t>
  </si>
  <si>
    <t>휠체어 컵홀더</t>
  </si>
  <si>
    <t>2026-04-08</t>
  </si>
  <si>
    <t>윤희구자</t>
  </si>
  <si>
    <t>자동소변수집장치(여성)</t>
  </si>
  <si>
    <t>남청자</t>
  </si>
  <si>
    <t>1944-09-27</t>
  </si>
  <si>
    <t>경사로</t>
  </si>
  <si>
    <t>경사로 제작</t>
  </si>
  <si>
    <t>원분남</t>
  </si>
  <si>
    <t>1952-09-04</t>
  </si>
  <si>
    <t>BOFEEL11</t>
  </si>
  <si>
    <t>BOFEEL11 / 적합</t>
  </si>
  <si>
    <t>이장환</t>
  </si>
  <si>
    <t>1959-09-17</t>
  </si>
  <si>
    <t>티앤피 캐노피</t>
  </si>
  <si>
    <t>티앤피 캐노피 / 적합</t>
  </si>
  <si>
    <t>신오균</t>
  </si>
  <si>
    <t>1975-09-10</t>
  </si>
  <si>
    <t>MTSR-860</t>
  </si>
  <si>
    <t>MTSR-860 / 적합</t>
  </si>
  <si>
    <t>신유진</t>
  </si>
  <si>
    <t>1974-07-12</t>
  </si>
  <si>
    <t>주대중</t>
  </si>
  <si>
    <t>1975-06-05</t>
  </si>
  <si>
    <t>황태현</t>
  </si>
  <si>
    <t>1972-09-13</t>
  </si>
  <si>
    <t>OCR장치</t>
  </si>
  <si>
    <t>김형주</t>
  </si>
  <si>
    <t>1980-01-27</t>
  </si>
  <si>
    <t>환경제어장치</t>
  </si>
  <si>
    <t>조명 제어용 보조기기</t>
  </si>
  <si>
    <t>오봉순</t>
  </si>
  <si>
    <t>1930-03-19</t>
  </si>
  <si>
    <t>송영복</t>
  </si>
  <si>
    <t>1971-01-28</t>
  </si>
  <si>
    <t>이하임</t>
  </si>
  <si>
    <t>2012-11-23</t>
  </si>
  <si>
    <t>WRB</t>
  </si>
  <si>
    <t>WRB 사용체험</t>
  </si>
  <si>
    <t>2026-04-09</t>
  </si>
  <si>
    <t>WRB / 6개월</t>
  </si>
  <si>
    <t>김순례</t>
  </si>
  <si>
    <t>1967-06-15</t>
  </si>
  <si>
    <t>휠체어용 고정벨트</t>
  </si>
  <si>
    <t>휠체어 액세서리 / 적합</t>
  </si>
  <si>
    <t>2026-04-10</t>
  </si>
  <si>
    <t>이순미</t>
  </si>
  <si>
    <t>1971-05-05</t>
  </si>
  <si>
    <t>정선군</t>
  </si>
  <si>
    <t>2026-04-14</t>
  </si>
  <si>
    <t>이영정</t>
  </si>
  <si>
    <t>1969-01-17</t>
  </si>
  <si>
    <t>모션큐 이보크1100</t>
  </si>
  <si>
    <t>모션큐 이보크 1100 / 적합</t>
  </si>
  <si>
    <t>김동수</t>
  </si>
  <si>
    <t>1980-12-23</t>
  </si>
  <si>
    <t>에렉투스 모션데스크</t>
  </si>
  <si>
    <t>에렉투스 모션데스크 / 적합</t>
  </si>
  <si>
    <t>김태양</t>
  </si>
  <si>
    <t>1967-08-04</t>
  </si>
  <si>
    <t>WS9311 / 적합</t>
  </si>
  <si>
    <t>2026-04-15</t>
  </si>
  <si>
    <t>신청 취소</t>
  </si>
  <si>
    <t>2026-04-16</t>
  </si>
  <si>
    <t>강선오</t>
  </si>
  <si>
    <t>1960-11-11</t>
  </si>
  <si>
    <t>횡성군</t>
  </si>
  <si>
    <t>클로버10HD</t>
  </si>
  <si>
    <t>클로버10</t>
  </si>
  <si>
    <t>반성훈</t>
  </si>
  <si>
    <t>1996-07-29</t>
  </si>
  <si>
    <t>전동휠체어</t>
  </si>
  <si>
    <t>전동 휠체어 (전동 조향식 전동 휠체어)</t>
  </si>
  <si>
    <t>2026-04-20</t>
  </si>
  <si>
    <t>서경자</t>
  </si>
  <si>
    <t>1962-10-17</t>
  </si>
  <si>
    <t>이승익</t>
  </si>
  <si>
    <t>김형위</t>
  </si>
  <si>
    <t>1973-12-31</t>
  </si>
  <si>
    <t>이춘배</t>
  </si>
  <si>
    <t>양구군</t>
  </si>
  <si>
    <t>1983-01-12</t>
  </si>
  <si>
    <t>정범태</t>
  </si>
  <si>
    <t>1958-06-18</t>
  </si>
  <si>
    <t>곽수언</t>
  </si>
  <si>
    <t>1956-08-10</t>
  </si>
  <si>
    <t>정용빈</t>
  </si>
  <si>
    <t>1990-05-23</t>
  </si>
  <si>
    <t>박서인</t>
  </si>
  <si>
    <t>2022-10-15</t>
  </si>
  <si>
    <t>신중범</t>
  </si>
  <si>
    <t>1964-03-24</t>
  </si>
  <si>
    <t>왕석현</t>
  </si>
  <si>
    <t>1972-04-19</t>
  </si>
  <si>
    <t>전동휠체어 랩보드</t>
  </si>
  <si>
    <t>노동억</t>
  </si>
  <si>
    <t>2026-04-23</t>
  </si>
  <si>
    <t>김승아</t>
  </si>
  <si>
    <t>숟가락보조기기</t>
  </si>
  <si>
    <t>숟가락 손잡이</t>
  </si>
  <si>
    <t>유명자</t>
  </si>
  <si>
    <t>1940-09-08</t>
  </si>
  <si>
    <t>문선경</t>
  </si>
  <si>
    <t>김의서</t>
  </si>
  <si>
    <t>진아영</t>
  </si>
  <si>
    <t>전용주</t>
  </si>
  <si>
    <t>현관문턱 경사로</t>
  </si>
  <si>
    <t>박옥순</t>
  </si>
  <si>
    <t>전성표</t>
  </si>
  <si>
    <t>1967-03-05</t>
  </si>
  <si>
    <t>이재은</t>
  </si>
  <si>
    <t>핸드쿠션</t>
  </si>
  <si>
    <t>손 보조기</t>
  </si>
  <si>
    <t>1955-02-20</t>
  </si>
  <si>
    <t>정성삼</t>
  </si>
  <si>
    <t>1969-01-11</t>
  </si>
  <si>
    <t>수동 휠체어</t>
  </si>
  <si>
    <t>정승호</t>
  </si>
  <si>
    <t>1965-04-25</t>
  </si>
  <si>
    <t>지적</t>
  </si>
  <si>
    <t>워커</t>
  </si>
  <si>
    <t>지역센터 연계대상자</t>
  </si>
  <si>
    <t>2026-04-27</t>
  </si>
  <si>
    <t>김성용</t>
  </si>
  <si>
    <t>1975-01-06</t>
  </si>
  <si>
    <t>손톱깎이거치대</t>
  </si>
  <si>
    <t>손톡깎이거치대</t>
  </si>
  <si>
    <t>김흥옥</t>
  </si>
  <si>
    <t>1958-02-12</t>
  </si>
  <si>
    <t>호흡기</t>
  </si>
  <si>
    <t>NSBS-4WAY88</t>
  </si>
  <si>
    <t>욕창예방 방석(피부 손상방지용 방석 및 깔개)</t>
  </si>
  <si>
    <t>NSBS-4WAY88 / 적합</t>
  </si>
  <si>
    <t>2026-04-29</t>
  </si>
  <si>
    <t>김석원</t>
  </si>
  <si>
    <t>1954-10-28</t>
  </si>
  <si>
    <t>박금녀</t>
  </si>
  <si>
    <t>1947-09-20</t>
  </si>
  <si>
    <t>하하3</t>
  </si>
  <si>
    <t>소리증폭기</t>
  </si>
  <si>
    <t>하하3 / 변경</t>
  </si>
  <si>
    <t>지옥춘</t>
  </si>
  <si>
    <t>1937-06-09</t>
  </si>
  <si>
    <t>황재남</t>
  </si>
  <si>
    <t>1952-12-30</t>
  </si>
  <si>
    <t>서대성</t>
  </si>
  <si>
    <t>1968-10-03</t>
  </si>
  <si>
    <t>전제우</t>
  </si>
  <si>
    <t>1963-04-02</t>
  </si>
  <si>
    <t>최규상</t>
  </si>
  <si>
    <t>1960-03-26</t>
  </si>
  <si>
    <t>최병춘</t>
  </si>
  <si>
    <t>1938-06-05</t>
  </si>
  <si>
    <t>RAM-B-400-417</t>
  </si>
  <si>
    <t>2026-04-30</t>
  </si>
  <si>
    <t>안효운</t>
  </si>
  <si>
    <t>1971-10-28</t>
  </si>
  <si>
    <t>송인자</t>
  </si>
  <si>
    <t>1947-11-05</t>
  </si>
  <si>
    <t>문병남</t>
  </si>
  <si>
    <t>1949-04-30</t>
  </si>
  <si>
    <t>이영자</t>
  </si>
  <si>
    <t>1937-04-29</t>
  </si>
  <si>
    <t>윤옥연</t>
  </si>
  <si>
    <t>1936-01-29</t>
  </si>
  <si>
    <t>BFMB8</t>
  </si>
  <si>
    <t>이동변기(변기 겸용 의자)</t>
  </si>
  <si>
    <t>이동변기 / 적합</t>
  </si>
  <si>
    <t>남시준</t>
  </si>
  <si>
    <t>1986-01-15</t>
  </si>
  <si>
    <t>책마루3</t>
  </si>
  <si>
    <t>DAISY 플레이어 및 전자책 리더</t>
  </si>
  <si>
    <t>책마루 / 적합</t>
  </si>
  <si>
    <t>신성철</t>
  </si>
  <si>
    <t>1960-03-20</t>
  </si>
  <si>
    <t>김준</t>
  </si>
  <si>
    <t>1981-06-21</t>
  </si>
  <si>
    <t>미결</t>
  </si>
  <si>
    <t>550220-1</t>
  </si>
  <si>
    <t xml:space="preserve">수동 휠체어 </t>
  </si>
  <si>
    <t>010-6391-7683</t>
  </si>
  <si>
    <t>동면 소양강로100, 108동 1506호</t>
  </si>
  <si>
    <t xml:space="preserve">지역센터 연계대상자 </t>
  </si>
  <si>
    <t>정보</t>
  </si>
  <si>
    <t>010-3357-8968(보호자)</t>
  </si>
  <si>
    <t>후석로228번길 47, 303동 1410호</t>
  </si>
  <si>
    <t>010-6210-3283</t>
  </si>
  <si>
    <t>효자동 양우아파트 105동 706호</t>
  </si>
  <si>
    <t>580212-2</t>
  </si>
  <si>
    <t xml:space="preserve"> NSBS-4WAY88 / 적합</t>
  </si>
  <si>
    <t>010-2168-8228</t>
  </si>
  <si>
    <t>정선군 고한읍 함백산로 1454-36, 4동 106호</t>
  </si>
  <si>
    <t>541028-1</t>
  </si>
  <si>
    <t>470920-2</t>
  </si>
  <si>
    <t>010-4145-7089</t>
  </si>
  <si>
    <t>정선군 고한읍 고토일길 15-35</t>
  </si>
  <si>
    <t>370609-2</t>
  </si>
  <si>
    <t>521230-2</t>
  </si>
  <si>
    <t>681003-1</t>
  </si>
  <si>
    <t>630402-1</t>
  </si>
  <si>
    <t>600326-1</t>
  </si>
  <si>
    <t>380605-1</t>
  </si>
  <si>
    <t>930505-1</t>
  </si>
  <si>
    <t>010-4876-1011</t>
  </si>
  <si>
    <t xml:space="preserve">춘천시 춘천로 188, 503호 </t>
  </si>
  <si>
    <t>710505-2</t>
  </si>
  <si>
    <t>711028-1</t>
  </si>
  <si>
    <t>471105-2</t>
  </si>
  <si>
    <t>490430-1</t>
  </si>
  <si>
    <t>370429-2</t>
  </si>
  <si>
    <t>360129-2</t>
  </si>
  <si>
    <t>010-7556-1032</t>
  </si>
  <si>
    <t>정선군 정선읍 녹송5길 10</t>
  </si>
  <si>
    <t>860115-1</t>
  </si>
  <si>
    <t>010-4301-0115</t>
  </si>
  <si>
    <t>정선군 정선읍 봉양7길 52, 다동 303호 (삼우주택)</t>
  </si>
  <si>
    <t>600320-1</t>
  </si>
  <si>
    <t>810621-1</t>
  </si>
  <si>
    <t>ㅋ</t>
  </si>
  <si>
    <t>사업명</t>
  </si>
  <si>
    <t>대분류</t>
  </si>
  <si>
    <t>중분류</t>
  </si>
  <si>
    <t>소분류</t>
  </si>
  <si>
    <t>보조기기 명(기관에서 받은거)</t>
  </si>
  <si>
    <t xml:space="preserve"> 전동스쿠터 우비 G2</t>
  </si>
  <si>
    <t>기타(미등록 보조기기)</t>
  </si>
  <si>
    <t>-(의류 및 신발)</t>
  </si>
  <si>
    <t xml:space="preserve"> 테이블 작업용 전동 서랍 1800×900×700 1200</t>
  </si>
  <si>
    <t>보조공학기기지급사업</t>
  </si>
  <si>
    <t>작업 활동 및 취업 참여용 보조기기</t>
  </si>
  <si>
    <t xml:space="preserve">작업장내 가구 및 비품요소 </t>
  </si>
  <si>
    <t>작업 책상</t>
  </si>
  <si>
    <t>#300</t>
  </si>
  <si>
    <t>2.OAL</t>
  </si>
  <si>
    <t>장애인보조기기 지급사업(건강보험, 의료급여)</t>
  </si>
  <si>
    <t>개인 가동성 및 수송과 관련된 활동 및 참여용 보조기기</t>
  </si>
  <si>
    <t>수동휠체어-활동형</t>
  </si>
  <si>
    <t>24인치 멀티터치모니터/TV</t>
  </si>
  <si>
    <t>정보통신보조기기보급사업</t>
  </si>
  <si>
    <t>의사소통 및 정보관리용 보조기기</t>
  </si>
  <si>
    <t xml:space="preserve">출력 장치 </t>
  </si>
  <si>
    <t>시각 디스플레이</t>
  </si>
  <si>
    <t>터치모니터</t>
  </si>
  <si>
    <t>24인치 멀티확대 터치모니터 LED TV</t>
  </si>
  <si>
    <t>24인치 모니터 LED TV</t>
  </si>
  <si>
    <t>24인치 화면 확대 터치 모니터</t>
  </si>
  <si>
    <t>24인치멀티확대터치모니터</t>
  </si>
  <si>
    <t>24인치멀티확대터치모니터TV</t>
  </si>
  <si>
    <t>24인치멀티확대터치모니터TV(2023년)</t>
  </si>
  <si>
    <t>24인치일체형터치모니터</t>
  </si>
  <si>
    <t>24인치일체형터치모니터(2023년)</t>
  </si>
  <si>
    <t>24인치정전식터치모니터(엘피케이에스)</t>
  </si>
  <si>
    <t>24인치정전식터치모니터(엘피케이에스)(2022년)</t>
  </si>
  <si>
    <t>27인치 멀티터치모니터</t>
  </si>
  <si>
    <t>27인치 정전식 터치모니터</t>
  </si>
  <si>
    <t>ㄹ</t>
  </si>
  <si>
    <t>27인치4K거치형모니터</t>
  </si>
  <si>
    <t>27인치4K거치형모니터(2023년)</t>
  </si>
  <si>
    <t>27인치IR터치모니터</t>
  </si>
  <si>
    <t>27인치IR터치모니터(2023년)</t>
  </si>
  <si>
    <t>27인치멀티확대터치모니터</t>
  </si>
  <si>
    <t>27인치멀티확대터치모니터TV</t>
  </si>
  <si>
    <t>27인치멀티확대터치모니터TV(2023년)</t>
  </si>
  <si>
    <t>27인치화면확대터치모니터</t>
  </si>
  <si>
    <t>27인치화면확대터치모니터(2023년)</t>
  </si>
  <si>
    <t>2GX</t>
  </si>
  <si>
    <t>300/라벤다</t>
  </si>
  <si>
    <t>32인치 IR 터치모니터</t>
  </si>
  <si>
    <t>32인치IR터치모니터(2023년)</t>
  </si>
  <si>
    <t>32인치4K모니터</t>
  </si>
  <si>
    <t>32인치4K모니터(2022년)</t>
  </si>
  <si>
    <t>32인치IR모니터</t>
  </si>
  <si>
    <t>32인치IR모니터(2022년)</t>
  </si>
  <si>
    <t>32인치모니터</t>
  </si>
  <si>
    <t>32인치모니터(2022년)</t>
  </si>
  <si>
    <t>32인치일체형LED모니터</t>
  </si>
  <si>
    <t>32인치일체형LED모니터(2023년)</t>
  </si>
  <si>
    <t>360 컵홀더</t>
  </si>
  <si>
    <t>3D-1</t>
  </si>
  <si>
    <t>신경근골격계 기능 또는 움직임 관련 기능을 지지하기 위하여 그리고 해부학적 구조를 대체하기 위하여 신체에 부착되는 보조기기</t>
  </si>
  <si>
    <t>기타 의지</t>
  </si>
  <si>
    <t>의안</t>
  </si>
  <si>
    <t>3GTQSP-3GTQSPR2</t>
  </si>
  <si>
    <t>동력 구동 휠체어</t>
  </si>
  <si>
    <t>전동 휠체어</t>
  </si>
  <si>
    <t>3STAR</t>
  </si>
  <si>
    <t>읽기, 쓰기, 그리기 보조기기</t>
  </si>
  <si>
    <t>3STAR(N2021년)</t>
  </si>
  <si>
    <t>3STAR 2</t>
  </si>
  <si>
    <t>3단 리프트 전동 책상</t>
  </si>
  <si>
    <t>3모터 전동침대(HBA-333)</t>
  </si>
  <si>
    <t>인공적 실내외 활동 지지용 가구, 설비 및 기타 보조기기</t>
  </si>
  <si>
    <t>앉기 자세유지용 장치</t>
  </si>
  <si>
    <t>4081WS</t>
  </si>
  <si>
    <t>양팔 조작형 보행용 보조기기</t>
  </si>
  <si>
    <t>전방보행차</t>
  </si>
  <si>
    <t>4DM-002</t>
  </si>
  <si>
    <t>노인장기요양보험 복지용구 지급사업</t>
  </si>
  <si>
    <t>주택 및 기타 토지용 안전 설비</t>
  </si>
  <si>
    <t>4DM-101</t>
  </si>
  <si>
    <t>4DM-102</t>
  </si>
  <si>
    <t>4DM-203</t>
  </si>
  <si>
    <t>4DM-204</t>
  </si>
  <si>
    <t>4DM-208</t>
  </si>
  <si>
    <t>4DM-210</t>
  </si>
  <si>
    <t>4DM-211</t>
  </si>
  <si>
    <t>4DM-301</t>
  </si>
  <si>
    <t>4DM-302</t>
  </si>
  <si>
    <t>4DM-303</t>
  </si>
  <si>
    <t>4DM-306</t>
  </si>
  <si>
    <t>4DM-307</t>
  </si>
  <si>
    <t>4발지팡이</t>
  </si>
  <si>
    <t>4팁 워커</t>
  </si>
  <si>
    <t>양팔조작형 보행용 보조기기 vs 롤레이터(보행차)</t>
  </si>
  <si>
    <t>533-900</t>
  </si>
  <si>
    <t>자기관리 활동 및 참여용 보조기기</t>
  </si>
  <si>
    <t xml:space="preserve">화장실용 보조기기 </t>
  </si>
  <si>
    <t>이동변기</t>
  </si>
  <si>
    <t>AB02</t>
  </si>
  <si>
    <t>휠체어 착석용 액세서리</t>
  </si>
  <si>
    <t>좌석 쿠션 및 깔개</t>
  </si>
  <si>
    <t>자세변환용구</t>
  </si>
  <si>
    <t>ABM-101</t>
  </si>
  <si>
    <t>측정, 자극, 또는 생리학적/정신적 기능 훈련용 보조기기</t>
  </si>
  <si>
    <t xml:space="preserve">욕창 예방용 보조기기 </t>
  </si>
  <si>
    <t>욕창예방방석</t>
  </si>
  <si>
    <t>욕창예방 방석</t>
  </si>
  <si>
    <t>장애인보조기기교부사업</t>
  </si>
  <si>
    <t>ABM-103</t>
  </si>
  <si>
    <t>ABP-101</t>
  </si>
  <si>
    <t>간이변기(변기 좌석)</t>
  </si>
  <si>
    <t>간이변기</t>
  </si>
  <si>
    <t>ABP-105</t>
  </si>
  <si>
    <t>ABP-106</t>
  </si>
  <si>
    <t>AC-101(전동욕창방석)</t>
  </si>
  <si>
    <t>AC-101(전동욕창방석)(2023년)</t>
  </si>
  <si>
    <t>Action 3 NG</t>
  </si>
  <si>
    <t>AD-1200 DL/V</t>
  </si>
  <si>
    <t>욕창예방 매트리스(와상용 피부 손상방지 보조기기)</t>
  </si>
  <si>
    <t>욕창예방 매트리스</t>
  </si>
  <si>
    <t>AD-1300</t>
  </si>
  <si>
    <t>AD-1300 Mute Bio Double</t>
  </si>
  <si>
    <t>AD-1300 MUTE FOAM</t>
  </si>
  <si>
    <t>AD-1400</t>
  </si>
  <si>
    <t>AD-1800</t>
  </si>
  <si>
    <t>AD-1800 Turning</t>
  </si>
  <si>
    <t>AD-2400(이어폰)</t>
  </si>
  <si>
    <t>헤드폰, 이어폰 및 헤드셋</t>
  </si>
  <si>
    <t>AD-2400(이어후크)</t>
  </si>
  <si>
    <t>보청기용 음향 중계시스템</t>
  </si>
  <si>
    <t>AD-7 MUTE</t>
  </si>
  <si>
    <t>AD-Ⅱ L/V TPU</t>
  </si>
  <si>
    <t>AD-Ⅲ BIDET</t>
  </si>
  <si>
    <t>AD-Ⅲ MUTE Bio Double</t>
  </si>
  <si>
    <t>AD-Ⅲ TPU BEAM</t>
  </si>
  <si>
    <t>AD-Ⅲ TPU L/V</t>
  </si>
  <si>
    <t>ADI카본등받이</t>
  </si>
  <si>
    <t>휠체어 등받이</t>
  </si>
  <si>
    <t>AEC</t>
  </si>
  <si>
    <t>AFC-1300</t>
  </si>
  <si>
    <t>들어올리기용 보조기기</t>
  </si>
  <si>
    <t>이동식 리프트</t>
  </si>
  <si>
    <t>AFC-1400</t>
  </si>
  <si>
    <t>AFC-1500</t>
  </si>
  <si>
    <t>AFC-900</t>
  </si>
  <si>
    <t>의자식 리프트 및 운반 장치</t>
  </si>
  <si>
    <t>AFM-02</t>
  </si>
  <si>
    <t>AFM-03</t>
  </si>
  <si>
    <t>AFM-04(교부사업)</t>
  </si>
  <si>
    <t xml:space="preserve">씻기, 목욕, 샤워용 보조기기 </t>
  </si>
  <si>
    <t>목욕용 미끄럼방지용품</t>
  </si>
  <si>
    <t>AFM-04(노인장기)</t>
  </si>
  <si>
    <t>AFM-05</t>
  </si>
  <si>
    <t>AFM-06(교부사업)</t>
  </si>
  <si>
    <t>AFM-06(노인장기)</t>
  </si>
  <si>
    <t>AFM-07</t>
  </si>
  <si>
    <t>AGC1616</t>
  </si>
  <si>
    <t>AI 아토 뷰어 (AI ATP Viewer)</t>
  </si>
  <si>
    <t>시각 보조기기</t>
  </si>
  <si>
    <t>-(시각보조기기)</t>
  </si>
  <si>
    <t>기타(시각)</t>
  </si>
  <si>
    <t>AMP-01</t>
  </si>
  <si>
    <t>대소변흡수용보조기기</t>
  </si>
  <si>
    <t>성인용 일회용 기저귀</t>
  </si>
  <si>
    <t>요실금팬티</t>
  </si>
  <si>
    <t>AngelBackSupport</t>
  </si>
  <si>
    <t>AngelBackSupport(2023년)</t>
  </si>
  <si>
    <t>AP-003</t>
  </si>
  <si>
    <t>APEXLIFT 450E</t>
  </si>
  <si>
    <t>APM-001</t>
  </si>
  <si>
    <t>APM-002</t>
  </si>
  <si>
    <t>APT-101</t>
  </si>
  <si>
    <t>APT-103</t>
  </si>
  <si>
    <t>APT-105</t>
  </si>
  <si>
    <t>APT-210</t>
  </si>
  <si>
    <t>ARNOLD 125</t>
  </si>
  <si>
    <t>ARNOLD 150</t>
  </si>
  <si>
    <t>Art Eye</t>
  </si>
  <si>
    <t>ART-E001</t>
  </si>
  <si>
    <t>arthwriter hand aid</t>
  </si>
  <si>
    <t>그리기 및 쓰기용 수동 장치</t>
  </si>
  <si>
    <t>AS-3</t>
  </si>
  <si>
    <t>ASC-102</t>
  </si>
  <si>
    <t>ASC-103</t>
  </si>
  <si>
    <t>ASC-501</t>
  </si>
  <si>
    <t>ASC-502</t>
  </si>
  <si>
    <t>ASH-101</t>
  </si>
  <si>
    <t>ASH-102</t>
  </si>
  <si>
    <t>지지대 및 손잡이</t>
  </si>
  <si>
    <t>ASH-103</t>
  </si>
  <si>
    <t>ASH-104</t>
  </si>
  <si>
    <t>ASH-105</t>
  </si>
  <si>
    <t>ASH-106</t>
  </si>
  <si>
    <t>ASH-107</t>
  </si>
  <si>
    <t>ASH-107P</t>
  </si>
  <si>
    <t>ASH-108</t>
  </si>
  <si>
    <t>ASH-108P</t>
  </si>
  <si>
    <t>ASH-109</t>
  </si>
  <si>
    <t>ASH-109P</t>
  </si>
  <si>
    <t>ASH-110</t>
  </si>
  <si>
    <t>ASH-110P</t>
  </si>
  <si>
    <t>ASH-111</t>
  </si>
  <si>
    <t>ASH-111P</t>
  </si>
  <si>
    <t>ASH-120</t>
  </si>
  <si>
    <t>ASH-211</t>
  </si>
  <si>
    <t>ASH-301</t>
  </si>
  <si>
    <t>ASH-302</t>
  </si>
  <si>
    <t>ASH-303</t>
  </si>
  <si>
    <t>ASH-304</t>
  </si>
  <si>
    <t>ASM-102</t>
  </si>
  <si>
    <t>Astid기립훈련기</t>
  </si>
  <si>
    <t>ASW-101</t>
  </si>
  <si>
    <t>승강용 보조기기</t>
  </si>
  <si>
    <t>경사로(실내용)</t>
  </si>
  <si>
    <t>ASW-102</t>
  </si>
  <si>
    <t>ASW-103</t>
  </si>
  <si>
    <t>ASW-104</t>
  </si>
  <si>
    <t>ATA-104</t>
  </si>
  <si>
    <t>자세유지용 베게 및 쿠션과 자세유지 시스템</t>
  </si>
  <si>
    <t>ATA-4030</t>
  </si>
  <si>
    <t>ATA-7030</t>
  </si>
  <si>
    <t>ATS-101</t>
  </si>
  <si>
    <t>자세변환용 보조기기</t>
  </si>
  <si>
    <t>AUTO BIKE MINI</t>
  </si>
  <si>
    <t>팔, 몸통, 다리 운동 장치</t>
  </si>
  <si>
    <t>AUTO BIKE PLUS</t>
  </si>
  <si>
    <t>AUTO-BIKE-B_전동상하지운동기</t>
  </si>
  <si>
    <t>체력-작업 능력 측정 및 운동용 기구</t>
  </si>
  <si>
    <t>Avant garde 4</t>
  </si>
  <si>
    <t>수동휠체어-일반형</t>
  </si>
  <si>
    <t>Avant garde 4 DS</t>
  </si>
  <si>
    <t>AW300코지50cc</t>
  </si>
  <si>
    <t>AWT-501(건강보험, 의료급여)</t>
  </si>
  <si>
    <t>AWT-501(교부사업)</t>
  </si>
  <si>
    <t>탁자형 보행차(보행차)</t>
  </si>
  <si>
    <t>탁자형 보행차</t>
  </si>
  <si>
    <t>AWT-501(노인장기)</t>
  </si>
  <si>
    <t>성인용보행기</t>
  </si>
  <si>
    <t>BAL-11</t>
  </si>
  <si>
    <t>수동휠체어(리클라이닝형)</t>
  </si>
  <si>
    <t>Bath chair</t>
  </si>
  <si>
    <t>Beauty Eyes-L</t>
  </si>
  <si>
    <t>Beauty Eyes-M</t>
  </si>
  <si>
    <t>Beauty Eyes-S</t>
  </si>
  <si>
    <t>BFMB20</t>
  </si>
  <si>
    <t>BFMB30</t>
  </si>
  <si>
    <t>BFMB4</t>
  </si>
  <si>
    <t>BFMB-4</t>
  </si>
  <si>
    <t>BFMB5</t>
  </si>
  <si>
    <t>BFMB-8</t>
  </si>
  <si>
    <t>BFSH10(노인장기)</t>
  </si>
  <si>
    <t>BFSH10</t>
  </si>
  <si>
    <t>BFSH20</t>
  </si>
  <si>
    <t>BFSH21</t>
  </si>
  <si>
    <t>BFSP-1</t>
  </si>
  <si>
    <t>경사로(실외용)</t>
  </si>
  <si>
    <t>BFSP2</t>
  </si>
  <si>
    <t>BFTL4</t>
  </si>
  <si>
    <t>BFTL5</t>
  </si>
  <si>
    <t>BFTL6</t>
  </si>
  <si>
    <t>BH-01</t>
  </si>
  <si>
    <t>BH-90</t>
  </si>
  <si>
    <t>BH-H01</t>
  </si>
  <si>
    <t>biggrip</t>
  </si>
  <si>
    <t>BLESSON I</t>
  </si>
  <si>
    <t>BLS-500</t>
  </si>
  <si>
    <t>BLS-600</t>
  </si>
  <si>
    <t>BLS-700</t>
  </si>
  <si>
    <t>BM-70</t>
  </si>
  <si>
    <t>BOFEEL 8</t>
  </si>
  <si>
    <t>BOFEEL1</t>
  </si>
  <si>
    <t>BOFEEL10</t>
  </si>
  <si>
    <t>BOFEEL7</t>
  </si>
  <si>
    <t>BOFEEL9</t>
  </si>
  <si>
    <t>BS</t>
  </si>
  <si>
    <t xml:space="preserve">한팔 조작형 보행용 보조기기 </t>
  </si>
  <si>
    <t>BSU11</t>
  </si>
  <si>
    <t>BT-510</t>
  </si>
  <si>
    <t>BT-516</t>
  </si>
  <si>
    <t>BTEYE</t>
  </si>
  <si>
    <t>BW304</t>
  </si>
  <si>
    <t>BW306(건강보험, 의료급여)</t>
  </si>
  <si>
    <t>BW306(교부사업)</t>
  </si>
  <si>
    <t>C.A.E A1</t>
  </si>
  <si>
    <t>C2</t>
  </si>
  <si>
    <t>CA-4700_기립안전손잡이</t>
  </si>
  <si>
    <t>CA6206L</t>
  </si>
  <si>
    <t>CA88601L</t>
  </si>
  <si>
    <t>CA905L</t>
  </si>
  <si>
    <t>CAC-100</t>
  </si>
  <si>
    <t>CAMELSPORT</t>
  </si>
  <si>
    <t>Care Tango 120</t>
  </si>
  <si>
    <t>침대 및 침대 장비</t>
  </si>
  <si>
    <t>CARE-DEAF</t>
  </si>
  <si>
    <t>신호 장치</t>
  </si>
  <si>
    <t>Carina350</t>
  </si>
  <si>
    <t>CB1101</t>
  </si>
  <si>
    <t>CB1102</t>
  </si>
  <si>
    <t>CB1103</t>
  </si>
  <si>
    <t>CB-202</t>
  </si>
  <si>
    <t>침대 및 탈착식 침대 판/수동조절식 매트리스 지지단(수동 침대)</t>
  </si>
  <si>
    <t>수동침대</t>
  </si>
  <si>
    <t>CB-301</t>
  </si>
  <si>
    <t>CB600</t>
  </si>
  <si>
    <t>CC1200</t>
  </si>
  <si>
    <t>CD-01</t>
  </si>
  <si>
    <t>CD-04</t>
  </si>
  <si>
    <t>CD-07</t>
  </si>
  <si>
    <t>CD-10</t>
  </si>
  <si>
    <t>CE400</t>
  </si>
  <si>
    <t>CE440</t>
  </si>
  <si>
    <t>CE460</t>
  </si>
  <si>
    <t>CE600</t>
  </si>
  <si>
    <t>Centro A3</t>
  </si>
  <si>
    <t>Chin Switch</t>
  </si>
  <si>
    <t>컴퓨터 포인팅용 장치</t>
  </si>
  <si>
    <t>Choice-01</t>
  </si>
  <si>
    <t>CK-06(건강보험, 의료급여)</t>
  </si>
  <si>
    <t>CK-06(노인장기)</t>
  </si>
  <si>
    <t>CK-07</t>
  </si>
  <si>
    <t>롤레이터</t>
  </si>
  <si>
    <t>CK-07(노인장기)</t>
  </si>
  <si>
    <t>CL01</t>
  </si>
  <si>
    <t>CL02</t>
  </si>
  <si>
    <t>CL300</t>
  </si>
  <si>
    <t>CL3100</t>
  </si>
  <si>
    <t>CL5000</t>
  </si>
  <si>
    <t>CL600</t>
  </si>
  <si>
    <t>CL-6695</t>
  </si>
  <si>
    <t>음성시계(시계 및 시간 측정 장치)</t>
  </si>
  <si>
    <t>CLASSIC XS CUSSION</t>
  </si>
  <si>
    <t>Clean49</t>
  </si>
  <si>
    <t>CLIP</t>
  </si>
  <si>
    <t>CLIP Pushchair</t>
  </si>
  <si>
    <t>CM003</t>
  </si>
  <si>
    <t>CM102</t>
  </si>
  <si>
    <t>CM301</t>
  </si>
  <si>
    <t>CM301N</t>
  </si>
  <si>
    <t>CM302</t>
  </si>
  <si>
    <t>CM303</t>
  </si>
  <si>
    <t>CM5175</t>
  </si>
  <si>
    <t>목욕 의자, 이동 변기(변기 겸용 의자) 중복</t>
  </si>
  <si>
    <t>CM5175-M</t>
  </si>
  <si>
    <t>CM5176</t>
  </si>
  <si>
    <t>CM5178</t>
  </si>
  <si>
    <t>CM-M300S</t>
  </si>
  <si>
    <t>cock up splint</t>
  </si>
  <si>
    <t>손목-손 보조기</t>
  </si>
  <si>
    <t>Comfort-1</t>
  </si>
  <si>
    <t>compact7HD</t>
  </si>
  <si>
    <t>CONBLE GB2</t>
  </si>
  <si>
    <t>conble54</t>
  </si>
  <si>
    <t>CoreNeo 3M(NS830)</t>
  </si>
  <si>
    <t>CoreNeo 4M(NS840)</t>
  </si>
  <si>
    <t>CP-01</t>
  </si>
  <si>
    <t>CP-100</t>
  </si>
  <si>
    <t>신호 전달, 경보, 알람용 보조기기</t>
  </si>
  <si>
    <t>배회 감지기(위치 확인 및 추적 시스템)</t>
  </si>
  <si>
    <t>배회감지기</t>
  </si>
  <si>
    <t>CP600</t>
  </si>
  <si>
    <t>CP660</t>
  </si>
  <si>
    <t>CP800</t>
  </si>
  <si>
    <t>CP-800</t>
  </si>
  <si>
    <t>CPT-1000</t>
  </si>
  <si>
    <t>CrawlAbout</t>
  </si>
  <si>
    <t>기어가기 및 이동판</t>
  </si>
  <si>
    <t>cruiser</t>
  </si>
  <si>
    <t>CS-3</t>
  </si>
  <si>
    <t>CSES</t>
  </si>
  <si>
    <t>CSES(2021년)</t>
  </si>
  <si>
    <t>CSH1000</t>
  </si>
  <si>
    <t>CSH-1000</t>
  </si>
  <si>
    <t>CURA-L1</t>
  </si>
  <si>
    <t>CURA-L2</t>
  </si>
  <si>
    <t>CURA-M1</t>
  </si>
  <si>
    <t>CURA-M2</t>
  </si>
  <si>
    <t>curix heating</t>
  </si>
  <si>
    <t>CV100</t>
  </si>
  <si>
    <t>CV-100</t>
  </si>
  <si>
    <t>CV200</t>
  </si>
  <si>
    <t>CW400</t>
  </si>
  <si>
    <t>CW550</t>
  </si>
  <si>
    <t>CW-SP300</t>
  </si>
  <si>
    <t>CW-SP500</t>
  </si>
  <si>
    <t>DA-006</t>
  </si>
  <si>
    <t>DA1</t>
  </si>
  <si>
    <t>DAS-01</t>
  </si>
  <si>
    <t>DC301</t>
  </si>
  <si>
    <t>Deluxe Slim Walker Pro</t>
  </si>
  <si>
    <t>Deluxe spoon</t>
  </si>
  <si>
    <t>Deluxe wrist drop orthosis</t>
  </si>
  <si>
    <t>dexball writing aid</t>
  </si>
  <si>
    <t>DGP-0001</t>
  </si>
  <si>
    <t>DGP-0003</t>
  </si>
  <si>
    <t>DGP-0004</t>
  </si>
  <si>
    <t>DGP-0005</t>
  </si>
  <si>
    <t>DGP-0006</t>
  </si>
  <si>
    <t>DGP-0007</t>
  </si>
  <si>
    <t>DH-101</t>
  </si>
  <si>
    <t>DH-102</t>
  </si>
  <si>
    <t>DH-201</t>
  </si>
  <si>
    <t>DH-202</t>
  </si>
  <si>
    <t>DIY 친환경 보조기기 입식형</t>
  </si>
  <si>
    <t>의자</t>
  </si>
  <si>
    <t>DK-005A</t>
  </si>
  <si>
    <t>작업 및 사무용 의자</t>
  </si>
  <si>
    <t>DK-005A(2021년)</t>
  </si>
  <si>
    <t>DM-100L</t>
  </si>
  <si>
    <t>DM-100S</t>
  </si>
  <si>
    <t>DM-110L</t>
  </si>
  <si>
    <t>DM-120L</t>
  </si>
  <si>
    <t>DM300드로즈30cc</t>
  </si>
  <si>
    <t>DM-A30</t>
  </si>
  <si>
    <t>DM-A50</t>
  </si>
  <si>
    <t>DS-1100</t>
  </si>
  <si>
    <t>DS-3000</t>
  </si>
  <si>
    <t>DS-301A</t>
  </si>
  <si>
    <t>DS-301RB(레자)</t>
  </si>
  <si>
    <t>DS-301RB(서비스브레이크)</t>
  </si>
  <si>
    <t>DS-304RB</t>
  </si>
  <si>
    <t>DS-321BB</t>
  </si>
  <si>
    <t>DS-4000</t>
  </si>
  <si>
    <t>DS-501A</t>
  </si>
  <si>
    <t>DS-5500</t>
  </si>
  <si>
    <t>전동 스쿠터 (수동 조향식 전동 휠체어)</t>
  </si>
  <si>
    <t>전동스쿠터</t>
  </si>
  <si>
    <t>DS-601A</t>
  </si>
  <si>
    <t>DS-701A</t>
  </si>
  <si>
    <t>DS-801A</t>
  </si>
  <si>
    <t>DS-911A-RB(서비스브레이크)</t>
  </si>
  <si>
    <t>DS-921BB</t>
  </si>
  <si>
    <t>DSNS6095</t>
  </si>
  <si>
    <t>DS-WAVE</t>
  </si>
  <si>
    <t>Duro III</t>
  </si>
  <si>
    <t>DW-500</t>
  </si>
  <si>
    <t>DW-779</t>
  </si>
  <si>
    <t>청각 및 시각 정보의 기록, 재생, 표시용 보조기기</t>
  </si>
  <si>
    <t>DW-779(2023년)</t>
  </si>
  <si>
    <t>DW-ST003A</t>
  </si>
  <si>
    <t>전동 계단 이동기</t>
  </si>
  <si>
    <t>DY8870</t>
  </si>
  <si>
    <t>DY8960</t>
  </si>
  <si>
    <t>DYJ-03</t>
  </si>
  <si>
    <t>E:CHA(이차)</t>
  </si>
  <si>
    <t>E:ZO(이조)</t>
  </si>
  <si>
    <t>E01-500</t>
  </si>
  <si>
    <t>E400</t>
  </si>
  <si>
    <t>E402</t>
  </si>
  <si>
    <t>E500</t>
  </si>
  <si>
    <t>E900</t>
  </si>
  <si>
    <t>EA-1 특수마우스</t>
  </si>
  <si>
    <t>물건 및 장치의 제어, 운반, 이동 및 조작용 보조기기</t>
  </si>
  <si>
    <t>작동 및 원격제어용 보조기기</t>
  </si>
  <si>
    <t>특수마우스</t>
  </si>
  <si>
    <t>EA-2 특수마우스</t>
  </si>
  <si>
    <t xml:space="preserve">EASY UP DOWN </t>
  </si>
  <si>
    <t>E-BOT 프로</t>
  </si>
  <si>
    <t>ECLIPS X2</t>
  </si>
  <si>
    <t>Eclips X2/리베로 장착</t>
  </si>
  <si>
    <t>EG3000</t>
  </si>
  <si>
    <t>EG3000(2021년)</t>
  </si>
  <si>
    <t>EG4000</t>
  </si>
  <si>
    <t>EG4000(2020년)</t>
  </si>
  <si>
    <t>EG-Pad</t>
  </si>
  <si>
    <t>EG-Pad(2023년)</t>
  </si>
  <si>
    <t>EG-SmartChair</t>
  </si>
  <si>
    <t>EG-SmartChair(2021년)</t>
  </si>
  <si>
    <t>EL-40S</t>
  </si>
  <si>
    <t>EL-6686</t>
  </si>
  <si>
    <t>Elbow crutch</t>
  </si>
  <si>
    <t>EM-100이너</t>
  </si>
  <si>
    <t>EM101S</t>
  </si>
  <si>
    <t>EM202S</t>
  </si>
  <si>
    <t>EM500트렁크30cc</t>
  </si>
  <si>
    <t>EP2000</t>
  </si>
  <si>
    <t>EP2000(2022년)</t>
  </si>
  <si>
    <t>EP3000</t>
  </si>
  <si>
    <t>EP3000(2023년)</t>
  </si>
  <si>
    <t>Epic</t>
  </si>
  <si>
    <t>ERATCOMPUTERTable</t>
  </si>
  <si>
    <t>ERATCOMPUTERTable(2023년)</t>
  </si>
  <si>
    <t>ERGO CANE</t>
  </si>
  <si>
    <t>ERGOREST 책상용 팔받침대</t>
  </si>
  <si>
    <t>수동 조작용 팔 지지대</t>
  </si>
  <si>
    <t>ergowriter</t>
  </si>
  <si>
    <t>ERGO테이블</t>
  </si>
  <si>
    <t>ERGO테이블(2021년)</t>
  </si>
  <si>
    <t>ERGO테이블(SUS형)</t>
  </si>
  <si>
    <t>ERGO테이블(SUS형)(2023년)</t>
  </si>
  <si>
    <t>EURO CHAIR 2</t>
  </si>
  <si>
    <t>EVO 카시트</t>
  </si>
  <si>
    <t>Excellent Walk(건강보험, 의료급여)</t>
  </si>
  <si>
    <t>Excellent Walk(노인장기)</t>
  </si>
  <si>
    <t>EXELLE</t>
  </si>
  <si>
    <t>Eye Blink Switch</t>
  </si>
  <si>
    <t>EYECAN</t>
  </si>
  <si>
    <t>EZ Positioning Chair - MD</t>
  </si>
  <si>
    <t>EZ Positioning Chair-M</t>
  </si>
  <si>
    <t>EZ Positioning Chair-TRR</t>
  </si>
  <si>
    <t>EZ Rider 14</t>
  </si>
  <si>
    <t>EZ Stand SE</t>
  </si>
  <si>
    <t>EZ STANDER PE</t>
  </si>
  <si>
    <t xml:space="preserve">SP, ADL </t>
  </si>
  <si>
    <t>EZ STANDER SE</t>
  </si>
  <si>
    <t>Ez-Chair</t>
  </si>
  <si>
    <t>Ez-Chair(2022년)</t>
  </si>
  <si>
    <t>EZ랑</t>
  </si>
  <si>
    <t>수동 휠체어용 추진 장치</t>
  </si>
  <si>
    <t>F10PT1</t>
  </si>
  <si>
    <t>F-189</t>
  </si>
  <si>
    <t>F-215</t>
  </si>
  <si>
    <t>F-218N</t>
  </si>
  <si>
    <t>F-225</t>
  </si>
  <si>
    <t>F-236</t>
  </si>
  <si>
    <t>F-379</t>
  </si>
  <si>
    <t>FBK-720N</t>
  </si>
  <si>
    <t>FBK-730N</t>
  </si>
  <si>
    <t>FFF휴대용경사로</t>
  </si>
  <si>
    <t>FFF휴대용경사로(2023년 1차)</t>
  </si>
  <si>
    <t>FF워커</t>
  </si>
  <si>
    <t>FHC03</t>
  </si>
  <si>
    <t>FHC-VSA01</t>
  </si>
  <si>
    <t>FHC-VSA02</t>
  </si>
  <si>
    <t>FLA-01</t>
  </si>
  <si>
    <t>FM700 데일리트렁크 50cc</t>
  </si>
  <si>
    <t>Forever Cushion 4043</t>
  </si>
  <si>
    <t>Forever cushion 4044</t>
  </si>
  <si>
    <t>Free-rider</t>
  </si>
  <si>
    <t>FreeWheel</t>
  </si>
  <si>
    <t>FS874LJ</t>
  </si>
  <si>
    <t>FS929L+D60</t>
  </si>
  <si>
    <t>FST8230</t>
  </si>
  <si>
    <t>FT1000</t>
  </si>
  <si>
    <t>FT1000(2023년)</t>
  </si>
  <si>
    <t>FT5000</t>
  </si>
  <si>
    <t>FT5000(2023년)</t>
  </si>
  <si>
    <t>FV197</t>
  </si>
  <si>
    <t>조향장치 조작용 차량 액세서리 및 개조용품</t>
  </si>
  <si>
    <t>FW300유린디펜스150cc</t>
  </si>
  <si>
    <t>G100</t>
  </si>
  <si>
    <t>GC-100</t>
  </si>
  <si>
    <t>G-CLICK</t>
  </si>
  <si>
    <t>환경 제어 장치</t>
  </si>
  <si>
    <t>GD EVO FIX</t>
  </si>
  <si>
    <t>장애인용 카시트</t>
  </si>
  <si>
    <t>GD EVO PLUS FIX 카시트</t>
  </si>
  <si>
    <t>GHP-01</t>
  </si>
  <si>
    <t>GHP-02</t>
  </si>
  <si>
    <t>GHP-03</t>
  </si>
  <si>
    <t>GJ-N-01</t>
  </si>
  <si>
    <t>GK11</t>
  </si>
  <si>
    <t>GK11-ECO</t>
  </si>
  <si>
    <t>GK5</t>
  </si>
  <si>
    <t>GK7 RED</t>
  </si>
  <si>
    <t>GK9</t>
  </si>
  <si>
    <t>Glory-11</t>
  </si>
  <si>
    <t>Glory-2</t>
  </si>
  <si>
    <t>glory-3535</t>
  </si>
  <si>
    <t>Glory-3838</t>
  </si>
  <si>
    <t>Glory-MC1</t>
  </si>
  <si>
    <t>Go Talk 20+</t>
  </si>
  <si>
    <t>Gper-L200</t>
  </si>
  <si>
    <t>GP-K7000</t>
  </si>
  <si>
    <t>GR-1004H</t>
  </si>
  <si>
    <t>GR-9000A</t>
  </si>
  <si>
    <t>GR-9000B</t>
  </si>
  <si>
    <t>G-SLIDE</t>
  </si>
  <si>
    <t>GT-350</t>
  </si>
  <si>
    <t>G-TOUCH</t>
  </si>
  <si>
    <t>GW300인디핑크30cc</t>
  </si>
  <si>
    <t>GXY1618</t>
  </si>
  <si>
    <t>H ONES-L</t>
  </si>
  <si>
    <t>H ONES-M</t>
  </si>
  <si>
    <t>H ONES-S</t>
  </si>
  <si>
    <t>HA01</t>
  </si>
  <si>
    <t>HA02</t>
  </si>
  <si>
    <t>HA-20DX</t>
  </si>
  <si>
    <t>HAL-48</t>
  </si>
  <si>
    <t>HAL-48(22D)</t>
  </si>
  <si>
    <t>HAS-8D</t>
  </si>
  <si>
    <t>HB-101B</t>
  </si>
  <si>
    <t>HB-103</t>
  </si>
  <si>
    <t>HB-110</t>
  </si>
  <si>
    <t>HB110A</t>
  </si>
  <si>
    <t>HB-110B</t>
  </si>
  <si>
    <t>HB-111</t>
  </si>
  <si>
    <t>HB-111B</t>
  </si>
  <si>
    <t>HB-202</t>
  </si>
  <si>
    <t>HB-301</t>
  </si>
  <si>
    <t>HB-9001B</t>
  </si>
  <si>
    <t>HB-9002B</t>
  </si>
  <si>
    <t>HBA-233</t>
  </si>
  <si>
    <t>HBA-333</t>
  </si>
  <si>
    <t>HBA-333L</t>
  </si>
  <si>
    <t>HBL</t>
  </si>
  <si>
    <t>HBL-206</t>
  </si>
  <si>
    <t>HBL-216</t>
  </si>
  <si>
    <t>HBL-224</t>
  </si>
  <si>
    <t>HCR-2007A</t>
  </si>
  <si>
    <t>음성 유도장치</t>
  </si>
  <si>
    <t>HD001</t>
  </si>
  <si>
    <t>HD-B-001</t>
  </si>
  <si>
    <t>HD-UM-001</t>
  </si>
  <si>
    <t>HE2164</t>
  </si>
  <si>
    <t>HEAD POD</t>
  </si>
  <si>
    <t>Head Switch</t>
  </si>
  <si>
    <t>Hemi walker</t>
  </si>
  <si>
    <t>HERO 4</t>
  </si>
  <si>
    <t>HG-100 DM1</t>
  </si>
  <si>
    <t>HG-100 M1 TPU</t>
  </si>
  <si>
    <t>HG-100 M2</t>
  </si>
  <si>
    <t>HG-100 MC2</t>
  </si>
  <si>
    <t>HH-7003</t>
  </si>
  <si>
    <t>HHT-R(SUS형)</t>
  </si>
  <si>
    <t>HHT-R(SUS형)(2023년)</t>
  </si>
  <si>
    <t>HIB-210DM 듀얼모드 골전도 청음기</t>
  </si>
  <si>
    <t>HM-101</t>
  </si>
  <si>
    <t>HM-401(교부사업)</t>
  </si>
  <si>
    <t>HM-401(노인장기)</t>
  </si>
  <si>
    <t>HM-403(교부사업)</t>
  </si>
  <si>
    <t>HM-403(노인장기)</t>
  </si>
  <si>
    <t>HM-411</t>
  </si>
  <si>
    <t>HM-412</t>
  </si>
  <si>
    <t>HM-413</t>
  </si>
  <si>
    <t>HM-606(교부사업)</t>
  </si>
  <si>
    <t>HM-606(노인장기)</t>
  </si>
  <si>
    <t>HP7RTL</t>
  </si>
  <si>
    <t>HQ-01</t>
  </si>
  <si>
    <t>HQ-01(2023년)</t>
  </si>
  <si>
    <t>HS008</t>
  </si>
  <si>
    <t>HS05H</t>
  </si>
  <si>
    <t>HS-5181</t>
  </si>
  <si>
    <t>HS-520</t>
  </si>
  <si>
    <t>HS-588B</t>
  </si>
  <si>
    <t>HS-589</t>
  </si>
  <si>
    <t>HS-6603</t>
  </si>
  <si>
    <t>HS-7200</t>
  </si>
  <si>
    <t>HS-740</t>
  </si>
  <si>
    <t>HS-828</t>
  </si>
  <si>
    <t>HS-890</t>
  </si>
  <si>
    <t>HS-895</t>
  </si>
  <si>
    <t>HSA-8D</t>
  </si>
  <si>
    <t>HSA-8FS/발판거상형</t>
  </si>
  <si>
    <t>HUMC-3000R</t>
  </si>
  <si>
    <t>HW300 자가드30cc</t>
  </si>
  <si>
    <t>i mom-SS</t>
  </si>
  <si>
    <t>iCHAiR MC2</t>
  </si>
  <si>
    <t>ICON K20</t>
  </si>
  <si>
    <t>ICPC-100C</t>
  </si>
  <si>
    <t>ICPC-200C</t>
  </si>
  <si>
    <t>ICPC-300C</t>
  </si>
  <si>
    <t>IF-W565S</t>
  </si>
  <si>
    <t>IF-WT100</t>
  </si>
  <si>
    <t>ILA</t>
  </si>
  <si>
    <t>I-MAT-01</t>
  </si>
  <si>
    <t>Inno Walker</t>
  </si>
  <si>
    <t>intuos CTL-480</t>
  </si>
  <si>
    <t>Invacare Action 2NG</t>
  </si>
  <si>
    <t>ISA</t>
  </si>
  <si>
    <t>IU</t>
  </si>
  <si>
    <t>IU 목욕의자</t>
  </si>
  <si>
    <t>IW-101</t>
  </si>
  <si>
    <t>IW300 리젠피치</t>
  </si>
  <si>
    <t>J-1</t>
  </si>
  <si>
    <t>J3CarbonBack</t>
  </si>
  <si>
    <t>J3CarbonBack(2021년)</t>
  </si>
  <si>
    <t>J610</t>
  </si>
  <si>
    <t>JAECO table mount</t>
  </si>
  <si>
    <t>JB-500</t>
  </si>
  <si>
    <t>JB600</t>
  </si>
  <si>
    <t>JB600-S</t>
  </si>
  <si>
    <t>JB-610</t>
  </si>
  <si>
    <t>JB620</t>
  </si>
  <si>
    <t>JB630</t>
  </si>
  <si>
    <t>JB900</t>
  </si>
  <si>
    <t>JB-910</t>
  </si>
  <si>
    <t>JB920</t>
  </si>
  <si>
    <t>JB920LITE</t>
  </si>
  <si>
    <t>JB930</t>
  </si>
  <si>
    <t>JC-300FS</t>
  </si>
  <si>
    <t>개인 비상 경보 시스템</t>
  </si>
  <si>
    <t>JM-column</t>
  </si>
  <si>
    <t>JP2030</t>
  </si>
  <si>
    <t>JP3030</t>
  </si>
  <si>
    <t>JR TILT-2(16D)</t>
  </si>
  <si>
    <t>Jr TILT-2(20)</t>
  </si>
  <si>
    <t>수동휠체어(틸팅형)</t>
  </si>
  <si>
    <t>JR TILT-7</t>
  </si>
  <si>
    <t>JR-01</t>
  </si>
  <si>
    <t>Jr-2(20)</t>
  </si>
  <si>
    <t>J-S1</t>
  </si>
  <si>
    <t>JS-4081</t>
  </si>
  <si>
    <t>JS-8230</t>
  </si>
  <si>
    <t>Juvo B4</t>
  </si>
  <si>
    <t>Juvo B4 standard</t>
  </si>
  <si>
    <t>Juvo B6 standard</t>
  </si>
  <si>
    <t>Juvo B6 tilt</t>
  </si>
  <si>
    <t>JW-100</t>
  </si>
  <si>
    <t>JW-200</t>
  </si>
  <si>
    <t>JWX-1plus</t>
  </si>
  <si>
    <t>-(동력 구동 휠체어)</t>
  </si>
  <si>
    <t>야마하 수전동휠체어</t>
  </si>
  <si>
    <t>JY-B300</t>
  </si>
  <si>
    <t>K-100</t>
  </si>
  <si>
    <t>K-302</t>
  </si>
  <si>
    <t>K400</t>
  </si>
  <si>
    <t>KAE-01</t>
  </si>
  <si>
    <t>KALU(a)</t>
  </si>
  <si>
    <t>KCA-6203L</t>
  </si>
  <si>
    <t>KCS-501N</t>
  </si>
  <si>
    <t>성인용 보행차</t>
  </si>
  <si>
    <t>KCS-803</t>
  </si>
  <si>
    <t>KCS-902</t>
  </si>
  <si>
    <t>KCS-N301</t>
  </si>
  <si>
    <t>KCS-N508</t>
  </si>
  <si>
    <t>양팔 조작형 보행용 보조기기 vs 롤레이터(보행차)</t>
  </si>
  <si>
    <t>KD-001</t>
  </si>
  <si>
    <t>KE-CHAIR</t>
  </si>
  <si>
    <t>계단 오르기용 수동 휠체어</t>
  </si>
  <si>
    <t>KH-100</t>
  </si>
  <si>
    <t>KH-101</t>
  </si>
  <si>
    <t>KH-102</t>
  </si>
  <si>
    <t>KH-103</t>
  </si>
  <si>
    <t>KH-104</t>
  </si>
  <si>
    <t>KH-105</t>
  </si>
  <si>
    <t>KH-108</t>
  </si>
  <si>
    <t>KH-109</t>
  </si>
  <si>
    <t>KH-110</t>
  </si>
  <si>
    <t>KH-111</t>
  </si>
  <si>
    <t>KH-200</t>
  </si>
  <si>
    <t>KHB-870</t>
  </si>
  <si>
    <t>KHP-106</t>
  </si>
  <si>
    <t>KHP-107</t>
  </si>
  <si>
    <t>Kim-01</t>
  </si>
  <si>
    <t>Kings assessment kit</t>
  </si>
  <si>
    <t>KM-100</t>
  </si>
  <si>
    <t>KM1000</t>
  </si>
  <si>
    <t>KM-5000</t>
  </si>
  <si>
    <t>KMS-1</t>
  </si>
  <si>
    <t>KMS-2</t>
  </si>
  <si>
    <t>K-MSII</t>
  </si>
  <si>
    <t>KNA-101</t>
  </si>
  <si>
    <t>KNA-101W</t>
  </si>
  <si>
    <t>KNA-2</t>
  </si>
  <si>
    <t>KNA-2W</t>
  </si>
  <si>
    <t>KNAH-101</t>
  </si>
  <si>
    <t>KoreanJAWSProfessional</t>
  </si>
  <si>
    <t>KoreanJAWSProfessional(2023년)</t>
  </si>
  <si>
    <t>KORI-100</t>
  </si>
  <si>
    <t>KP-31</t>
  </si>
  <si>
    <t>KP31.2</t>
  </si>
  <si>
    <t>KP-45.5</t>
  </si>
  <si>
    <t>KP-80</t>
  </si>
  <si>
    <t>KPB-100</t>
  </si>
  <si>
    <t>KQ-A3311</t>
  </si>
  <si>
    <t>KR-1</t>
  </si>
  <si>
    <t>KR-77</t>
  </si>
  <si>
    <t>KS0013M01S</t>
  </si>
  <si>
    <t>KS11-PF</t>
  </si>
  <si>
    <t>목욕용 휠체어</t>
  </si>
  <si>
    <t>KS-300</t>
  </si>
  <si>
    <t>KS-500</t>
  </si>
  <si>
    <t>KSCU01</t>
  </si>
  <si>
    <t>KT-130</t>
  </si>
  <si>
    <t>KW300 그래핀</t>
  </si>
  <si>
    <t>LAS</t>
  </si>
  <si>
    <t>LBC4040</t>
  </si>
  <si>
    <t>LBP-01</t>
  </si>
  <si>
    <t>LBP-02</t>
  </si>
  <si>
    <t>LC</t>
  </si>
  <si>
    <t>LCA1-C1</t>
  </si>
  <si>
    <t>LEADER</t>
  </si>
  <si>
    <t>Let's Fly</t>
  </si>
  <si>
    <t>Let's Move</t>
  </si>
  <si>
    <t>LG-01</t>
  </si>
  <si>
    <t>liftware level starer kit</t>
  </si>
  <si>
    <t>LIFTWARE SPOON</t>
  </si>
  <si>
    <t>LIGHTNING TILT</t>
  </si>
  <si>
    <t>Liker 3S TPU</t>
  </si>
  <si>
    <t>Liker 3T</t>
  </si>
  <si>
    <t>Liker SLV3</t>
  </si>
  <si>
    <t>Liker TLV3</t>
  </si>
  <si>
    <t>LNKS-MIP-01</t>
  </si>
  <si>
    <t>LNKS-MIP-02</t>
  </si>
  <si>
    <t>LNKS-MIP-03</t>
  </si>
  <si>
    <t>LNKS-WIP-01</t>
  </si>
  <si>
    <t>LNKS-WIP-02</t>
  </si>
  <si>
    <t>LNKS-WIP-04</t>
  </si>
  <si>
    <t>LP-011 보나수30cc</t>
  </si>
  <si>
    <t>LP-021 보나수50cc</t>
  </si>
  <si>
    <t>LS-10B</t>
  </si>
  <si>
    <t>LS-20F</t>
  </si>
  <si>
    <t>LV-1 몰딩이너</t>
  </si>
  <si>
    <t>LV체형 복원이너</t>
  </si>
  <si>
    <t>Lv카시트</t>
  </si>
  <si>
    <t>LV후방기립스탠더</t>
  </si>
  <si>
    <t>M1</t>
  </si>
  <si>
    <t>M-2</t>
  </si>
  <si>
    <t>M4BK</t>
  </si>
  <si>
    <t>M6 Junior</t>
  </si>
  <si>
    <t>MADE-2DP</t>
  </si>
  <si>
    <t>MADE-7DP</t>
  </si>
  <si>
    <t>MARK-2DP</t>
  </si>
  <si>
    <t>MARK-ⅡSILVER</t>
  </si>
  <si>
    <t>MASILI-600</t>
  </si>
  <si>
    <t>max2080</t>
  </si>
  <si>
    <t>MB-1813</t>
  </si>
  <si>
    <t>MB-1R</t>
  </si>
  <si>
    <t>MB723</t>
  </si>
  <si>
    <t>MC SERIES</t>
  </si>
  <si>
    <t>MC-22</t>
  </si>
  <si>
    <t>MC4040-06</t>
  </si>
  <si>
    <t>MCG-300</t>
  </si>
  <si>
    <t>MCK88-M</t>
  </si>
  <si>
    <t>MCP-201</t>
  </si>
  <si>
    <t>MCS-04</t>
  </si>
  <si>
    <t>MD-100 TPU3</t>
  </si>
  <si>
    <t>MD300</t>
  </si>
  <si>
    <t>MD-300 TPU3</t>
  </si>
  <si>
    <t>MD-833A</t>
  </si>
  <si>
    <t>MDEYE-001</t>
  </si>
  <si>
    <t>MDR-02B</t>
  </si>
  <si>
    <t>MF-22D</t>
  </si>
  <si>
    <t>MFL-48DLX(FS)</t>
  </si>
  <si>
    <t>MGL-48DLX</t>
  </si>
  <si>
    <t>MGT-100</t>
  </si>
  <si>
    <t>MH21213</t>
  </si>
  <si>
    <t>MHR-02</t>
  </si>
  <si>
    <t>MikiEV-5</t>
  </si>
  <si>
    <t>MIKI-JTN</t>
  </si>
  <si>
    <t>MiKi-LT 2</t>
  </si>
  <si>
    <t>MiKi-LT 3</t>
  </si>
  <si>
    <t>MIKI-PB</t>
  </si>
  <si>
    <t>MIKI-Q</t>
  </si>
  <si>
    <t>MIKI-VH</t>
  </si>
  <si>
    <t>MiKi-W</t>
  </si>
  <si>
    <t>MiKi-W AH</t>
  </si>
  <si>
    <t>MiKi-W EV</t>
  </si>
  <si>
    <t>MiKi-W QR</t>
  </si>
  <si>
    <t>MINICOM</t>
  </si>
  <si>
    <t>스위치 (켜고 끄기 및 기타 기능)</t>
  </si>
  <si>
    <t>Miolet for U</t>
  </si>
  <si>
    <t>MIRAGE(22)</t>
  </si>
  <si>
    <t>MIRAGE(22D)</t>
  </si>
  <si>
    <t>MIRAGE2(16D)</t>
  </si>
  <si>
    <t>MIRAGE2(22/24)</t>
  </si>
  <si>
    <t>MIRAGE22D-E</t>
  </si>
  <si>
    <t>MIRAGE22D-P</t>
  </si>
  <si>
    <t>MIRAGE5(22/24)</t>
  </si>
  <si>
    <t>MIRAGE7(16D)</t>
  </si>
  <si>
    <t>MIRAGE7(22/24)</t>
  </si>
  <si>
    <t>MIRAGE7(22D)</t>
  </si>
  <si>
    <t>MIRAGE-7(22D)-B</t>
  </si>
  <si>
    <t>MIRAGE-7(22D)-C</t>
  </si>
  <si>
    <t>MIRAGE7(22D/24D)</t>
  </si>
  <si>
    <t>MIRAGE7(22D/24D)-B</t>
  </si>
  <si>
    <t>MIRAGE7(바퀴분리형)</t>
  </si>
  <si>
    <t>MK 1000</t>
  </si>
  <si>
    <t>MK500</t>
  </si>
  <si>
    <t>MK-ASC-5B</t>
  </si>
  <si>
    <t>MK-BC-3</t>
  </si>
  <si>
    <t>MK-WS-1</t>
  </si>
  <si>
    <t>ML-22D</t>
  </si>
  <si>
    <t>MM-1000</t>
  </si>
  <si>
    <t>MM-2000M</t>
  </si>
  <si>
    <t>MM-Fit Hi 22 PU</t>
  </si>
  <si>
    <t>MMP-201</t>
  </si>
  <si>
    <t>MMP-205</t>
  </si>
  <si>
    <t>MMP-215</t>
  </si>
  <si>
    <t>MMP-315</t>
  </si>
  <si>
    <t>MMP-401</t>
  </si>
  <si>
    <t>MMW-201</t>
  </si>
  <si>
    <t>MOC-43LTPD</t>
  </si>
  <si>
    <t>MOCC-43D</t>
  </si>
  <si>
    <t>MONO100-FH</t>
  </si>
  <si>
    <t>Motus</t>
  </si>
  <si>
    <t>Motus 2.0 CS</t>
  </si>
  <si>
    <t>Motus 2.0 CV</t>
  </si>
  <si>
    <t>mouse mover(usb)</t>
  </si>
  <si>
    <t>전자기기 작동 및 제어를 위한 보조기기용 액세서리</t>
  </si>
  <si>
    <t>Movement Sensor Switch</t>
  </si>
  <si>
    <t>Mover 180</t>
  </si>
  <si>
    <t>MPG-04</t>
  </si>
  <si>
    <t>MPG-05</t>
  </si>
  <si>
    <t>MPG-06</t>
  </si>
  <si>
    <t>MPG-07</t>
  </si>
  <si>
    <t>MPG-08</t>
  </si>
  <si>
    <t>MPT-43</t>
  </si>
  <si>
    <t>MPWSW-43JD HG PU</t>
  </si>
  <si>
    <t>MRT-2D</t>
  </si>
  <si>
    <t>MRT-2DP</t>
  </si>
  <si>
    <t>MRT-7D</t>
  </si>
  <si>
    <t>MRT-7DP</t>
  </si>
  <si>
    <t>MS</t>
  </si>
  <si>
    <t>MSH-002</t>
  </si>
  <si>
    <t>MSH-102</t>
  </si>
  <si>
    <t>MSH-103(노인장기)</t>
  </si>
  <si>
    <t>MSH-103</t>
  </si>
  <si>
    <t>MSH-502(노인장기)</t>
  </si>
  <si>
    <t>MSH-502</t>
  </si>
  <si>
    <t>MSH-505(노인장기)</t>
  </si>
  <si>
    <t>MSIP-001</t>
  </si>
  <si>
    <t>MSIP-002</t>
  </si>
  <si>
    <t>MSIP-003</t>
  </si>
  <si>
    <t>MSIP-004</t>
  </si>
  <si>
    <t>MSL-T(24)</t>
  </si>
  <si>
    <t>MSP-0002</t>
  </si>
  <si>
    <t>MSP-0003</t>
  </si>
  <si>
    <t>MSP-0005</t>
  </si>
  <si>
    <t>MSPT-001</t>
  </si>
  <si>
    <t>MSPT-002</t>
  </si>
  <si>
    <t>MSPT-003</t>
  </si>
  <si>
    <t>MTB62</t>
  </si>
  <si>
    <t>MTB80</t>
  </si>
  <si>
    <t>MTCA</t>
  </si>
  <si>
    <t>MTGT L4</t>
  </si>
  <si>
    <t>MTS75</t>
  </si>
  <si>
    <t>MTSF110</t>
  </si>
  <si>
    <t>MTSS145</t>
  </si>
  <si>
    <t>MTX-7DP</t>
  </si>
  <si>
    <t>MVP-502</t>
  </si>
  <si>
    <t>My fit 조끼</t>
  </si>
  <si>
    <t>작업장용 개인 보호 장비</t>
  </si>
  <si>
    <t>MY-2</t>
  </si>
  <si>
    <t>N-1M-1D</t>
  </si>
  <si>
    <t>NA-101</t>
  </si>
  <si>
    <t>NA-101W</t>
  </si>
  <si>
    <t>NA-3DX</t>
  </si>
  <si>
    <t>NA-430</t>
  </si>
  <si>
    <t>NA-433</t>
  </si>
  <si>
    <t>NAH-101</t>
  </si>
  <si>
    <t>NEO-1</t>
  </si>
  <si>
    <t>NEO-10</t>
  </si>
  <si>
    <t>NEO-2</t>
  </si>
  <si>
    <t>NEO-3</t>
  </si>
  <si>
    <t>NEO-4</t>
  </si>
  <si>
    <t>NEO-5</t>
  </si>
  <si>
    <t>NEO-6</t>
  </si>
  <si>
    <t>NEO-7</t>
  </si>
  <si>
    <t>NEO-8</t>
  </si>
  <si>
    <t>NEO-9</t>
  </si>
  <si>
    <t>Neoprene 8X9</t>
  </si>
  <si>
    <t>NEW-PE03</t>
  </si>
  <si>
    <t>계단 오르고 내리기를 위하여 휠체어를 고정하는 장치</t>
  </si>
  <si>
    <t>NEYO-100</t>
  </si>
  <si>
    <t>NIMBO</t>
  </si>
  <si>
    <t>후방보행차</t>
  </si>
  <si>
    <t>NOVA-ZERO</t>
  </si>
  <si>
    <t>NS</t>
  </si>
  <si>
    <t>NSAM-0190</t>
  </si>
  <si>
    <t>NSBS-bm1416</t>
  </si>
  <si>
    <t>NSBS-LS4475</t>
  </si>
  <si>
    <t>NSBS-PC5033</t>
  </si>
  <si>
    <t>NSBS-PT150</t>
  </si>
  <si>
    <t>NSBS-PT200</t>
  </si>
  <si>
    <t>NSBS-sbim1416</t>
  </si>
  <si>
    <t>NT-1001</t>
  </si>
  <si>
    <t>NT-22D</t>
  </si>
  <si>
    <t>NT-22P</t>
  </si>
  <si>
    <t>NT-33P</t>
  </si>
  <si>
    <t>NT-6001</t>
  </si>
  <si>
    <t>NT-CT100</t>
  </si>
  <si>
    <t>NT-UB1001</t>
  </si>
  <si>
    <t>NURI</t>
  </si>
  <si>
    <t>NVA-200</t>
  </si>
  <si>
    <t>NVB-01</t>
  </si>
  <si>
    <t>NVB-100</t>
  </si>
  <si>
    <t>NVDA</t>
  </si>
  <si>
    <t>NVF-015</t>
  </si>
  <si>
    <t>NVT-02</t>
  </si>
  <si>
    <t>NVT-100</t>
  </si>
  <si>
    <t>NVT-200</t>
  </si>
  <si>
    <t>NY(M)-1300</t>
  </si>
  <si>
    <t>NY(S)-1200</t>
  </si>
  <si>
    <t>NY(T)-2100</t>
  </si>
  <si>
    <t>NY-1100</t>
  </si>
  <si>
    <t>NZ-3</t>
  </si>
  <si>
    <t>N플러스W</t>
  </si>
  <si>
    <t>OH-200</t>
  </si>
  <si>
    <t>OM-001</t>
  </si>
  <si>
    <t>ONE STICK J-1000</t>
  </si>
  <si>
    <t>ONE STICK J-3000</t>
  </si>
  <si>
    <t>OneWay Glide</t>
  </si>
  <si>
    <t>Original MAS</t>
  </si>
  <si>
    <t>OTTER 목욕의자</t>
  </si>
  <si>
    <t>P.A.E A1</t>
  </si>
  <si>
    <t>P.A.E A7</t>
  </si>
  <si>
    <t>P106-31AA-KR</t>
  </si>
  <si>
    <t>P12SXL</t>
  </si>
  <si>
    <t>P2</t>
  </si>
  <si>
    <t>P30</t>
  </si>
  <si>
    <t>P300</t>
  </si>
  <si>
    <t>PARTNER 2100</t>
  </si>
  <si>
    <t>PARTNER 2200</t>
  </si>
  <si>
    <t>Partner 7003</t>
  </si>
  <si>
    <t>PARTNER P1004</t>
  </si>
  <si>
    <t>PARTNER P3600</t>
  </si>
  <si>
    <t>PARTNER P7500</t>
  </si>
  <si>
    <t>PARTNER P8000</t>
  </si>
  <si>
    <t>PARTNER7001 (Comfy-S)</t>
  </si>
  <si>
    <t>PAX-30</t>
  </si>
  <si>
    <t>PB-20C</t>
  </si>
  <si>
    <t>PB-20M</t>
  </si>
  <si>
    <t>PB-25M</t>
  </si>
  <si>
    <t>PB-3000</t>
  </si>
  <si>
    <t>PB-30M</t>
  </si>
  <si>
    <t>PB-5000</t>
  </si>
  <si>
    <t>PB-7000</t>
  </si>
  <si>
    <t>PCeyeplus</t>
  </si>
  <si>
    <t>PF2K</t>
  </si>
  <si>
    <t>PF6K</t>
  </si>
  <si>
    <t>PHCB-2000</t>
  </si>
  <si>
    <t>PHCB-2100</t>
  </si>
  <si>
    <t>PHW-07</t>
  </si>
  <si>
    <t>Pillow switch on easy flex mount</t>
  </si>
  <si>
    <t>PIPER Comfort</t>
  </si>
  <si>
    <t>PLUS1412</t>
  </si>
  <si>
    <t>발 추진 3륜 자전거 및 4륜 자전거</t>
  </si>
  <si>
    <t>PLUS151</t>
  </si>
  <si>
    <t>PML-100A</t>
  </si>
  <si>
    <t>PMLS u pen pacage</t>
  </si>
  <si>
    <t>PMLS(picture master language software)</t>
  </si>
  <si>
    <t>PN-L23206KR</t>
  </si>
  <si>
    <t>PN-L30200BK</t>
  </si>
  <si>
    <t>PN-L4152101D</t>
  </si>
  <si>
    <t>POCKET-5D</t>
  </si>
  <si>
    <t>POS13</t>
  </si>
  <si>
    <t>POSKEY</t>
  </si>
  <si>
    <t>PPS-200</t>
  </si>
  <si>
    <t>PRO</t>
  </si>
  <si>
    <t>Prodigi connect 12</t>
  </si>
  <si>
    <t>PT-100</t>
  </si>
  <si>
    <t>PT-300</t>
  </si>
  <si>
    <t>PV197</t>
  </si>
  <si>
    <t>PW-2001(SUS형)</t>
  </si>
  <si>
    <t>PW-2001(SUS형)(2023년)</t>
  </si>
  <si>
    <t>PW-2001(우드형)</t>
  </si>
  <si>
    <t>PW-2001(우드형)(2023년)</t>
  </si>
  <si>
    <t>Q06LAJ-20"-NHIS</t>
  </si>
  <si>
    <t>Q2</t>
  </si>
  <si>
    <t>R-125SL</t>
  </si>
  <si>
    <t>R-205SL</t>
  </si>
  <si>
    <t>R-245SL</t>
  </si>
  <si>
    <t>Rapport-1</t>
  </si>
  <si>
    <t>Rapport-II</t>
  </si>
  <si>
    <t>Rapport-III</t>
  </si>
  <si>
    <t>RB-1001A</t>
  </si>
  <si>
    <t>RB13005FD</t>
  </si>
  <si>
    <t>RC402C</t>
  </si>
  <si>
    <t>Rea Clematis Pro</t>
  </si>
  <si>
    <t>ReadEasy Move2</t>
  </si>
  <si>
    <t>저시력패키지</t>
  </si>
  <si>
    <t>REM-100</t>
  </si>
  <si>
    <t>RGB-201L-1M</t>
  </si>
  <si>
    <t>RGB-201L-2M</t>
  </si>
  <si>
    <t>RGB-201L-3M</t>
  </si>
  <si>
    <t>RIGID LITE HOC</t>
  </si>
  <si>
    <t>ring writer clip</t>
  </si>
  <si>
    <t>RINO</t>
  </si>
  <si>
    <t>rlaauddk123</t>
  </si>
  <si>
    <t>Robowheel pro</t>
  </si>
  <si>
    <t>Roll-A-Ramp</t>
  </si>
  <si>
    <t>RR60N</t>
  </si>
  <si>
    <t>침대형 휠체어</t>
  </si>
  <si>
    <t>RS MOVE ON</t>
  </si>
  <si>
    <t>RS move on 2.0 Plus</t>
  </si>
  <si>
    <t>RS-table</t>
  </si>
  <si>
    <t>RT 몰딩이너 플러스</t>
  </si>
  <si>
    <t>RT3 모듈러 이너</t>
  </si>
  <si>
    <t>RT3 피트 모듈러이너</t>
  </si>
  <si>
    <t>RV POCKET</t>
  </si>
  <si>
    <t>RV pocket Ⅱ</t>
  </si>
  <si>
    <t>RV POCKET2</t>
  </si>
  <si>
    <t>RV 포켓</t>
  </si>
  <si>
    <t>RV 포켓(중)</t>
  </si>
  <si>
    <t>RV 포켓(특대)</t>
  </si>
  <si>
    <t>RX-1</t>
  </si>
  <si>
    <t>RX-553</t>
  </si>
  <si>
    <t>S01-600</t>
  </si>
  <si>
    <t>S145</t>
  </si>
  <si>
    <t>S148</t>
  </si>
  <si>
    <t>S19</t>
  </si>
  <si>
    <t>S19(2021년)</t>
  </si>
  <si>
    <t>S19 이지무브-접이식 전동스쿠터</t>
  </si>
  <si>
    <t>S3</t>
  </si>
  <si>
    <t>S-70G2</t>
  </si>
  <si>
    <t>S840W</t>
  </si>
  <si>
    <t>S846D</t>
  </si>
  <si>
    <t>SAMB</t>
  </si>
  <si>
    <t>SB-341AD</t>
  </si>
  <si>
    <t>SBM 210-1</t>
  </si>
  <si>
    <t>SBM 220</t>
  </si>
  <si>
    <t>SBM 310</t>
  </si>
  <si>
    <t>SBM-210</t>
  </si>
  <si>
    <t>SC SERIES</t>
  </si>
  <si>
    <t>SC-1</t>
  </si>
  <si>
    <t>SC-2200</t>
  </si>
  <si>
    <t xml:space="preserve">SC-2500 </t>
  </si>
  <si>
    <t>SC-700</t>
  </si>
  <si>
    <t>SC-9210</t>
  </si>
  <si>
    <t>SCS SERIES</t>
  </si>
  <si>
    <t>SE7010</t>
  </si>
  <si>
    <t xml:space="preserve">침대 및 탈착식 침대 판/전동조절식 매트리스 지지단 </t>
  </si>
  <si>
    <t>Seat2GO full option</t>
  </si>
  <si>
    <t>SEB-201AD</t>
  </si>
  <si>
    <t>SEB-501AD</t>
  </si>
  <si>
    <t>SEB-601AD</t>
  </si>
  <si>
    <t>S-ERGO 115</t>
  </si>
  <si>
    <t>SF</t>
  </si>
  <si>
    <t>SFB-01</t>
  </si>
  <si>
    <t>SFB-02</t>
  </si>
  <si>
    <t>SFB-03</t>
  </si>
  <si>
    <t>SFB-04</t>
  </si>
  <si>
    <t>SFB-05</t>
  </si>
  <si>
    <t>SFBW-01</t>
  </si>
  <si>
    <t>SFBW-02</t>
  </si>
  <si>
    <t>SFT-R</t>
  </si>
  <si>
    <t>SFT-R(2023년)</t>
  </si>
  <si>
    <t>SH-100</t>
  </si>
  <si>
    <t>SH-B1</t>
  </si>
  <si>
    <t>SHB-100</t>
  </si>
  <si>
    <t>SHB101</t>
  </si>
  <si>
    <t>SH-B1S</t>
  </si>
  <si>
    <t>SHB-200</t>
  </si>
  <si>
    <t>SHB201</t>
  </si>
  <si>
    <t>SHL-01B</t>
  </si>
  <si>
    <t>SHL-01B(LED)</t>
  </si>
  <si>
    <t>SHL-01BS</t>
  </si>
  <si>
    <t>SHL-01BS(LED)</t>
  </si>
  <si>
    <t>SHM-300</t>
  </si>
  <si>
    <t>SHS-4</t>
  </si>
  <si>
    <t>SHS-6</t>
  </si>
  <si>
    <t>SightScope</t>
  </si>
  <si>
    <t>SightScope(2023년)</t>
  </si>
  <si>
    <t>sip and puff switch</t>
  </si>
  <si>
    <t>SJ-001</t>
  </si>
  <si>
    <t>SJ-002</t>
  </si>
  <si>
    <t>SJ-100</t>
  </si>
  <si>
    <t>SJ-19</t>
  </si>
  <si>
    <t>SJ-200</t>
  </si>
  <si>
    <t>SJ-4</t>
  </si>
  <si>
    <t>SJK-01 방석</t>
  </si>
  <si>
    <t>SJK-02 방석</t>
  </si>
  <si>
    <t>SK-390L(블루,레드)</t>
  </si>
  <si>
    <t>SKB-101W</t>
  </si>
  <si>
    <t>SKB-1100 W</t>
  </si>
  <si>
    <t>SKB-110W</t>
  </si>
  <si>
    <t>SKC-660</t>
  </si>
  <si>
    <t>skippi-full option</t>
  </si>
  <si>
    <t>SKL-011</t>
  </si>
  <si>
    <t>SKL-020</t>
  </si>
  <si>
    <t>SKL-030</t>
  </si>
  <si>
    <t>SKM-500마블</t>
  </si>
  <si>
    <t>SKT-2</t>
  </si>
  <si>
    <t>SKT-400</t>
  </si>
  <si>
    <t>SKT-6</t>
  </si>
  <si>
    <t>SKW-330</t>
  </si>
  <si>
    <t>SL-01</t>
  </si>
  <si>
    <t>SL-101</t>
  </si>
  <si>
    <t>SL-155</t>
  </si>
  <si>
    <t>SL-200</t>
  </si>
  <si>
    <t>SLT-10</t>
  </si>
  <si>
    <t>SM-300</t>
  </si>
  <si>
    <t>SM303</t>
  </si>
  <si>
    <t>SM-4</t>
  </si>
  <si>
    <t>SMA-01</t>
  </si>
  <si>
    <t>Smart 150</t>
  </si>
  <si>
    <t>SMART-C PU</t>
  </si>
  <si>
    <t>SMART-D</t>
  </si>
  <si>
    <t>Smart-Twin</t>
  </si>
  <si>
    <t>SMART-V</t>
  </si>
  <si>
    <t>SM-DUB-002</t>
  </si>
  <si>
    <t>SM-DUB-004</t>
  </si>
  <si>
    <t>SMS-1000</t>
  </si>
  <si>
    <t>SMT-3000</t>
  </si>
  <si>
    <t>SMT-5000</t>
  </si>
  <si>
    <t>SM-V110K</t>
  </si>
  <si>
    <t>SNIW05(남성용)</t>
  </si>
  <si>
    <t>SNIW05(여성용)</t>
  </si>
  <si>
    <t>SOOM F-50cc</t>
  </si>
  <si>
    <t>SOOM F-80cc</t>
  </si>
  <si>
    <t>SOOM M-130cc</t>
  </si>
  <si>
    <t>SOWHA 1</t>
  </si>
  <si>
    <t>SOWHA-D</t>
  </si>
  <si>
    <t>SPACE-X</t>
  </si>
  <si>
    <t>SR-100</t>
  </si>
  <si>
    <t>SR-100S</t>
  </si>
  <si>
    <t>SS</t>
  </si>
  <si>
    <t>ST003-L</t>
  </si>
  <si>
    <t>ST10</t>
  </si>
  <si>
    <t>ST-100</t>
  </si>
  <si>
    <t>STAR CUSHION</t>
  </si>
  <si>
    <t>STARLOCKCUSHION</t>
  </si>
  <si>
    <t>STARLOCKCUSHION(2023년)</t>
  </si>
  <si>
    <t>Start M1 Ver2 Size 40.5</t>
  </si>
  <si>
    <t>Start M1 ver2 Size 43</t>
  </si>
  <si>
    <t>Start M1 Ver3 Size 40.5</t>
  </si>
  <si>
    <t>Start M1 ver3 Size 43</t>
  </si>
  <si>
    <t>Start M1/조이휠 장착</t>
  </si>
  <si>
    <t>Start Multi L 12</t>
  </si>
  <si>
    <t>Start Multi L 24</t>
  </si>
  <si>
    <t>stepless 조립식경사로</t>
  </si>
  <si>
    <t>ST-PS100</t>
  </si>
  <si>
    <t>suitcase ramp</t>
  </si>
  <si>
    <t>SUNU band S</t>
  </si>
  <si>
    <t>SW-1</t>
  </si>
  <si>
    <t>SW-100F</t>
  </si>
  <si>
    <t>SW-100P</t>
  </si>
  <si>
    <t>SW-100T</t>
  </si>
  <si>
    <t>SW-200F</t>
  </si>
  <si>
    <t>SW-200T</t>
  </si>
  <si>
    <t>SW-300F</t>
  </si>
  <si>
    <t>SW-300T</t>
  </si>
  <si>
    <t>swing opener</t>
  </si>
  <si>
    <t>용기 오프너</t>
  </si>
  <si>
    <t>SW-J1</t>
  </si>
  <si>
    <t>SW-J2</t>
  </si>
  <si>
    <t>SW-J3</t>
  </si>
  <si>
    <t>SW-J4</t>
  </si>
  <si>
    <t>SWK-402A-WB</t>
  </si>
  <si>
    <t>SW-M1</t>
  </si>
  <si>
    <t>SW-S500</t>
  </si>
  <si>
    <t>SW-SM02</t>
  </si>
  <si>
    <t>SW-SM03</t>
  </si>
  <si>
    <t>SW-격자매트</t>
  </si>
  <si>
    <t>SW-지압plus</t>
  </si>
  <si>
    <t>T4S01AR0</t>
  </si>
  <si>
    <t>T700</t>
  </si>
  <si>
    <t>Tactile symbol communicator</t>
  </si>
  <si>
    <t>TAGI 롤레이터</t>
  </si>
  <si>
    <t>T-AMP100</t>
  </si>
  <si>
    <t>청각보조기기</t>
  </si>
  <si>
    <t>T-AMP100(2021년)</t>
  </si>
  <si>
    <t>Tango S-bed</t>
  </si>
  <si>
    <t>TB-2003</t>
  </si>
  <si>
    <t>TB-301</t>
  </si>
  <si>
    <t>TB-302</t>
  </si>
  <si>
    <t>TB-302-A</t>
  </si>
  <si>
    <t>TB-302P</t>
  </si>
  <si>
    <t>TB-512DB</t>
  </si>
  <si>
    <t>TB-673DL</t>
  </si>
  <si>
    <t>TBS-300</t>
  </si>
  <si>
    <t>TBS-300P</t>
  </si>
  <si>
    <t>TC-100</t>
  </si>
  <si>
    <t>TC-100(2022년)</t>
  </si>
  <si>
    <t>TDW-TDA-001</t>
  </si>
  <si>
    <t>TDW-TDA-101</t>
  </si>
  <si>
    <t>TDW-TDI-001</t>
  </si>
  <si>
    <t>TE-888NRB</t>
  </si>
  <si>
    <t>TE-889IS</t>
  </si>
  <si>
    <t>TE-889NRB</t>
  </si>
  <si>
    <t>TE-PHFW-1018</t>
  </si>
  <si>
    <t>TH-C</t>
  </si>
  <si>
    <t>TH-CA</t>
  </si>
  <si>
    <t>Theta</t>
  </si>
  <si>
    <t>TILT-2(16)</t>
  </si>
  <si>
    <t>TILT-2(22/24)</t>
  </si>
  <si>
    <t>tilt-7</t>
  </si>
  <si>
    <t>Tilt-7(22D)</t>
  </si>
  <si>
    <t>TILT-7(22D)</t>
  </si>
  <si>
    <t>TK901</t>
  </si>
  <si>
    <t>T-LINKD</t>
  </si>
  <si>
    <t>TLSO chair</t>
  </si>
  <si>
    <t>TM5</t>
  </si>
  <si>
    <t>TM5 MINI</t>
  </si>
  <si>
    <t>TOCCA ROLLATOR</t>
  </si>
  <si>
    <t>TOP END FORCE 3</t>
  </si>
  <si>
    <t>육상 스포츠용 보조기기</t>
  </si>
  <si>
    <t>TOPRO TROJA 5G</t>
  </si>
  <si>
    <t>TR</t>
  </si>
  <si>
    <t>TRA11</t>
  </si>
  <si>
    <t>TRA-H10</t>
  </si>
  <si>
    <t>TRA-H20</t>
  </si>
  <si>
    <t>TRA-H30</t>
  </si>
  <si>
    <t>Trans XL</t>
  </si>
  <si>
    <t>TRB</t>
  </si>
  <si>
    <t>TRB 로우</t>
  </si>
  <si>
    <t>헤드레스트타입</t>
  </si>
  <si>
    <t>TRC-2 PU</t>
  </si>
  <si>
    <t>TRIPLE A2</t>
  </si>
  <si>
    <t>Trive(트라이버)</t>
  </si>
  <si>
    <t>TS210</t>
  </si>
  <si>
    <t>TS210(2023년)</t>
  </si>
  <si>
    <t>TV197</t>
  </si>
  <si>
    <t>TW-0128</t>
  </si>
  <si>
    <t>TW-A2101</t>
  </si>
  <si>
    <t>T자형 필기보조기기</t>
  </si>
  <si>
    <t>U2</t>
  </si>
  <si>
    <t>U2 GOLD</t>
  </si>
  <si>
    <t>UAL-305</t>
  </si>
  <si>
    <t>UNIX 22D-A</t>
  </si>
  <si>
    <t>UNIX 22D-S</t>
  </si>
  <si>
    <t>UNIX-1(유닉스-1)</t>
  </si>
  <si>
    <t>URB-PR101</t>
  </si>
  <si>
    <t>URB-PR102</t>
  </si>
  <si>
    <t>URB-PR103</t>
  </si>
  <si>
    <t>URB-PR104</t>
  </si>
  <si>
    <t>URB-PR105</t>
  </si>
  <si>
    <t>USL-01</t>
  </si>
  <si>
    <t>U자형 롤레이터</t>
  </si>
  <si>
    <t>U자형 어깨보행차</t>
  </si>
  <si>
    <t>VA-3000</t>
  </si>
  <si>
    <t>Ventus</t>
  </si>
  <si>
    <t>vertical palm fork</t>
  </si>
  <si>
    <t>vertical palm spoon</t>
  </si>
  <si>
    <t>Vertical Plate Switch</t>
  </si>
  <si>
    <t>VES</t>
  </si>
  <si>
    <t>확대용 돋보기</t>
  </si>
  <si>
    <t>VES(2023년)</t>
  </si>
  <si>
    <t>VICTORY FX</t>
  </si>
  <si>
    <t>VICTORY XL130</t>
  </si>
  <si>
    <t>VIP-515</t>
  </si>
  <si>
    <t>VISION STONE</t>
  </si>
  <si>
    <t>VSCREEN</t>
  </si>
  <si>
    <t>W3</t>
  </si>
  <si>
    <t>W5</t>
  </si>
  <si>
    <t>W70</t>
  </si>
  <si>
    <t>WA6647</t>
  </si>
  <si>
    <t>WA6647B</t>
  </si>
  <si>
    <t>WA-T100</t>
  </si>
  <si>
    <t>Watchdog</t>
  </si>
  <si>
    <t>WB-003</t>
  </si>
  <si>
    <t>WB-R001</t>
  </si>
  <si>
    <t>WDR-02</t>
  </si>
  <si>
    <t>WELKER-01</t>
  </si>
  <si>
    <t>WELLHIPS-D</t>
  </si>
  <si>
    <t>wheelable</t>
  </si>
  <si>
    <t>WHILL 모델F</t>
  </si>
  <si>
    <t>WHR-01</t>
  </si>
  <si>
    <t>Wingus</t>
  </si>
  <si>
    <t>With talk</t>
  </si>
  <si>
    <t>W-LEGEND</t>
  </si>
  <si>
    <t>WR04-3.4</t>
  </si>
  <si>
    <t>WS1100J</t>
  </si>
  <si>
    <t>WS1220E</t>
  </si>
  <si>
    <t>WS1220E(좌식)(2023년)</t>
  </si>
  <si>
    <t>WS4211T</t>
  </si>
  <si>
    <t>WS4211T(입식)(2023년)</t>
  </si>
  <si>
    <t>WS6630</t>
  </si>
  <si>
    <t>WS7300</t>
  </si>
  <si>
    <t>WS7730</t>
  </si>
  <si>
    <t>WS8830</t>
  </si>
  <si>
    <t>WS8833</t>
  </si>
  <si>
    <t>WS9300</t>
  </si>
  <si>
    <t>WS930W</t>
  </si>
  <si>
    <t>WS9311</t>
  </si>
  <si>
    <t>WS950</t>
  </si>
  <si>
    <t>WS9500</t>
  </si>
  <si>
    <t>WS9930</t>
  </si>
  <si>
    <t>WZE333</t>
  </si>
  <si>
    <t>X-panda</t>
  </si>
  <si>
    <t>YB-1104A</t>
  </si>
  <si>
    <t>YGA001</t>
  </si>
  <si>
    <t>YGA002</t>
  </si>
  <si>
    <t>YGA003</t>
  </si>
  <si>
    <t>YGA02</t>
  </si>
  <si>
    <t>YGA03</t>
  </si>
  <si>
    <t>YGC001</t>
  </si>
  <si>
    <t>YGC01</t>
  </si>
  <si>
    <t>YGH002</t>
  </si>
  <si>
    <t>YGH02</t>
  </si>
  <si>
    <t>YGM03</t>
  </si>
  <si>
    <t>YGM04</t>
  </si>
  <si>
    <t>YGM2</t>
  </si>
  <si>
    <t>YGM3</t>
  </si>
  <si>
    <t>YGM4</t>
  </si>
  <si>
    <t>YGW-L</t>
  </si>
  <si>
    <t>YGW-T</t>
  </si>
  <si>
    <t>YH-001</t>
  </si>
  <si>
    <t>YH-003</t>
  </si>
  <si>
    <t>YH-004</t>
  </si>
  <si>
    <t>YH-007</t>
  </si>
  <si>
    <t>YH-008</t>
  </si>
  <si>
    <t>YH-010</t>
  </si>
  <si>
    <t>YH-0201D</t>
  </si>
  <si>
    <t>YH-0301</t>
  </si>
  <si>
    <t>YH-0302</t>
  </si>
  <si>
    <t>YH-0302TPU</t>
  </si>
  <si>
    <t>YH-0305</t>
  </si>
  <si>
    <t>YH-11</t>
  </si>
  <si>
    <t>YH-12</t>
  </si>
  <si>
    <t>YH-2002</t>
  </si>
  <si>
    <t>욕조</t>
  </si>
  <si>
    <t>이동욕조</t>
  </si>
  <si>
    <t>YH-201</t>
  </si>
  <si>
    <t>YH-2013</t>
  </si>
  <si>
    <t>YH-2014</t>
  </si>
  <si>
    <t>YH-202</t>
  </si>
  <si>
    <t>YH-2023</t>
  </si>
  <si>
    <t>YH-203</t>
  </si>
  <si>
    <t>YH-204</t>
  </si>
  <si>
    <t>YH-3&amp;1</t>
  </si>
  <si>
    <t>YH-805</t>
  </si>
  <si>
    <t>YH-CG01</t>
  </si>
  <si>
    <t>YH-CR01</t>
  </si>
  <si>
    <t>YH-CR02</t>
  </si>
  <si>
    <t>YH-LA31</t>
  </si>
  <si>
    <t>YH-LA32</t>
  </si>
  <si>
    <t>YH-LA33L</t>
  </si>
  <si>
    <t>YS-3D</t>
  </si>
  <si>
    <t>YW-BA-1000</t>
  </si>
  <si>
    <t>YW-BA-2000</t>
  </si>
  <si>
    <t>YW-M100</t>
  </si>
  <si>
    <t>Z1</t>
  </si>
  <si>
    <t>ZBW003</t>
  </si>
  <si>
    <t>ZBW004</t>
  </si>
  <si>
    <t>Zenit CLT</t>
  </si>
  <si>
    <t>Zenit R CLT</t>
  </si>
  <si>
    <t>Zigzag walker</t>
  </si>
  <si>
    <t>ZMEW Z9000</t>
  </si>
  <si>
    <t>ZS-5000</t>
  </si>
  <si>
    <t>ZS-9000</t>
  </si>
  <si>
    <t>Z-Star</t>
  </si>
  <si>
    <t>가림판 국수재단기 커터날 아크릴 615*450*3</t>
  </si>
  <si>
    <t>직업 평가 및 직업 훈련용 보조기기</t>
  </si>
  <si>
    <t>-(직업 평가 및 직업 훈련용 보조기기)</t>
  </si>
  <si>
    <t>가림판 반죽롤러 아크릴 275*400*3</t>
  </si>
  <si>
    <t>가발</t>
  </si>
  <si>
    <t>재활보조기구보급사업</t>
  </si>
  <si>
    <t>가스링핸드컨트롤</t>
  </si>
  <si>
    <t>장애인 차량용 액세서리 및 개조용품</t>
  </si>
  <si>
    <t>속도 제어용 차량 액세서리 및 개조용품</t>
  </si>
  <si>
    <t>가스링핸드컨트롤(2023년)</t>
  </si>
  <si>
    <t>가슴지지대</t>
  </si>
  <si>
    <t>휠체어용 몸통 및 골반 지지대</t>
  </si>
  <si>
    <t>가슴지지대(N2021년)</t>
  </si>
  <si>
    <t>가슴지지패드</t>
  </si>
  <si>
    <t>가슴지지패드(2023년)</t>
  </si>
  <si>
    <t>가위 원예용 수축튜브</t>
  </si>
  <si>
    <t>가이드 인입 실링기</t>
  </si>
  <si>
    <t>각도조절형 마우스스틱</t>
  </si>
  <si>
    <t>각도조절형 태블릿pc거치대</t>
  </si>
  <si>
    <t>스탠드</t>
  </si>
  <si>
    <t>감마스탠딩</t>
  </si>
  <si>
    <t>감마스탠딩(2021년)</t>
  </si>
  <si>
    <t>강한손 보이고(보조공학기기)</t>
  </si>
  <si>
    <t>강한손보이고(2022년)</t>
  </si>
  <si>
    <t>강한손 보이고(정보통신)</t>
  </si>
  <si>
    <t>광학문자판독기</t>
  </si>
  <si>
    <t>강한손 안마사랑(보조공학기기)</t>
  </si>
  <si>
    <t>사무행정, 정보 저장 및 관리용 보조기기</t>
  </si>
  <si>
    <t>사무용 기기 및 장비</t>
  </si>
  <si>
    <t>강한손안마사랑(2023년)</t>
  </si>
  <si>
    <t>강한손 안마사랑(정보통신)</t>
  </si>
  <si>
    <t>강한손 이지스 울트라</t>
  </si>
  <si>
    <t>강한손이지스울트라(2022년)</t>
  </si>
  <si>
    <t>강한손엄지서포터</t>
  </si>
  <si>
    <t>작업장 내 건강보호 및 안전용 보조기기</t>
  </si>
  <si>
    <t>강한손엄지서포터(2022년)</t>
  </si>
  <si>
    <t>강한손이지스</t>
  </si>
  <si>
    <t>강한손이지스(2021년)</t>
  </si>
  <si>
    <t>강한손티티(보조공학기기)</t>
  </si>
  <si>
    <t>시간, 기억 및 일정 관리용 보조기기</t>
  </si>
  <si>
    <t>강한손티티(N2022년)</t>
  </si>
  <si>
    <t>강한손티티(정보통신)</t>
  </si>
  <si>
    <t>무선신호기</t>
  </si>
  <si>
    <t>강한손확대터치모니터32인치</t>
  </si>
  <si>
    <t>강한손확대터치모니터32인치(2023년)</t>
  </si>
  <si>
    <t>강한손휠체어글러브</t>
  </si>
  <si>
    <t>강한손휠체어글러브(2022년)</t>
  </si>
  <si>
    <t>개인용음성증폭기</t>
  </si>
  <si>
    <t>보철구지급사업</t>
  </si>
  <si>
    <t>음성 및 말하기용 보조기기</t>
  </si>
  <si>
    <t>개인용 음성증폭기</t>
  </si>
  <si>
    <t>개인용 음성 증폭기</t>
  </si>
  <si>
    <t>개조된 물통</t>
  </si>
  <si>
    <t>개폐차단장치 대형반죽기덮개 리밋트스위치</t>
  </si>
  <si>
    <t>거치대 각도조절형</t>
  </si>
  <si>
    <t>위치 조정용 보조기기</t>
  </si>
  <si>
    <t>위치 고정 시스템</t>
  </si>
  <si>
    <t>거치대 목발 휴대용</t>
  </si>
  <si>
    <t>보행용 보조기기 액세서리</t>
  </si>
  <si>
    <t>보행 보조기기 미사용 시 보관을 위한 고정 장치</t>
  </si>
  <si>
    <t>검볼 스위치</t>
  </si>
  <si>
    <t>게이트 트레이너(Gait Trainer)</t>
  </si>
  <si>
    <t>걸음걸이 훈련용 보조기기</t>
  </si>
  <si>
    <t>겨울 남성 캐쥬얼 옷8</t>
  </si>
  <si>
    <t>의류 및 신발</t>
  </si>
  <si>
    <t>겨울 남여성 캐쥬얼 옷10</t>
  </si>
  <si>
    <t>겨울 남여성 캐쥬얼 옷9</t>
  </si>
  <si>
    <t>겨울 여성 캐쥬얼 옷4</t>
  </si>
  <si>
    <t>경광등 알림 전자저울</t>
  </si>
  <si>
    <t>물리적 환경요소의 제어, 적응, 측정 보조기기</t>
  </si>
  <si>
    <t>측정용 보조기기</t>
  </si>
  <si>
    <t>사람을 제외한, 질량 측정용 보조기기 및 도구</t>
  </si>
  <si>
    <t>전자저울 경광동 0.5g 306x222</t>
  </si>
  <si>
    <t>경수용집게(롱)</t>
  </si>
  <si>
    <t>뻗기 연장용 보조기기</t>
  </si>
  <si>
    <t>수동 쥐기 집게</t>
  </si>
  <si>
    <t>경수용집게(롱)(2023년)</t>
  </si>
  <si>
    <t>경수용집게(숏)</t>
  </si>
  <si>
    <t>경수용집게(숏)(2023년)</t>
  </si>
  <si>
    <t>경수용휠체어글러브</t>
  </si>
  <si>
    <t>경수용휠체어글러브(2023년)</t>
  </si>
  <si>
    <t>계단리프트(DW-ST003A)</t>
  </si>
  <si>
    <t>좌석형 계단 리프트</t>
  </si>
  <si>
    <t>고요한택시</t>
  </si>
  <si>
    <t>대면 의사소통용 보조기기</t>
  </si>
  <si>
    <t>고요한택시(2023년 1차)</t>
  </si>
  <si>
    <t>고우토커 전용 스탠드</t>
  </si>
  <si>
    <t>고우토커20</t>
  </si>
  <si>
    <t>고토크20+</t>
  </si>
  <si>
    <t>고토크9+</t>
  </si>
  <si>
    <t>고투시트</t>
  </si>
  <si>
    <t>골무트리</t>
  </si>
  <si>
    <t>골무포인터마우스</t>
  </si>
  <si>
    <t>골무포인터마우스(2023년)</t>
  </si>
  <si>
    <t>골반보조기</t>
  </si>
  <si>
    <t>다리보조기</t>
  </si>
  <si>
    <t>골반 보조기</t>
  </si>
  <si>
    <t>골반의지</t>
  </si>
  <si>
    <t xml:space="preserve">다리 의지 </t>
  </si>
  <si>
    <t>골반 의지</t>
  </si>
  <si>
    <t>골전도보청기</t>
  </si>
  <si>
    <t>보청기</t>
  </si>
  <si>
    <t>골도음향기기</t>
  </si>
  <si>
    <t>공기조절분사형 AD-1200 L/V</t>
  </si>
  <si>
    <t>공압식 스위치</t>
  </si>
  <si>
    <t>관절고정형태블릿pc거치대</t>
  </si>
  <si>
    <t>광폭벨트</t>
  </si>
  <si>
    <t>자동차용 안전벨트 및 조끼식 벨트</t>
  </si>
  <si>
    <t>광폭벨트(2023년)</t>
  </si>
  <si>
    <t>교대부양형 RC202</t>
  </si>
  <si>
    <t>구동워커 고급형</t>
  </si>
  <si>
    <t>굳은형 숟가락</t>
  </si>
  <si>
    <t>굽은 목욕용 브러쉬</t>
  </si>
  <si>
    <t>고정 장치 또는 손잡이가 달린 목욕 수건, 스펀지, 솔</t>
  </si>
  <si>
    <t>굿보이스</t>
  </si>
  <si>
    <t>그라스프 스위치</t>
  </si>
  <si>
    <t>그래비티 쿠션체어 세트</t>
  </si>
  <si>
    <t>그리즐리(Grizzly)</t>
  </si>
  <si>
    <t>근력증강 자동승강대차</t>
  </si>
  <si>
    <t>작업장 내 사물 운반용 보조기기</t>
  </si>
  <si>
    <t>수동식 리프팅 운반차</t>
  </si>
  <si>
    <t>글라이더</t>
  </si>
  <si>
    <t>글라이더워커</t>
  </si>
  <si>
    <t>글라이드보드</t>
  </si>
  <si>
    <t>기대고(GIDAEGO)</t>
  </si>
  <si>
    <t>기립보조의자</t>
  </si>
  <si>
    <t>기립 의자</t>
  </si>
  <si>
    <t>운동, 근력, 균형 및 심장 강화 훈련용 장비</t>
  </si>
  <si>
    <t>기립틀 및 기립을 위한 지지대</t>
  </si>
  <si>
    <t>기본형 RC101</t>
  </si>
  <si>
    <t>기억지원보조기기</t>
  </si>
  <si>
    <t>기억 지원 보조기기</t>
  </si>
  <si>
    <t>긴기장 내의 상/하의 세트 청소년용</t>
  </si>
  <si>
    <t>긴발톱깍이</t>
  </si>
  <si>
    <t>손발톱용 가위 및 손발톱깎기</t>
  </si>
  <si>
    <t>까미노(CAMINO)</t>
  </si>
  <si>
    <t>끈 달린 양말 신는 도구</t>
  </si>
  <si>
    <t>옷 입기 및 벗기용  보조기기</t>
  </si>
  <si>
    <t>나드리100</t>
  </si>
  <si>
    <t>나드리110</t>
  </si>
  <si>
    <t>나드리200</t>
  </si>
  <si>
    <t>나드리210</t>
  </si>
  <si>
    <t>나드리500</t>
  </si>
  <si>
    <t>나드리디럭스</t>
  </si>
  <si>
    <t>나래 T10</t>
  </si>
  <si>
    <t>나래-1000</t>
  </si>
  <si>
    <t>나래-1100</t>
  </si>
  <si>
    <t>나래200</t>
  </si>
  <si>
    <t>나래210</t>
  </si>
  <si>
    <t>나래-4000</t>
  </si>
  <si>
    <t>나래S100</t>
  </si>
  <si>
    <t>나이스워커4S</t>
  </si>
  <si>
    <t>나이스워커4SE</t>
  </si>
  <si>
    <t>나이팅게일(대)</t>
  </si>
  <si>
    <t>나이팅게일(소)</t>
  </si>
  <si>
    <t>나이팅게일(중)</t>
  </si>
  <si>
    <t>나이팅게일-A</t>
  </si>
  <si>
    <t>나이팅게일-B</t>
  </si>
  <si>
    <t>나이팅게일단차해소기 10</t>
  </si>
  <si>
    <t>나이팅게일단차해소기 20</t>
  </si>
  <si>
    <t>나이팅게일단차해소기 30</t>
  </si>
  <si>
    <t>나이팅게일축광(대)</t>
  </si>
  <si>
    <t>나이팅게일축광(소)</t>
  </si>
  <si>
    <t>나이팅게일축광(중)</t>
  </si>
  <si>
    <t>날이 둥근 나이프</t>
  </si>
  <si>
    <t>넓적다리의지</t>
  </si>
  <si>
    <t>넓적다리 의지</t>
  </si>
  <si>
    <t>넓적다리의지 소켓-실리콘형</t>
  </si>
  <si>
    <t>다리 의지 소켓</t>
  </si>
  <si>
    <t>넓적다리 의지(공압식 또는 유압식)-실리콘형 소켓(일반형 인공발, 고기능형 인공발), 넓적다리 의지(인공지능식)-실리콘형 소켓(고기능형 인공발)</t>
  </si>
  <si>
    <t>넓적다리의지 소켓-일반형</t>
  </si>
  <si>
    <t>넓적다리 의지(공압식 또는 유압식) -일반형소켓(일반형 인공발, 고기능형 인공발)</t>
  </si>
  <si>
    <t>넓적다리의지 실리콘라이너</t>
  </si>
  <si>
    <t>다리 의지 라이너</t>
  </si>
  <si>
    <t>넓적다리의지(인공지능식)-실리콘형 소켓(일반형 인공발)</t>
  </si>
  <si>
    <t>넓적다리 의지(인공지능식)-실리콘형 소켓(일반형 인공발)</t>
  </si>
  <si>
    <t>넓적다리의지(인공지능식)-일반형 소켓(일반형 인공발)</t>
  </si>
  <si>
    <t>넓적다리 의지(인공지능식)-일반형 소켓(일반형 인공발)</t>
  </si>
  <si>
    <t>넓적다리의지-실리콘형</t>
  </si>
  <si>
    <t>넓적다리 의지-실리콘형</t>
  </si>
  <si>
    <t>넓적다리의지-일반형</t>
  </si>
  <si>
    <t>넓적다리 의지-일반형</t>
  </si>
  <si>
    <t>네비게이션 신호기 센트</t>
  </si>
  <si>
    <t>네비게이션알리미세트</t>
  </si>
  <si>
    <t>네비게이션알리미세트(2023년)</t>
  </si>
  <si>
    <t>네비게이터</t>
  </si>
  <si>
    <t>네오다이나믹방석</t>
  </si>
  <si>
    <t>네오다이나믹방석(2022년)</t>
  </si>
  <si>
    <t>네오마노</t>
  </si>
  <si>
    <t>팔, 손, 손가락 및 혼합된 기능 대체용 보조기기</t>
  </si>
  <si>
    <t>로봇 조종기</t>
  </si>
  <si>
    <t>네오마노(2023년)</t>
  </si>
  <si>
    <t>네오센서리 손목밴드</t>
  </si>
  <si>
    <t>네오스틱-02</t>
  </si>
  <si>
    <t>노바에보</t>
  </si>
  <si>
    <t>노바캠리더(보조공학기기)</t>
  </si>
  <si>
    <t>노바캠리더(2021년)</t>
  </si>
  <si>
    <t>노바캠리더(정보통신)</t>
  </si>
  <si>
    <t>노크알리미</t>
  </si>
  <si>
    <t>논슬립200</t>
  </si>
  <si>
    <t>농구용 수동휠체어</t>
  </si>
  <si>
    <t>높낮이조절전동책상(전동형)</t>
  </si>
  <si>
    <t xml:space="preserve">뇌병변보행기
(소아용)</t>
  </si>
  <si>
    <t>뇌병변보행기(BW306)</t>
  </si>
  <si>
    <t>뇌병변보행기(청소년용)</t>
  </si>
  <si>
    <t>뉴라이트스텝</t>
  </si>
  <si>
    <t>뉴마마루</t>
  </si>
  <si>
    <t>뉴스마트룩스 디지털</t>
  </si>
  <si>
    <t>뉴포트브레일(보조공학기기)</t>
  </si>
  <si>
    <t>뉴포트브레일(2022년)</t>
  </si>
  <si>
    <t>뉴포트브레일(정보통신)</t>
  </si>
  <si>
    <t>휴대용 점자 기록기(점자정보 단말기)</t>
  </si>
  <si>
    <t>점자정보단말기</t>
  </si>
  <si>
    <t>니터팔지지대 수동(NEATER NAS-Zeor)</t>
  </si>
  <si>
    <t xml:space="preserve">님보후방지지워커
성인용</t>
  </si>
  <si>
    <t xml:space="preserve">님보후방지지워커
아동용</t>
  </si>
  <si>
    <t xml:space="preserve">님보후방지지워커
유아용</t>
  </si>
  <si>
    <t xml:space="preserve">님보후방지지워커
청소년용</t>
  </si>
  <si>
    <t>다리보조기(보철구지급)</t>
  </si>
  <si>
    <t>-다리보조기</t>
  </si>
  <si>
    <t>다리의지 실리콘 커버</t>
  </si>
  <si>
    <t>다리 의지 마감(성형외관) 부분품</t>
  </si>
  <si>
    <t>다빈치PRO</t>
  </si>
  <si>
    <t>다빈치PRO(2023년)</t>
  </si>
  <si>
    <t>다용도 장애인손잡이1</t>
  </si>
  <si>
    <t>분리 가능한 손잡이 및 핸드그립</t>
  </si>
  <si>
    <t>다용도 장애인손잡이2</t>
  </si>
  <si>
    <t>다용도물병케이스</t>
  </si>
  <si>
    <t>다이셈 미끄럼방지매트(롤형 시트)</t>
  </si>
  <si>
    <t>다자간HD스마트영상전화기</t>
  </si>
  <si>
    <t>원거리 통신용 보조기기</t>
  </si>
  <si>
    <t>다기능 의사소통 시스템</t>
  </si>
  <si>
    <t>다자간HD스마트영상전화기(2023년)</t>
  </si>
  <si>
    <t>단추 끼우는 도구 고무손잡이</t>
  </si>
  <si>
    <t>단추 끼우개</t>
  </si>
  <si>
    <t>단추 끼우는 도구 나무손잡이</t>
  </si>
  <si>
    <t>단추 끼우는 도구 두꺼운손잡이</t>
  </si>
  <si>
    <t>단추 끼우는 도구 유연한</t>
  </si>
  <si>
    <t>단추 끼우는 도구 큰고리</t>
  </si>
  <si>
    <t>단추 끼우는 도구 폼손잡이</t>
  </si>
  <si>
    <t>닷워치DW-01</t>
  </si>
  <si>
    <t>촉각시계</t>
  </si>
  <si>
    <t>닷워치DW-01(N2021년)</t>
  </si>
  <si>
    <t>대체 입력 장치(스위치)</t>
  </si>
  <si>
    <t xml:space="preserve">대체마우스
(마우스스틱 자주색)</t>
  </si>
  <si>
    <t>던슬로프 S-125G2-E</t>
  </si>
  <si>
    <t>던슬로프 S-85G2-E</t>
  </si>
  <si>
    <t>던슬로프 라이트 슬림 R-245SL</t>
  </si>
  <si>
    <t>던슬로프 라이트슬림 S-165-G2-E</t>
  </si>
  <si>
    <t>덧신S</t>
  </si>
  <si>
    <t>덮개 반죽통 SUS 800*280*150</t>
  </si>
  <si>
    <t>데프신호기세트</t>
  </si>
  <si>
    <t>데프신호기플러스</t>
  </si>
  <si>
    <t>데프신호기플러스(2023년)</t>
  </si>
  <si>
    <t>도치아</t>
  </si>
  <si>
    <t>독립형 변기 팔 지지대 및 등지지대</t>
  </si>
  <si>
    <t>독립형 음성인식 스위치(VOIM-SW001)</t>
  </si>
  <si>
    <t>장애인사업주보조공학기기지급사업</t>
  </si>
  <si>
    <t>시각장애인용 독서확대기</t>
  </si>
  <si>
    <t>돋보기</t>
  </si>
  <si>
    <t>동행(sk-130)</t>
  </si>
  <si>
    <t>두드림(인공지능안마베드)</t>
  </si>
  <si>
    <t>작업대</t>
  </si>
  <si>
    <t>두드림(인공지능안마베드)(2023년 1차)</t>
  </si>
  <si>
    <t>둥근 국자모양 접시</t>
  </si>
  <si>
    <t>듀얼진동디지털알람시계</t>
  </si>
  <si>
    <t>듀얼진동디지털알람시계(N2021년)</t>
  </si>
  <si>
    <t>드라이브 듀러블</t>
  </si>
  <si>
    <t>드리마ST</t>
  </si>
  <si>
    <t>드림폰</t>
  </si>
  <si>
    <t>의사소통보조기기</t>
  </si>
  <si>
    <t>드림폰2.0</t>
  </si>
  <si>
    <t>드림폰Pro</t>
  </si>
  <si>
    <t>등·허리뼈 보조기-나이트식 허리뼈 보조기</t>
  </si>
  <si>
    <t>척추 및 머리 보조기</t>
  </si>
  <si>
    <t>등-허리-엉치 보조기</t>
  </si>
  <si>
    <t>등받이 휠체어 메쉬</t>
  </si>
  <si>
    <t>등-허리보조기(나이트테일러식)</t>
  </si>
  <si>
    <t>등-허리 보조기</t>
  </si>
  <si>
    <t>등-허리 보조기(나이트-테일러식)</t>
  </si>
  <si>
    <t>등-허리-엉치보조기(TLSO식 재킷)</t>
  </si>
  <si>
    <t>등-허리-엉치 보조기(TLSO식 Jacket)</t>
  </si>
  <si>
    <t>디지털 XL FHD 12</t>
  </si>
  <si>
    <t>디지털 사이니지 LEDTV 65인치 HDMI</t>
  </si>
  <si>
    <t>디지털 사이니지 LEDTV 75인치 HDMI</t>
  </si>
  <si>
    <t>디지털 사이니지 LEDTV 75인치 HDMI 벽걸이형</t>
  </si>
  <si>
    <t>뚜버기(MK1000)</t>
  </si>
  <si>
    <t>라온아띠 KCS-309</t>
  </si>
  <si>
    <t>라온아띠 KCS-811</t>
  </si>
  <si>
    <t>라온아띠 N 플러스 W</t>
  </si>
  <si>
    <t>라온아띠 N 플러스 화이트</t>
  </si>
  <si>
    <t>라온아띠 카본 KCS-518</t>
  </si>
  <si>
    <t>라이큐 욕실 범퍼매트</t>
  </si>
  <si>
    <t>라이트닝 푸쉬체어(Lightning Pushchair)</t>
  </si>
  <si>
    <t>라텍스 멀티쿠션</t>
  </si>
  <si>
    <t>라피오 라이트</t>
  </si>
  <si>
    <t>라피오 베이직</t>
  </si>
  <si>
    <t>라피오 포지션</t>
  </si>
  <si>
    <t>랩키즈(LAPS Kids)</t>
  </si>
  <si>
    <t>레스트웨건(REST wagon)</t>
  </si>
  <si>
    <t>레이이지무브RE</t>
  </si>
  <si>
    <t>휠체어 사용자 차량 승하차 이동용 보조기기</t>
  </si>
  <si>
    <t>레이이지무브RE(2023년)</t>
  </si>
  <si>
    <t>레이저상슬로프차량</t>
  </si>
  <si>
    <t>레이저상슬로프차량(2023년)</t>
  </si>
  <si>
    <t>레이저프로</t>
  </si>
  <si>
    <t>수동식 기립형 이동 장치</t>
  </si>
  <si>
    <t>레이휠체어슬로프</t>
  </si>
  <si>
    <t>레이휠체어슬로프(2023년)</t>
  </si>
  <si>
    <t>레카로 영스포츠 히어로</t>
  </si>
  <si>
    <t>레카로카시트</t>
  </si>
  <si>
    <t>레티사 디스플레이2</t>
  </si>
  <si>
    <t>레티사디스플레이2(2023년)</t>
  </si>
  <si>
    <t>레포차일드</t>
  </si>
  <si>
    <t>렉키 어드밴스 목욕의자</t>
  </si>
  <si>
    <t>렌투스보드</t>
  </si>
  <si>
    <t>로보휠</t>
  </si>
  <si>
    <t>로보휠 플러스 프로</t>
  </si>
  <si>
    <t>로보휠플러스</t>
  </si>
  <si>
    <t>로보휠플러스(2023년 1차)</t>
  </si>
  <si>
    <t>로아미워커</t>
  </si>
  <si>
    <t>로저 온 수신기 세트</t>
  </si>
  <si>
    <t>음성증폭기</t>
  </si>
  <si>
    <t>로저온로저수신기세트</t>
  </si>
  <si>
    <t>로저온로저수신기세트(2023년)</t>
  </si>
  <si>
    <t>로저펜 iN수신기세트(범용A)</t>
  </si>
  <si>
    <t>로제-01</t>
  </si>
  <si>
    <t>로제-02</t>
  </si>
  <si>
    <t>로호 패킷</t>
  </si>
  <si>
    <t>로호미니맥스쿠션</t>
  </si>
  <si>
    <t>로호미니맥스쿠션(2023년 1차)</t>
  </si>
  <si>
    <t>로호스탠다드싱글벨브방석</t>
  </si>
  <si>
    <t>로호스탠다드싱글벨브방석(2023년)</t>
  </si>
  <si>
    <t>로호컨투어셀렉트방석</t>
  </si>
  <si>
    <t>로호컨투어셀렉트방석(2023년)</t>
  </si>
  <si>
    <t>로호쿼드로방석</t>
  </si>
  <si>
    <t>로호쿼드로방석(2022년)</t>
  </si>
  <si>
    <t>로호쿼드로방석10</t>
  </si>
  <si>
    <t>로호쿼드로방석5.5</t>
  </si>
  <si>
    <t>로호쿼드로방석7</t>
  </si>
  <si>
    <t>로호쿼드로방석8</t>
  </si>
  <si>
    <t>로호쿼드로방석8.5</t>
  </si>
  <si>
    <t>로호하이브리드엘리트듀얼방석</t>
  </si>
  <si>
    <t>로호하이브리드엘리트듀얼방석(2023년)</t>
  </si>
  <si>
    <t>롤러조이스틱</t>
  </si>
  <si>
    <t>롤러조이스틱 플러스</t>
  </si>
  <si>
    <t>롤러조이스틱-버튼3</t>
  </si>
  <si>
    <t>롤러트랙볼</t>
  </si>
  <si>
    <t>롤즈모션2</t>
  </si>
  <si>
    <t>롱젠손잡이-01</t>
  </si>
  <si>
    <t>롱젠손잡이-02</t>
  </si>
  <si>
    <t>루나6</t>
  </si>
  <si>
    <t>루비10 HD</t>
  </si>
  <si>
    <t>루비5XL HD</t>
  </si>
  <si>
    <t>루비7HD</t>
  </si>
  <si>
    <t>루비7HD(2023년)</t>
  </si>
  <si>
    <t>루비XL5HD</t>
  </si>
  <si>
    <t>루비XL5HD(2023년)</t>
  </si>
  <si>
    <t>루키4HD</t>
  </si>
  <si>
    <t>루키4HD(2023년)</t>
  </si>
  <si>
    <t>룩투런 소프트웨어</t>
  </si>
  <si>
    <t>전자기기 운영 소프트웨어</t>
  </si>
  <si>
    <t>리버티네오(CLBN-2309)</t>
  </si>
  <si>
    <t>리베로</t>
  </si>
  <si>
    <t>리베로 오리지널</t>
  </si>
  <si>
    <t>리베로Ⅱ</t>
  </si>
  <si>
    <t>리보2 키보드</t>
  </si>
  <si>
    <t>리보3</t>
  </si>
  <si>
    <t>리보3(2022년)</t>
  </si>
  <si>
    <t>키보드(모바일제어 특수키보드)로 변경해야한다고 생각함</t>
  </si>
  <si>
    <t>리보3S(교부사업)</t>
  </si>
  <si>
    <t>녹음 및 재생장치</t>
  </si>
  <si>
    <t>리보3S(정보통신)</t>
  </si>
  <si>
    <t>인터페이스</t>
  </si>
  <si>
    <t>리보탭 울트라</t>
  </si>
  <si>
    <t>리보탭 플러스</t>
  </si>
  <si>
    <t>리빌16</t>
  </si>
  <si>
    <t>리치 (REACH)</t>
  </si>
  <si>
    <t>리틀스탭바이스탭레벨</t>
  </si>
  <si>
    <t>리틀캔디콘근접센서스위치</t>
  </si>
  <si>
    <t>리프트체어</t>
  </si>
  <si>
    <t>리프트체어 AFC-1200</t>
  </si>
  <si>
    <t>리프트카 PTR</t>
  </si>
  <si>
    <t>리프트카-SAL폴드170</t>
  </si>
  <si>
    <t>수동식 산업 운송 장비</t>
  </si>
  <si>
    <t>리프트카-SAL폴드170(2021년)</t>
  </si>
  <si>
    <t>릴레이션2</t>
  </si>
  <si>
    <t>릴레이션2(2023년)</t>
  </si>
  <si>
    <t>립스틱 마우스</t>
  </si>
  <si>
    <t>마누센사</t>
  </si>
  <si>
    <t>마누센사(2023년)</t>
  </si>
  <si>
    <t>마더바</t>
  </si>
  <si>
    <t>머리 및 목 지지대</t>
  </si>
  <si>
    <t>마마루</t>
  </si>
  <si>
    <t>마스터 슬라이드</t>
  </si>
  <si>
    <t>마우스 레이저 7버튼</t>
  </si>
  <si>
    <t>마우스스틱 터치형</t>
  </si>
  <si>
    <t>마운트플레이트</t>
  </si>
  <si>
    <t>마이크로라이트스위치</t>
  </si>
  <si>
    <t>마이토키 스마트</t>
  </si>
  <si>
    <t>마이토키 스마트(2020년)</t>
  </si>
  <si>
    <t>마이토키라이트</t>
  </si>
  <si>
    <t>마이토키보드</t>
  </si>
  <si>
    <t>마이토키스마트 프로</t>
  </si>
  <si>
    <t>마이토키윈도우</t>
  </si>
  <si>
    <t>마이티라이트 플러스</t>
  </si>
  <si>
    <t>만능작업용팔지지대</t>
  </si>
  <si>
    <t>만능작업용팔지지대(2023년)</t>
  </si>
  <si>
    <t>망원경</t>
  </si>
  <si>
    <t>맞춤형 교정용 신발</t>
  </si>
  <si>
    <t>기능 교정 맞춤 신발</t>
  </si>
  <si>
    <t>맞춤형교정용신발</t>
  </si>
  <si>
    <t>맞춤형 교정용 신발(18세 이하)</t>
  </si>
  <si>
    <t>맞춤형 교정용 신발-19세 이상인 사람으로서 발에 기능장애가 있는 자</t>
  </si>
  <si>
    <t>맞춤형 높낮이조절 작업테이블</t>
  </si>
  <si>
    <t>맞춤형 착석장치(블럭형)</t>
  </si>
  <si>
    <t>맞춤형 카시트</t>
  </si>
  <si>
    <t>매그니링크</t>
  </si>
  <si>
    <t>매그니링크(2023년)</t>
  </si>
  <si>
    <t>매너티</t>
  </si>
  <si>
    <t>매너티 높낮이 조절 프레임</t>
  </si>
  <si>
    <t>목욕 의자 분류 모호</t>
  </si>
  <si>
    <t>매너티(대)</t>
  </si>
  <si>
    <t>매너티(중)</t>
  </si>
  <si>
    <t>매너티목욕의자(3)</t>
  </si>
  <si>
    <t>매트 작업장 500×300×15</t>
  </si>
  <si>
    <t>작업장 매트</t>
  </si>
  <si>
    <t>맥시텐셀</t>
  </si>
  <si>
    <t>맥클라렌 메이저엘리트</t>
  </si>
  <si>
    <t>머그컵, 유리컵, 컵 및 받침접시</t>
  </si>
  <si>
    <t>가정 활동 및 참여를 위한 보조기기</t>
  </si>
  <si>
    <t>식사용 보조기기</t>
  </si>
  <si>
    <t>머린 엘리트 Pro</t>
  </si>
  <si>
    <t>머린ElitePro(2023년)</t>
  </si>
  <si>
    <t>머린Ultra</t>
  </si>
  <si>
    <t>머린Ultra(2023년)</t>
  </si>
  <si>
    <t>머린엘리프트프로</t>
  </si>
  <si>
    <t>멀티체어</t>
  </si>
  <si>
    <t>멀티체어기본형(소)</t>
  </si>
  <si>
    <t>멀티체어바퀴형(대)</t>
  </si>
  <si>
    <t>멀티체어좌석형(중)</t>
  </si>
  <si>
    <t>멀티핏베드(MFB-930K)</t>
  </si>
  <si>
    <t>메디카30</t>
  </si>
  <si>
    <t>메세지스톤</t>
  </si>
  <si>
    <t>메세지스톤(2021년)</t>
  </si>
  <si>
    <t>메세지스톤 양방향 화면공유</t>
  </si>
  <si>
    <t>메시지스톤 에듀 AI</t>
  </si>
  <si>
    <t>메이워커4(소)</t>
  </si>
  <si>
    <t>메이워커4(중)</t>
  </si>
  <si>
    <t>메이저엘리트</t>
  </si>
  <si>
    <t>메조(Mezzo)</t>
  </si>
  <si>
    <t>메클라렌메이저엘리트</t>
  </si>
  <si>
    <t>모모야모모 언어훈련패드(교부사업)</t>
  </si>
  <si>
    <t xml:space="preserve">대화용 장치 </t>
  </si>
  <si>
    <t>모모야모모 언어훈련패드(정보통신)</t>
  </si>
  <si>
    <t>독화 훈련용 보조기기</t>
  </si>
  <si>
    <t>언어훈련S/W</t>
  </si>
  <si>
    <t>모모재활자전거</t>
  </si>
  <si>
    <t>기타 스포츠용 보조기기</t>
  </si>
  <si>
    <t>모바일 베이스-피더시트</t>
  </si>
  <si>
    <t>자세지지용의자와 받침대</t>
  </si>
  <si>
    <t>모션큐 스탠다드 1000</t>
  </si>
  <si>
    <t>모션큐 이보크 1000</t>
  </si>
  <si>
    <t>목발</t>
  </si>
  <si>
    <t>목보조기(Cervical Jacket)</t>
  </si>
  <si>
    <t>목 보조기</t>
  </si>
  <si>
    <t>목보조기(토머스소프트칼라)</t>
  </si>
  <si>
    <t>목보조기(토머스 소프트칼라)</t>
  </si>
  <si>
    <t>목보조기(필라델피아)</t>
  </si>
  <si>
    <t>목뼈보조기-4지주</t>
  </si>
  <si>
    <t>목뼈보조기-자켓형</t>
  </si>
  <si>
    <t>목뼈보조기-토마스소프트칼라</t>
  </si>
  <si>
    <t>목뼈보조기-필라델피아</t>
  </si>
  <si>
    <t>몬자 노바 에보</t>
  </si>
  <si>
    <t>무거운 작은 숟가락</t>
  </si>
  <si>
    <t>무겁게 만든 홀더</t>
  </si>
  <si>
    <t>무릎관절 의지 소켓-실리콘형</t>
  </si>
  <si>
    <t>무릎관절의지소켓-실리콘형</t>
  </si>
  <si>
    <t>무릎관절 의지 소켓-일반형</t>
  </si>
  <si>
    <t>무릎관절 의지 소켓-일반형 신규품목</t>
  </si>
  <si>
    <t>무릎관절 의지 실리콘라이너</t>
  </si>
  <si>
    <t>무릎관절 의지 실리콘라이너 신규품목</t>
  </si>
  <si>
    <t>무릎관절보조기-플라스틱</t>
  </si>
  <si>
    <t>무릎 보조기</t>
  </si>
  <si>
    <t>무릎관절보조기-플라스틱(수가공품)</t>
  </si>
  <si>
    <t>무릎관절의지</t>
  </si>
  <si>
    <t>무릎관절 의지</t>
  </si>
  <si>
    <t xml:space="preserve">무릎관절의지-실리콘형 </t>
  </si>
  <si>
    <t>무릎관절의지-실리콘형</t>
  </si>
  <si>
    <t xml:space="preserve">무릎관절 의지-실리콘형 </t>
  </si>
  <si>
    <t xml:space="preserve">무릎관절의지-일반형 </t>
  </si>
  <si>
    <t>무릎관절의지-일반형</t>
  </si>
  <si>
    <t xml:space="preserve">무릎관절 의지-일반형 </t>
  </si>
  <si>
    <t>무릎-발목-발보조기</t>
  </si>
  <si>
    <t>무릎-발목-발 보조기</t>
  </si>
  <si>
    <t>무릎-발목-발보조기(한쪽)</t>
  </si>
  <si>
    <t>무릎-발목-발 보조기(한쪽)</t>
  </si>
  <si>
    <t>무릎보조기(레녹스힐)</t>
  </si>
  <si>
    <t xml:space="preserve">무릎 보조기-레녹스힐 </t>
  </si>
  <si>
    <t>무릎보조기(인대손상용)</t>
  </si>
  <si>
    <t>무릎 보조기-인대손상용</t>
  </si>
  <si>
    <t>무릎보조기-관절운동제한장치부착형</t>
  </si>
  <si>
    <t>무릎보조기(관절운동제한장치부착)</t>
  </si>
  <si>
    <t>무릎 보조기-관절운동 제한장치 부착형</t>
  </si>
  <si>
    <t>무릎보호대 조절형</t>
  </si>
  <si>
    <t>무브온(전동이동보조장치)</t>
  </si>
  <si>
    <t>휠체어 액세서리</t>
  </si>
  <si>
    <t>피벗 구동 장치</t>
  </si>
  <si>
    <t>무브온(2023년)</t>
  </si>
  <si>
    <t>무빈파워</t>
  </si>
  <si>
    <t>동력보조형 미는 휠체어</t>
  </si>
  <si>
    <t>무선 LED 초인등</t>
  </si>
  <si>
    <t>무선 수신기&amp;젤리빈 비머 트위스트 무선스위치</t>
  </si>
  <si>
    <t>무선리모컨 도채비</t>
  </si>
  <si>
    <t>무선호출기 비쥬콜</t>
  </si>
  <si>
    <t>무선호출기비쥬콜(2023년)</t>
  </si>
  <si>
    <t>뮤 MIU</t>
  </si>
  <si>
    <t>미끄럼방지매트</t>
  </si>
  <si>
    <t>미뇽(L)</t>
  </si>
  <si>
    <t>미뇽(Mignon)</t>
  </si>
  <si>
    <t>미니 좌변기(CM102)</t>
  </si>
  <si>
    <t>미니키보드</t>
  </si>
  <si>
    <t>미밴드8 액티브</t>
  </si>
  <si>
    <t>미어캣 버티칼 스탠더 full option</t>
  </si>
  <si>
    <t>미어캣(Meerkat)</t>
  </si>
  <si>
    <t>미오렛Ⅲ 프라임</t>
  </si>
  <si>
    <t>바닥 특수 앉기 자세유지용 장치(피더시트)</t>
  </si>
  <si>
    <t>바디서포트</t>
  </si>
  <si>
    <t>바디서포트(FC핏-등)</t>
  </si>
  <si>
    <t>장애인보조기기교부사업 - 휠체어 액세서리</t>
  </si>
  <si>
    <t>바디서포트(대형)-1단</t>
  </si>
  <si>
    <t>바디서포트(대형)-2단</t>
  </si>
  <si>
    <t>바디서포트(중형)</t>
  </si>
  <si>
    <t>바른몸 치료용 벤치</t>
  </si>
  <si>
    <t>바이오 스타 논슬립매트 Ⅱ</t>
  </si>
  <si>
    <t>바이오 스타 논슬립매트 Ⅲ</t>
  </si>
  <si>
    <t>바퀴달린 플로어시터-피더시트</t>
  </si>
  <si>
    <t>바퀴워커</t>
  </si>
  <si>
    <t>반지퍼 바지</t>
  </si>
  <si>
    <t>받침대 CCTV 조립</t>
  </si>
  <si>
    <t>발가락의지</t>
  </si>
  <si>
    <t>발 의지</t>
  </si>
  <si>
    <t>발목-발보조기(관절형, 금속형)</t>
  </si>
  <si>
    <t>발목-발 보조기</t>
  </si>
  <si>
    <t>발목-발 보조기(관절형-금속형)</t>
  </si>
  <si>
    <t>발목-발보조기(관절형, 플라스틱형)</t>
  </si>
  <si>
    <t>발목-발 보조기(관절형-플라스틱)</t>
  </si>
  <si>
    <t>발목-발보조기(일체형, 플라스틱형)</t>
  </si>
  <si>
    <t>발목-발 보조기(일체형-플라스틱)</t>
  </si>
  <si>
    <t>발목-발보조기(체중부하식)</t>
  </si>
  <si>
    <t>발목-발 보조기(체중부하식)</t>
  </si>
  <si>
    <t>발목-발보조기(크렌자크식, 금속형)</t>
  </si>
  <si>
    <t>발목-발 보조기(크렌자크식-금속형)</t>
  </si>
  <si>
    <t>발목-발보조기(크렌자크식, 플리스틱형)</t>
  </si>
  <si>
    <t>발목-발 보조기(크렌자크식-플라스틱)</t>
  </si>
  <si>
    <t>발목의지 소켓-실리콘형</t>
  </si>
  <si>
    <t>발목 의지 소켓-실리콘형 신규품목</t>
  </si>
  <si>
    <t>발목의지 실리콘라이너</t>
  </si>
  <si>
    <t>발목의지-실리콘형</t>
  </si>
  <si>
    <t>발목 의지</t>
  </si>
  <si>
    <t>발목 의지-실리콘형</t>
  </si>
  <si>
    <t>발목의지-일반형</t>
  </si>
  <si>
    <t xml:space="preserve">발목 의지-일반형 </t>
  </si>
  <si>
    <t>발보조기(양쪽)</t>
  </si>
  <si>
    <t>발 보조기</t>
  </si>
  <si>
    <t>발보조기(양쪽) 신규품목</t>
  </si>
  <si>
    <t>발열풋워머</t>
  </si>
  <si>
    <t>발의지</t>
  </si>
  <si>
    <t>발의지-실리콘형</t>
  </si>
  <si>
    <t>발 의지-실리콘형</t>
  </si>
  <si>
    <t>발의지-일반형</t>
  </si>
  <si>
    <t>발 의지-일반형</t>
  </si>
  <si>
    <t>발주현황판 네트워크 화면경보</t>
  </si>
  <si>
    <t>방석 공기 전동 EVA보정</t>
  </si>
  <si>
    <t>방석형 리프트</t>
  </si>
  <si>
    <t>들어올리기용 좌석 및 매트리스</t>
  </si>
  <si>
    <t>백건남자지팡이-01</t>
  </si>
  <si>
    <t>백건여자지팡이-01</t>
  </si>
  <si>
    <t>백건여자지팡이-02</t>
  </si>
  <si>
    <t>밸런스풋레스트</t>
  </si>
  <si>
    <t>의자용 액세서리</t>
  </si>
  <si>
    <t>다리 및 발 지지대</t>
  </si>
  <si>
    <t>밸런스풋레스트(2023년)</t>
  </si>
  <si>
    <t>버사노트</t>
  </si>
  <si>
    <t>수동 점자 기록 장비</t>
  </si>
  <si>
    <t>버사노트(2023년)</t>
  </si>
  <si>
    <t>버사프렌즈</t>
  </si>
  <si>
    <t>버사프렌즈(2023년)</t>
  </si>
  <si>
    <t>버즈클립</t>
  </si>
  <si>
    <t>방향 안내용 보조기기</t>
  </si>
  <si>
    <t>방향 안내용 전자 보조기기</t>
  </si>
  <si>
    <t>버즈클립(N2021년)</t>
  </si>
  <si>
    <t>버킹엄 글라이드 보드</t>
  </si>
  <si>
    <t>버튼 훅</t>
  </si>
  <si>
    <t>버튼형 집게</t>
  </si>
  <si>
    <t>버티칼스탠더미어캣</t>
  </si>
  <si>
    <t>버티컬마우스/WP012</t>
  </si>
  <si>
    <t>버티컬마우스/컴피2</t>
  </si>
  <si>
    <t>벌집하이브방석</t>
  </si>
  <si>
    <t>벌집하이브방석(2022년)</t>
  </si>
  <si>
    <t>벌집하이브방석(하이브XS)</t>
  </si>
  <si>
    <t>벌집하이브방석(하이브XS)(2021년)</t>
  </si>
  <si>
    <t>베리오 디지털 FHD</t>
  </si>
  <si>
    <t>베리오 디지털 FHD 16T</t>
  </si>
  <si>
    <t>베리오 디지털 FHD 22T</t>
  </si>
  <si>
    <t>베리오디지털FHD22T(2023년)</t>
  </si>
  <si>
    <t>베리오 디지털 FHD 고급형</t>
  </si>
  <si>
    <t>베리오디지털FHD고급형(2023년)</t>
  </si>
  <si>
    <t>베오(Veo)</t>
  </si>
  <si>
    <t>베이겔우핸드컨트롤러클래식</t>
  </si>
  <si>
    <t>베이겔우핸드컨트롤러클래식(2023년)</t>
  </si>
  <si>
    <t>베이직D</t>
  </si>
  <si>
    <t>프린터 및 점자 용지 재단기</t>
  </si>
  <si>
    <t>베이직D(2023년)</t>
  </si>
  <si>
    <t>벨로스타_조이휠(휠모터kit)</t>
  </si>
  <si>
    <t>벽 부착형 안전손잡이(CP600)</t>
  </si>
  <si>
    <t>벽 부착형 안전손잡이(CP800)</t>
  </si>
  <si>
    <t>벽부착 오프너</t>
  </si>
  <si>
    <t>벽부형 랜드레일</t>
  </si>
  <si>
    <t>변기형 안전손잡이(CSH-1000)</t>
  </si>
  <si>
    <t>병뚜껑 오프너</t>
  </si>
  <si>
    <t>병원침대 환자용 가정용 전동싱글침대</t>
  </si>
  <si>
    <t>보급형 접이식 좌변기</t>
  </si>
  <si>
    <t>보이스탭</t>
  </si>
  <si>
    <t>보이스탭(2021년)</t>
  </si>
  <si>
    <t>보이스탭프로</t>
  </si>
  <si>
    <t>보이스탭프로(2021년)</t>
  </si>
  <si>
    <t>보조기기 바지</t>
  </si>
  <si>
    <t>보필8</t>
  </si>
  <si>
    <t>보필9</t>
  </si>
  <si>
    <t>보행차(CA8860L)</t>
  </si>
  <si>
    <t>보행차-F778</t>
  </si>
  <si>
    <t>보행차-TM1</t>
  </si>
  <si>
    <t>보호대 무릎 (혼합)조절형</t>
  </si>
  <si>
    <t>보호대 무릎 (혼합)조절형 2023</t>
  </si>
  <si>
    <t>보호대 무릎 아대형</t>
  </si>
  <si>
    <t>보호대 무릎 아대형 2023</t>
  </si>
  <si>
    <t>보호대 무릎 조절형</t>
  </si>
  <si>
    <t>보호대 무릎 조절형 2023</t>
  </si>
  <si>
    <t>보호자용이동도구</t>
  </si>
  <si>
    <t>볼링램프(스틸볼링램프)</t>
  </si>
  <si>
    <t>봄가을 남성 비즈니스 옷5</t>
  </si>
  <si>
    <t>봄가을 남성 캐쥬얼 옷7</t>
  </si>
  <si>
    <t>봄가을 여성 비즈니스 옷1</t>
  </si>
  <si>
    <t>봄가을 여성 비즈니스 옷2</t>
  </si>
  <si>
    <t>봄가을 여성 캐쥬얼 옷3</t>
  </si>
  <si>
    <t>부엉이 클릭탭</t>
  </si>
  <si>
    <t>부착식 안전손잡이</t>
  </si>
  <si>
    <t>부착용브러쉬</t>
  </si>
  <si>
    <t>브라이텍스 듀얼픽스 프로(신생아용)</t>
  </si>
  <si>
    <t>브라이텍스 키드픽스 아이사이즈(아동용)</t>
  </si>
  <si>
    <t>브라이텍스 키드픽스(아동용)</t>
  </si>
  <si>
    <t>브래들리타임피스</t>
  </si>
  <si>
    <t>브래들리 타임피스(2020년)</t>
  </si>
  <si>
    <t>브래들리타임피스2</t>
  </si>
  <si>
    <t>브래들리타임피스2(2022년)</t>
  </si>
  <si>
    <t>브레스에어방석</t>
  </si>
  <si>
    <t>브레일 이모션</t>
  </si>
  <si>
    <t>점자디스플레이</t>
  </si>
  <si>
    <t>브릭에어쿠션</t>
  </si>
  <si>
    <t>브릭에어쿠션(2023년)</t>
  </si>
  <si>
    <t>블럭업</t>
  </si>
  <si>
    <t>고정형 경사로</t>
  </si>
  <si>
    <t>블록업700</t>
  </si>
  <si>
    <t>블루스마트워치</t>
  </si>
  <si>
    <t>비닷(Bdot)</t>
  </si>
  <si>
    <t>비데</t>
  </si>
  <si>
    <t>비디오메틱룩스</t>
  </si>
  <si>
    <t>비디오메틱룩스(2021년)</t>
  </si>
  <si>
    <t>비소록스디지털HD</t>
  </si>
  <si>
    <t>비소록스디지털HD(2023년)</t>
  </si>
  <si>
    <t>비소룩스디지털XL FHD</t>
  </si>
  <si>
    <t>비전보드2키보드와키가드</t>
  </si>
  <si>
    <t>비전보드2키보드와키가드(2023년)</t>
  </si>
  <si>
    <t>비전스톤</t>
  </si>
  <si>
    <t>비전스톤8.0</t>
  </si>
  <si>
    <t>비쥬폰 CVP-2000</t>
  </si>
  <si>
    <t>비즈목쿠션</t>
  </si>
  <si>
    <t>비즈목쿠션(2021년)</t>
  </si>
  <si>
    <t>비지 글라이더</t>
  </si>
  <si>
    <t>비지 오리지널</t>
  </si>
  <si>
    <t>비지2</t>
  </si>
  <si>
    <t>장애인보조기기교부사업 - 미끄럼 및 회전을 위한 보조기기</t>
  </si>
  <si>
    <t>비지글라이더</t>
  </si>
  <si>
    <t>비지오북</t>
  </si>
  <si>
    <t>비지트랜스 오리지널</t>
  </si>
  <si>
    <t>빅레드 트위스트 스위치</t>
  </si>
  <si>
    <t>빅레드스위치</t>
  </si>
  <si>
    <t>빅맥</t>
  </si>
  <si>
    <t>빅스탭바이탭토이스레벨</t>
  </si>
  <si>
    <t>빅스텝 바이스텝 위드레벨</t>
  </si>
  <si>
    <t>빅에어쿠션</t>
  </si>
  <si>
    <t>빅에어쿠션(2023년)</t>
  </si>
  <si>
    <t>빅캔드콘근접센서스위치</t>
  </si>
  <si>
    <t>빅키키보드 LX &amp; 키가드</t>
  </si>
  <si>
    <t xml:space="preserve">빅키키보드 화이트 </t>
  </si>
  <si>
    <t>빅트랙</t>
  </si>
  <si>
    <t>빅트랙(2023년)</t>
  </si>
  <si>
    <t>빵틀 가이드 크로와상</t>
  </si>
  <si>
    <t>뽀로로와 함께하는 사물 한글카드</t>
  </si>
  <si>
    <t>사랑해</t>
  </si>
  <si>
    <t xml:space="preserve">사무 및 업무용 기기 </t>
  </si>
  <si>
    <t>사운드스톤</t>
  </si>
  <si>
    <t>사운드플러스 HAR-021</t>
  </si>
  <si>
    <t>사이드서포트MS-019</t>
  </si>
  <si>
    <t>사이드서포트MS-019(2023년)</t>
  </si>
  <si>
    <t>사이드서포트SS-4</t>
  </si>
  <si>
    <t>사이드서포트SS-4(2023년)</t>
  </si>
  <si>
    <t>살졸 카본 롤레이터</t>
  </si>
  <si>
    <t>삼마 모듈러형 이너</t>
  </si>
  <si>
    <t>삼마 몰딩 이너</t>
  </si>
  <si>
    <t>삼발 지팡이</t>
  </si>
  <si>
    <t>새몬스 집게</t>
  </si>
  <si>
    <t>생강슬라이스 덮개 안전투입구</t>
  </si>
  <si>
    <t>샤워형휠체어</t>
  </si>
  <si>
    <t>바퀴가 있거나 없는 샤워 의자</t>
  </si>
  <si>
    <t>샥즈 오프런 미니 S811</t>
  </si>
  <si>
    <t>샥즈 오프런 프로 S810</t>
  </si>
  <si>
    <t>샴푸머리받침대</t>
  </si>
  <si>
    <t>머리감기용 보조기기</t>
  </si>
  <si>
    <t>서버</t>
  </si>
  <si>
    <t>서브키드</t>
  </si>
  <si>
    <t>서브키드(2022년)</t>
  </si>
  <si>
    <t>서피스 프로 7 i5 256GB (8기가 램)</t>
  </si>
  <si>
    <t>설리번A</t>
  </si>
  <si>
    <t>설리번A(2023년)</t>
  </si>
  <si>
    <t>설치형 전동리프트-가.벽체용</t>
  </si>
  <si>
    <t>설치형 전동리프트-가.차량용</t>
  </si>
  <si>
    <t>성무경련방지플레이트V1</t>
  </si>
  <si>
    <t>성무경련방지플레이트V1(2023년)</t>
  </si>
  <si>
    <t>성무우측턴시그널V1</t>
  </si>
  <si>
    <t>차량 조작용 부가적 기능의 액세서리 및 개조용품</t>
  </si>
  <si>
    <t>성무우측턴시그널V1(2023년)</t>
  </si>
  <si>
    <t>성무좌측엑셀페달V1</t>
  </si>
  <si>
    <t>성무좌측엑셀페달V1(2023년)</t>
  </si>
  <si>
    <t>성인용보행기(웨이)</t>
  </si>
  <si>
    <t>성인용휠체어 체간고정벨트</t>
  </si>
  <si>
    <t>세이프-스톱SH60</t>
  </si>
  <si>
    <t>세이프시트 성인용</t>
  </si>
  <si>
    <t>센터확인필요</t>
  </si>
  <si>
    <t>센터 확인필요</t>
  </si>
  <si>
    <t>세이프시트 성인용 머리패드</t>
  </si>
  <si>
    <t>세이프시트 아동용</t>
  </si>
  <si>
    <t>세이프시트 아동용 머리패드</t>
  </si>
  <si>
    <t>세이프시트 아동용 웨지</t>
  </si>
  <si>
    <t>세이프-플라워SH40</t>
  </si>
  <si>
    <t>세종-M01</t>
  </si>
  <si>
    <t>세종-S01</t>
  </si>
  <si>
    <t>세종-SP2</t>
  </si>
  <si>
    <t>세종-W1</t>
  </si>
  <si>
    <t>세종-W2</t>
  </si>
  <si>
    <t>세컨더리컨트롤SO</t>
  </si>
  <si>
    <t>세컨더리컨트롤SO(2023년)</t>
  </si>
  <si>
    <t>세컨더리컨트롤SU</t>
  </si>
  <si>
    <t>세컨더리컨트롤SU(2023년)</t>
  </si>
  <si>
    <t>세탁물 자동승강대차 1040*720*700</t>
  </si>
  <si>
    <t>세탁물 자동승강대차 SUS 1040*720*700</t>
  </si>
  <si>
    <t>센스리더 더 넥스트</t>
  </si>
  <si>
    <t>센스리더더넥스트(2023년)</t>
  </si>
  <si>
    <t>화면낭독S/W</t>
  </si>
  <si>
    <t>센스리더 프로페셔널</t>
  </si>
  <si>
    <t>센스뷰 비전</t>
  </si>
  <si>
    <t>센스뷰비전(2023년)</t>
  </si>
  <si>
    <t>센스뷰비전프로</t>
  </si>
  <si>
    <t>센스뷰비전프로(2023년)</t>
  </si>
  <si>
    <t>센스원</t>
  </si>
  <si>
    <t>센스원(2019년)</t>
  </si>
  <si>
    <t>센스원 베이직</t>
  </si>
  <si>
    <t>소리신호기</t>
  </si>
  <si>
    <t>소리신호기 TP-SH300R</t>
  </si>
  <si>
    <t>소리안노멀</t>
  </si>
  <si>
    <t>소리안모바일SW</t>
  </si>
  <si>
    <t>소리안모바일SW(2023년)</t>
  </si>
  <si>
    <t>소리안스마트베드</t>
  </si>
  <si>
    <t>소리안스마트베드(2023년)</t>
  </si>
  <si>
    <t>소리안썬더(보조공학기기)</t>
  </si>
  <si>
    <t>소리안썬더(2021년)</t>
  </si>
  <si>
    <t>소리안썬더(정보통신)</t>
  </si>
  <si>
    <t>소리안썬더2(보조공학기기)</t>
  </si>
  <si>
    <t>소리안썬더2(2023년 1차)</t>
  </si>
  <si>
    <t>소리안썬더2(정보통신)</t>
  </si>
  <si>
    <t>소리안탭 10.1(보조공학기기)</t>
  </si>
  <si>
    <t>소리안탭10.1(2021년)</t>
  </si>
  <si>
    <t>소리안탭 10.1(정보통신)</t>
  </si>
  <si>
    <t>소리안탭2</t>
  </si>
  <si>
    <t>소리알리미</t>
  </si>
  <si>
    <t>소리알리미(2023년)</t>
  </si>
  <si>
    <t>소리오케(H500)</t>
  </si>
  <si>
    <t>소리자람(for Pad)</t>
  </si>
  <si>
    <t>소리자람(for Windows)</t>
  </si>
  <si>
    <t>소리지니2(HA1000)</t>
  </si>
  <si>
    <t>대소변 수집용 보조기기</t>
  </si>
  <si>
    <t>소변수집장치 남여공용(별도)</t>
  </si>
  <si>
    <t>소변수집장치 여성용 호스(별도)</t>
  </si>
  <si>
    <t>소보로 앱/웹</t>
  </si>
  <si>
    <t>소보로탭라이트</t>
  </si>
  <si>
    <t>소보로탭비즈니스</t>
  </si>
  <si>
    <t>소보로탭비즈니스(2021년)</t>
  </si>
  <si>
    <t>속도제어용 차량 액세서리 및 개조용품</t>
  </si>
  <si>
    <t>손가락 마우스</t>
  </si>
  <si>
    <t>손가락 지지용 타이핑 막대</t>
  </si>
  <si>
    <t>손가락마우스</t>
  </si>
  <si>
    <t>손가락마우스(2023년)</t>
  </si>
  <si>
    <t>손가락보조기</t>
  </si>
  <si>
    <t>팔 보조기</t>
  </si>
  <si>
    <t>손가락 보조기</t>
  </si>
  <si>
    <t>손가락의지</t>
  </si>
  <si>
    <t xml:space="preserve">팔 의지 </t>
  </si>
  <si>
    <t>부분 손 의지</t>
  </si>
  <si>
    <t>손가락의지-미관형</t>
  </si>
  <si>
    <t>손가락 의지-미관형</t>
  </si>
  <si>
    <t>손목관절 근전전동의수</t>
  </si>
  <si>
    <t>손목관절 의지</t>
  </si>
  <si>
    <t>손목관절의지</t>
  </si>
  <si>
    <t>손목관절의지-기능형</t>
  </si>
  <si>
    <t>손목관절 의지-기능형</t>
  </si>
  <si>
    <t>손목관절의지-미관형</t>
  </si>
  <si>
    <t>손목관절 의지-미관형</t>
  </si>
  <si>
    <t>손목-손보조기</t>
  </si>
  <si>
    <t>손목지지형 식사도구 홀더</t>
  </si>
  <si>
    <t>손바닥지지용 타이핑막대</t>
  </si>
  <si>
    <t>손바닥형필기도구</t>
  </si>
  <si>
    <t>손의지</t>
  </si>
  <si>
    <t>손의지-기능형</t>
  </si>
  <si>
    <t>손 의지-기능형</t>
  </si>
  <si>
    <t>손의지-미관형</t>
  </si>
  <si>
    <t>손 의지-미관형</t>
  </si>
  <si>
    <t>수·전동 휠체어</t>
  </si>
  <si>
    <t>핸드림 및 동력보조 혼합형 수동휠체어</t>
  </si>
  <si>
    <t>수·전동 휠체어-바퀴분리형</t>
  </si>
  <si>
    <t>수동높낮이조절테이블 800*800</t>
  </si>
  <si>
    <t>수동높낮이조절테이블 가림판 1200*1200</t>
  </si>
  <si>
    <t>수동휠체어 A3</t>
  </si>
  <si>
    <t>수동휠체어 M1</t>
  </si>
  <si>
    <t>수동휠체어 M2</t>
  </si>
  <si>
    <t>수동휠체어 동력보조장치_서브키트</t>
  </si>
  <si>
    <t xml:space="preserve">수동휠체어 랩보드
(성인용/목재)</t>
  </si>
  <si>
    <t xml:space="preserve">수동휠체어 랩보드
(아동용/목재)</t>
  </si>
  <si>
    <t xml:space="preserve">수동휠체어 랩보드
(아크릴)</t>
  </si>
  <si>
    <t xml:space="preserve">수동휠체어
HAL-48</t>
  </si>
  <si>
    <t xml:space="preserve">수동휠체어
JR-tilt7(20D)</t>
  </si>
  <si>
    <t xml:space="preserve">수동휠체어
M6 Junior</t>
  </si>
  <si>
    <t xml:space="preserve">수동휠체어
모투스</t>
  </si>
  <si>
    <t xml:space="preserve">수동휠체어
미라지7</t>
  </si>
  <si>
    <t xml:space="preserve">수동휠체어+이너
(성인용)</t>
  </si>
  <si>
    <t>수동휠체어SM-7</t>
  </si>
  <si>
    <t xml:space="preserve">수동휠체어-틸팅형, 리클라이닝형 </t>
  </si>
  <si>
    <t>수작업 몰딩 이너</t>
  </si>
  <si>
    <t>수전동휠체어 JW active</t>
  </si>
  <si>
    <t>수중보행지지대</t>
  </si>
  <si>
    <t>수영 및 수상 스포츠용 보조기기</t>
  </si>
  <si>
    <t>숟가락커프</t>
  </si>
  <si>
    <t>숲나무 (Sync View-Tree in the forest)</t>
  </si>
  <si>
    <t>화면확대 소프트웨어</t>
  </si>
  <si>
    <t>화면확대S/W</t>
  </si>
  <si>
    <t>슈마 DA7800</t>
  </si>
  <si>
    <t>슈트케이스 싱글폴드 AS02</t>
  </si>
  <si>
    <t>슈트케이스 싱글폴드 SF02</t>
  </si>
  <si>
    <t>슈트케이스 싱글폴드 SF03</t>
  </si>
  <si>
    <t>슈트케이스 싱글폴드 SF04</t>
  </si>
  <si>
    <t>슈트케이스 싱글폴드 SF07</t>
  </si>
  <si>
    <t>슈트케이스 싱글폴드 SFAS02</t>
  </si>
  <si>
    <t>슈트케이스 싱글폴드 SFAS03</t>
  </si>
  <si>
    <t>슈트케이스 싱글폴드 SFAS04</t>
  </si>
  <si>
    <t>슈트케이스 싱글폴드 SFAS05</t>
  </si>
  <si>
    <t>슈트케이스 싱글폴드 SFAS06</t>
  </si>
  <si>
    <t>슈트케이스 싱글폴드 이동경사로</t>
  </si>
  <si>
    <t>슈트케이스 싱글폴드2피트</t>
  </si>
  <si>
    <t>슈트케이스 싱글폴드3피트</t>
  </si>
  <si>
    <t>슈트케이스 싱글폴드이동경사로</t>
  </si>
  <si>
    <t>슈트케이스 트리폴드 TFAS05</t>
  </si>
  <si>
    <t>슈트케이스 트리폴드 TFAS06</t>
  </si>
  <si>
    <t>슈트케이스 트리폴드 TFAS07</t>
  </si>
  <si>
    <t>슈트케이스 트리폴드 TFAS08</t>
  </si>
  <si>
    <t>슈트케이스 트리폴드 TFAS10</t>
  </si>
  <si>
    <t>슈퍼토커</t>
  </si>
  <si>
    <t>슈퍼헤드</t>
  </si>
  <si>
    <t>스마트 LED 스탠드</t>
  </si>
  <si>
    <t>스마트 소변집진기 남녀공용</t>
  </si>
  <si>
    <t>스마트 소변집진기 남성용</t>
  </si>
  <si>
    <t>스마트 소변집진기 여성용</t>
  </si>
  <si>
    <t>스마트 자동소변수집장치 PHN-D100M(남성용)</t>
  </si>
  <si>
    <t>스마트 자동소변수집장치 PHN-D100W(여성용)</t>
  </si>
  <si>
    <t>스마트 점자큐브</t>
  </si>
  <si>
    <t>스마트나브</t>
  </si>
  <si>
    <t>스마트나브 4AT</t>
  </si>
  <si>
    <t>스마트드라이브</t>
  </si>
  <si>
    <t>스마트룩스디지털</t>
  </si>
  <si>
    <t>스마트배뇨석션(남성용)</t>
  </si>
  <si>
    <t>스마트비쥬폰 SMV-3000</t>
  </si>
  <si>
    <t>스마트비쥬폰SMV-3000(2023년)</t>
  </si>
  <si>
    <t>영상전화기</t>
  </si>
  <si>
    <t>스마트비쥬폰 올인원</t>
  </si>
  <si>
    <t>스마트비쥬폰올인원(2023년)</t>
  </si>
  <si>
    <t>스마트비즈쿠션등받이</t>
  </si>
  <si>
    <t>등 지지대</t>
  </si>
  <si>
    <t>스마트비즈쿠션등받이(2023년)</t>
  </si>
  <si>
    <t>스마트비즈쿠션방석</t>
  </si>
  <si>
    <t>스마트비즈쿠션방석(2023년)</t>
  </si>
  <si>
    <t>스마트신호기</t>
  </si>
  <si>
    <t>스마트신호기(2023년)</t>
  </si>
  <si>
    <t>스마트의자차</t>
  </si>
  <si>
    <t>스마트의자차(2022년)</t>
  </si>
  <si>
    <t>스마트지킴이</t>
  </si>
  <si>
    <t>스마트지킴이(2021년)</t>
  </si>
  <si>
    <t>스마트지킴이2</t>
  </si>
  <si>
    <t>스마트지킴이2(2023년)</t>
  </si>
  <si>
    <t>스무디125 스위치</t>
  </si>
  <si>
    <t>스무디75 스위치</t>
  </si>
  <si>
    <t>스완두 마리5</t>
  </si>
  <si>
    <t>스위모</t>
  </si>
  <si>
    <t>스위처</t>
  </si>
  <si>
    <t>스위처2구</t>
  </si>
  <si>
    <t>스위치 발판용 3채널</t>
  </si>
  <si>
    <t>스위프티2(Swifty2)</t>
  </si>
  <si>
    <t>스윙버튼</t>
  </si>
  <si>
    <t>스윙에어</t>
  </si>
  <si>
    <t>스윙에어 스무디 스위치</t>
  </si>
  <si>
    <t>스윙에어+스윙버튼</t>
  </si>
  <si>
    <t>스칼롭(scallop)</t>
  </si>
  <si>
    <t>스캔 씨앤씨 몰딩 이너</t>
  </si>
  <si>
    <t>스쿠프디쉬</t>
  </si>
  <si>
    <t>스타리아슬로프</t>
  </si>
  <si>
    <t>스타리아슬로프(2023년 1차)</t>
  </si>
  <si>
    <t>스타리아휠체어슬로프</t>
  </si>
  <si>
    <t>스타리아휠체어슬로프(2023년)</t>
  </si>
  <si>
    <t>스타트M2</t>
  </si>
  <si>
    <t>스탠드 확대경</t>
  </si>
  <si>
    <t>스테디스푼</t>
  </si>
  <si>
    <t>스팅레이(stingray)</t>
  </si>
  <si>
    <t>스펙 스위치</t>
  </si>
  <si>
    <t>스프링가위</t>
  </si>
  <si>
    <t>가위</t>
  </si>
  <si>
    <t>스피치미러(보조공학기기)</t>
  </si>
  <si>
    <t>음성 및 말하기용 기기</t>
  </si>
  <si>
    <t>스피치미러(2023년)</t>
  </si>
  <si>
    <t>스피치미러(정보통신)</t>
  </si>
  <si>
    <t>스피치미러탭(보조공학기기)</t>
  </si>
  <si>
    <t>스피치미러탭(2023년)</t>
  </si>
  <si>
    <t>스피치미러탭(정보통신)</t>
  </si>
  <si>
    <t>슬라이딩시트</t>
  </si>
  <si>
    <t>슬라이서 밧드 피클</t>
  </si>
  <si>
    <t>시각디스플레이</t>
  </si>
  <si>
    <t>시각장애인용 공용리모콘</t>
  </si>
  <si>
    <t>시각장애인용시계</t>
  </si>
  <si>
    <t>시각장애인용안경</t>
  </si>
  <si>
    <t>저시력 보조안경</t>
  </si>
  <si>
    <t>시각장애인용컴퓨터</t>
  </si>
  <si>
    <t>식사도구(칼-포크), 젓가락 및 빨대</t>
  </si>
  <si>
    <t>식사도구세트 1</t>
  </si>
  <si>
    <t>식스닷</t>
  </si>
  <si>
    <t>식스닷(2022년)</t>
  </si>
  <si>
    <t>점자출력기</t>
  </si>
  <si>
    <t>식음보조컵</t>
  </si>
  <si>
    <t>신드롬</t>
  </si>
  <si>
    <t>신드롬(2023년)</t>
  </si>
  <si>
    <t>신축성 있는 휠체어용 고정벨트</t>
  </si>
  <si>
    <t>실내컬링세트(컬링A세트)</t>
  </si>
  <si>
    <t>실로암브레일프로페셔널</t>
  </si>
  <si>
    <t>출력장치용 소프트웨어</t>
  </si>
  <si>
    <t>실로암브레일프로페셔널(2023년)</t>
  </si>
  <si>
    <t>실리콘 에어 쿠션</t>
  </si>
  <si>
    <t>실버카-KS120</t>
  </si>
  <si>
    <t>실버카-KS130</t>
  </si>
  <si>
    <t>실버카단비</t>
  </si>
  <si>
    <t>심청이</t>
  </si>
  <si>
    <t>싸이렌지팡이</t>
  </si>
  <si>
    <t>쏘울부스터저상슬로프차량</t>
  </si>
  <si>
    <t>쏘울부스터저상슬로프차량(2023년)</t>
  </si>
  <si>
    <t>씨사운드</t>
  </si>
  <si>
    <t>씨사운드(2023년)</t>
  </si>
  <si>
    <t>씨사운드 탭</t>
  </si>
  <si>
    <t>씨토크영상녹화수어상담시스템</t>
  </si>
  <si>
    <t>씨토크영상녹화수어상담시스템(2023년)</t>
  </si>
  <si>
    <t>씨토크영상녹화스크린폰</t>
  </si>
  <si>
    <t>씨토크영상녹화스크린폰(2023년)</t>
  </si>
  <si>
    <t>씨토크영상스크린폰</t>
  </si>
  <si>
    <t>씨토크영상스크린폰(2023년)</t>
  </si>
  <si>
    <t>씨토크영상스크린폰콤보(교환기세트)</t>
  </si>
  <si>
    <t>씨토크영상스크린폰콤보(교환기세트)(N2021년)</t>
  </si>
  <si>
    <t>씨토크줌캠스크린폰(SVP2000PTZ)</t>
  </si>
  <si>
    <t>씨토크줌캠스크린폰(SVP2000PTZ)(2023년)</t>
  </si>
  <si>
    <t>아래팔 의지-기능형</t>
  </si>
  <si>
    <t>아래팔 의지</t>
  </si>
  <si>
    <t>아래팔 의지-미관형</t>
  </si>
  <si>
    <t>아래팔의지</t>
  </si>
  <si>
    <t>아미고 HD</t>
  </si>
  <si>
    <t>아미고HD(2021년)</t>
  </si>
  <si>
    <t>아이러뷰 13</t>
  </si>
  <si>
    <t>아이러뷰13(2023년)</t>
  </si>
  <si>
    <t>아이러뷰 16 프리미엄</t>
  </si>
  <si>
    <t>아이러뷰 MAX 프리미엄</t>
  </si>
  <si>
    <t>아이러뷰7</t>
  </si>
  <si>
    <t>아이러뷰Public</t>
  </si>
  <si>
    <t>아이러뷰Public(2023년)</t>
  </si>
  <si>
    <t>아이소닉</t>
  </si>
  <si>
    <t>흰 지팡이</t>
  </si>
  <si>
    <t>아이온 사발지팡이</t>
  </si>
  <si>
    <t>아이체어버기</t>
  </si>
  <si>
    <t>아이체어프로</t>
  </si>
  <si>
    <t>아이체어프로(대)</t>
  </si>
  <si>
    <t>아이체어프로-M</t>
  </si>
  <si>
    <t>아이캔 플라이</t>
  </si>
  <si>
    <t>아코이알리미</t>
  </si>
  <si>
    <t>아쿠아베스체어</t>
  </si>
  <si>
    <t>아펙스450E</t>
  </si>
  <si>
    <t>아펙스450E 슬링(고급형/목받침장착)</t>
  </si>
  <si>
    <t>간이 리프트(호이스트용 신체지지 장치)</t>
  </si>
  <si>
    <t>아펙스450E 슬링(기본형)</t>
  </si>
  <si>
    <t>안경마우스</t>
  </si>
  <si>
    <t>안경마우스2바이트스위치</t>
  </si>
  <si>
    <t>안경마우스2바이트스위치(2023년)</t>
  </si>
  <si>
    <t>안경마우스2-세트(스위치)</t>
  </si>
  <si>
    <t>안경마우스2-스위치 5종 택1(바이트,손가락,발,압력,필로우)</t>
  </si>
  <si>
    <t>안경마우스2압력스위치</t>
  </si>
  <si>
    <t>안경마우스2압력스위치(2023년)</t>
  </si>
  <si>
    <t>안경마우스2-터치, 센서, 스위치 택1</t>
  </si>
  <si>
    <t>안경마우스2터치스위치</t>
  </si>
  <si>
    <t>안경마우스2터치스위치(2023년)</t>
  </si>
  <si>
    <t>안경마우스2호흡스위치</t>
  </si>
  <si>
    <t>안경마우스2호흡스위치(2023년 1차)</t>
  </si>
  <si>
    <t>안구마우스 PCEYE 5</t>
  </si>
  <si>
    <t>안구마우스 토비</t>
  </si>
  <si>
    <t>안구마우스(PCEye 5)</t>
  </si>
  <si>
    <t>안구마우스TM5</t>
  </si>
  <si>
    <t>안구마우스거치대세트(PCEye 5 mounting set)</t>
  </si>
  <si>
    <t>안심생활맨</t>
  </si>
  <si>
    <t>안심생활플러스</t>
  </si>
  <si>
    <t>안심생활해피</t>
  </si>
  <si>
    <t>안전발판 트러스텝 캐스터형 1593x510x967</t>
  </si>
  <si>
    <t>작업장 및 작업장 주변용 안전장치</t>
  </si>
  <si>
    <t>안전소형전동지게차</t>
  </si>
  <si>
    <t>자재를 들어 올리고 운반하는 산업용 전동 차량</t>
  </si>
  <si>
    <t>안전 소형 전동지게차</t>
  </si>
  <si>
    <t>앉기및 자세보조용구(이너)</t>
  </si>
  <si>
    <t>알림벨 무선 주파수</t>
  </si>
  <si>
    <t>애슬론</t>
  </si>
  <si>
    <t>애프터샥 에어</t>
  </si>
  <si>
    <t>애프터샥 에어로펙스</t>
  </si>
  <si>
    <t>애프터샥 트렉 티타늄</t>
  </si>
  <si>
    <t>액티데일리110</t>
  </si>
  <si>
    <t>앵커 목욕의자</t>
  </si>
  <si>
    <t>야누스의안</t>
  </si>
  <si>
    <t>양말신는 도구</t>
  </si>
  <si>
    <t>어고트론듀얼모니터거치대</t>
  </si>
  <si>
    <t>어고트론듀얼모니터거치대(2023년)</t>
  </si>
  <si>
    <t>어고트론싱글대형모니터거치대</t>
  </si>
  <si>
    <t>어고트론싱글대형모니터거치대(2023년)</t>
  </si>
  <si>
    <t>어고트론싱글모니터거치대</t>
  </si>
  <si>
    <t>어고트론싱글모니터거치대(2023년)</t>
  </si>
  <si>
    <t>어고트론싱글모니터거치대(긴폴대형)</t>
  </si>
  <si>
    <t>어고트론싱글모니터거치대(긴폴대형)(N2021년)</t>
  </si>
  <si>
    <t>어깨가슴의지-미관형</t>
  </si>
  <si>
    <t>어깨-가슴 의지</t>
  </si>
  <si>
    <t>어깨가슴 의지-미관형</t>
  </si>
  <si>
    <t>어깨관절의지</t>
  </si>
  <si>
    <t>어깨관절의지-기능형</t>
  </si>
  <si>
    <t>어깨관절 의지</t>
  </si>
  <si>
    <t>어깨관절 의지-기능형</t>
  </si>
  <si>
    <t>어깨관절의지-미관형</t>
  </si>
  <si>
    <t>어깨관절 의지-미관형</t>
  </si>
  <si>
    <t>어깨보조기</t>
  </si>
  <si>
    <t>어깨 보조기</t>
  </si>
  <si>
    <t>어깨보행기(K401)</t>
  </si>
  <si>
    <t>언어, 인지, 수리력 향상 프로그램 세트</t>
  </si>
  <si>
    <t>언어-인지 재활프로그램 랭콕-HS(Home Special)</t>
  </si>
  <si>
    <t>언어인지수리력와이드</t>
  </si>
  <si>
    <t>언어훈련을 위한 SW K-SWITCH</t>
  </si>
  <si>
    <t>업그레이드용 센스리더(B2N)</t>
  </si>
  <si>
    <t>업그레이드용 센스리더(P2N)</t>
  </si>
  <si>
    <t>업그레이드용센스리더(P2N)(2023년)</t>
  </si>
  <si>
    <t>엉덩-무릎-발목-발보조기(양쪽)</t>
  </si>
  <si>
    <t>엉덩-무릎-발목-발 보조기</t>
  </si>
  <si>
    <t xml:space="preserve">엉덩-무릎-발목-발 보조기(양쪽) </t>
  </si>
  <si>
    <t>엉덩-무릎-발목-발보조기(한쪽)</t>
  </si>
  <si>
    <t xml:space="preserve">엉덩-무릎-발목-발 보조기(한쪽) </t>
  </si>
  <si>
    <t>엉덩이관절의지</t>
  </si>
  <si>
    <t>엉덩이관절 의지</t>
  </si>
  <si>
    <t>에디슨 젓가락 1</t>
  </si>
  <si>
    <t>에디슨 젓가락 2</t>
  </si>
  <si>
    <t>에디슨 젓가락 3</t>
  </si>
  <si>
    <t>에렉투스-2LP</t>
  </si>
  <si>
    <t>에렉투스-2LP(2023년)</t>
  </si>
  <si>
    <t>에렉투스-2LS</t>
  </si>
  <si>
    <t>에렉투스-2LS(2023년)</t>
  </si>
  <si>
    <t>에렉투스-3LP</t>
  </si>
  <si>
    <t>에렉투스-3LP(2023년)</t>
  </si>
  <si>
    <t>에렉투스-3LS</t>
  </si>
  <si>
    <t>에렉투스-3LS(2023년)</t>
  </si>
  <si>
    <t>에렉투스-4LP</t>
  </si>
  <si>
    <t>에렉투스-4LP(2023년)</t>
  </si>
  <si>
    <t>에렉투스-4LS</t>
  </si>
  <si>
    <t>에렉투스-4LS(2023년)</t>
  </si>
  <si>
    <t>에렉투스높이조절작업테이블2LP</t>
  </si>
  <si>
    <t>에렉투스높이조절작업테이블2LP(N2022년)</t>
  </si>
  <si>
    <t>에렉투스높이조절작업테이블4LP</t>
  </si>
  <si>
    <t>에렉투스높이조절작업테이블4LP(N2022년)</t>
  </si>
  <si>
    <t>에르푸르트(ERFURT)</t>
  </si>
  <si>
    <t>에르푸르트샤워-변기체어</t>
  </si>
  <si>
    <t>에미오(EMIO)</t>
  </si>
  <si>
    <t>에베레스트D</t>
  </si>
  <si>
    <t>에베레스트D(2023년)</t>
  </si>
  <si>
    <t>에솝</t>
  </si>
  <si>
    <t>에스라이더</t>
  </si>
  <si>
    <t>승마용 보조기기</t>
  </si>
  <si>
    <t>에스쁘아</t>
  </si>
  <si>
    <t>에스원</t>
  </si>
  <si>
    <t>에이드 프로 (AiD PRO)</t>
  </si>
  <si>
    <t>에이드 플러스 AI (AiD PLUS AI)</t>
  </si>
  <si>
    <t>에이블틸팅테이블-대</t>
  </si>
  <si>
    <t>에이블틸팅테이블-소</t>
  </si>
  <si>
    <t>에이블틸팅테이블-중</t>
  </si>
  <si>
    <t>에이블틸팅테이블-특대</t>
  </si>
  <si>
    <t>엑설런트 워커</t>
  </si>
  <si>
    <t>엑셀</t>
  </si>
  <si>
    <t>엑셀 NC-9000 낙상방지 SET</t>
  </si>
  <si>
    <t>개인 비상 경보시스템</t>
  </si>
  <si>
    <t>엔사운드 넥루프(교부사업)</t>
  </si>
  <si>
    <t>엔사운드 넥루프(정보통신)</t>
  </si>
  <si>
    <t>엔사운드 목걸이형(교부사업)</t>
  </si>
  <si>
    <t>엔사운드 목걸이형(보조공학기기)</t>
  </si>
  <si>
    <t>엔사운드목걸이형(2023년)</t>
  </si>
  <si>
    <t>엔사운드 목걸이형(정보통신)</t>
  </si>
  <si>
    <t>엔사운드(넥푸르형)</t>
  </si>
  <si>
    <t>엔사운드골도</t>
  </si>
  <si>
    <t>엔사운드골도(2023년)</t>
  </si>
  <si>
    <t>엔에이블러조이스틱</t>
  </si>
  <si>
    <t>엔에이블러트랙볼</t>
  </si>
  <si>
    <t>엘보크러치-엑스트라</t>
  </si>
  <si>
    <t>엘보크러치-키드주니어</t>
  </si>
  <si>
    <t>엠프린트스팟닷</t>
  </si>
  <si>
    <t>엠프린트스팟닷(2023년)</t>
  </si>
  <si>
    <t>여름 남성 비즈니스 옷6</t>
  </si>
  <si>
    <t>여성 데일리 셔츠</t>
  </si>
  <si>
    <t>여성 스트레치 밴딩바지</t>
  </si>
  <si>
    <t>여성 정장슈트</t>
  </si>
  <si>
    <t>여우 언어-인지 학습 패키지+(Plus)</t>
  </si>
  <si>
    <t>영상부르미</t>
  </si>
  <si>
    <t>오뚜기컵</t>
  </si>
  <si>
    <t>오랄클린G100</t>
  </si>
  <si>
    <t>오르빗 라이터</t>
  </si>
  <si>
    <t>오르캠(orcam myeye2.0)</t>
  </si>
  <si>
    <t>오르캠-마이아이</t>
  </si>
  <si>
    <t>오르캠-마이아이(2023년)</t>
  </si>
  <si>
    <t>오케이톡톡</t>
  </si>
  <si>
    <t>오케이톡톡 에듀패드</t>
  </si>
  <si>
    <t>오터 거치대 - 고정형</t>
  </si>
  <si>
    <t>오터 거치대 - 구동형</t>
  </si>
  <si>
    <t>오터 목욕의자</t>
  </si>
  <si>
    <t>오터 목욕의자(대)</t>
  </si>
  <si>
    <t>오터 목욕의자(소)</t>
  </si>
  <si>
    <t>오토박스</t>
  </si>
  <si>
    <t>차량 내 휠체어 적재용 보조기기</t>
  </si>
  <si>
    <t>오토박스(2023년)</t>
  </si>
  <si>
    <t>차량 지붕형 휠체어 보관함(오토박스)</t>
  </si>
  <si>
    <t>오티콘 보청기</t>
  </si>
  <si>
    <t>오픈형집게</t>
  </si>
  <si>
    <t>오픈형집게(2021년)</t>
  </si>
  <si>
    <t>온삭스</t>
  </si>
  <si>
    <t>온스톤</t>
  </si>
  <si>
    <t>온스톤(2022년)</t>
  </si>
  <si>
    <t>온스톤매니저</t>
  </si>
  <si>
    <t>온스톤매니저(2022년)</t>
  </si>
  <si>
    <t>올뉴카니발이지무브RE</t>
  </si>
  <si>
    <t>올뉴카니발이지무브RE(2023년)</t>
  </si>
  <si>
    <t>올캠리드(보조공학기기)</t>
  </si>
  <si>
    <t>올캠리드(2023년)</t>
  </si>
  <si>
    <t>올캠리드(정보통신)</t>
  </si>
  <si>
    <t>올캠마이리더</t>
  </si>
  <si>
    <t>올캠마이리더(2023년)</t>
  </si>
  <si>
    <t>올캠-마이아이 안경형리더</t>
  </si>
  <si>
    <t>와이어자동대차(대형)</t>
  </si>
  <si>
    <t>전동식 산업 운송 장비</t>
  </si>
  <si>
    <t>와이어자동대차(대형)(2023년 1차)</t>
  </si>
  <si>
    <t>와이어자동대차(중형)</t>
  </si>
  <si>
    <t>와이어자동대차(중형)(2023년 1차)</t>
  </si>
  <si>
    <t>욕창방지 폼 매트리스</t>
  </si>
  <si>
    <t>욕창예방매트리스</t>
  </si>
  <si>
    <t>욕창예방 매트리스(고무제-공기격자형)</t>
  </si>
  <si>
    <t>욕창예방매트리스(교대부양형)</t>
  </si>
  <si>
    <t>욕창예방 매트리스(교대부양형)</t>
  </si>
  <si>
    <t>욕창예방방석 기본형</t>
  </si>
  <si>
    <t>욕창예방방석(2단 벌집형)</t>
  </si>
  <si>
    <t>욕창예방방석(고무제-공기격자형)</t>
  </si>
  <si>
    <t>욕창예방 방석(고무제-공기격자형)</t>
  </si>
  <si>
    <t>용성오토매립형핸드콘트롤</t>
  </si>
  <si>
    <t>용성오토매립형핸드콘트롤(2023년)</t>
  </si>
  <si>
    <t>용성오토보급형핸드콘트롤</t>
  </si>
  <si>
    <t>용성오토보급형핸드콘트롤(2023년)</t>
  </si>
  <si>
    <t>용성오토우측턴시그널</t>
  </si>
  <si>
    <t>용성오토우측턴시그널(2023년)</t>
  </si>
  <si>
    <t>용성오토우측핸드콘트롤</t>
  </si>
  <si>
    <t>용성오토우측핸드콘트롤(2023년)</t>
  </si>
  <si>
    <t>용성오토좌측엑셀페달</t>
  </si>
  <si>
    <t>용성오토좌측엑셀페달(2023년)</t>
  </si>
  <si>
    <t>워블스위치</t>
  </si>
  <si>
    <t>원고홀더스탠드</t>
  </si>
  <si>
    <t>원고홀더스탠드(2021년)</t>
  </si>
  <si>
    <t>원더플로컵</t>
  </si>
  <si>
    <t>원형 보조 손잡이</t>
  </si>
  <si>
    <t>위드톡</t>
  </si>
  <si>
    <t>위드톡(2023년)</t>
  </si>
  <si>
    <t>위드톡 펜</t>
  </si>
  <si>
    <t>위팔의지</t>
  </si>
  <si>
    <t>위팔 의지</t>
  </si>
  <si>
    <t>위팔의지-기능형</t>
  </si>
  <si>
    <t>위팔 의지-기능형</t>
  </si>
  <si>
    <t>위팔의지-미관형</t>
  </si>
  <si>
    <t>위팔 의지-미관형</t>
  </si>
  <si>
    <t>위풋 논슬립 돌돌이 양말 양면</t>
  </si>
  <si>
    <t>위풋 자석 덧신 양면</t>
  </si>
  <si>
    <t>윈체어</t>
  </si>
  <si>
    <t>윈체어(2023년)</t>
  </si>
  <si>
    <t>유니버셜커프(갈색): 숟가락, 포크, 군용수저 세트</t>
  </si>
  <si>
    <t>유닉스-3</t>
  </si>
  <si>
    <t>유모차형 휠체어 클립 size-4</t>
  </si>
  <si>
    <t>유압높낮이테이블리프트(2단)</t>
  </si>
  <si>
    <t>유압높낮이테이블리프트(2단)(N2021년)</t>
  </si>
  <si>
    <t>유연한 긴손잡이 숟가락</t>
  </si>
  <si>
    <t>유텐실 홀더</t>
  </si>
  <si>
    <t>음성변환장치</t>
  </si>
  <si>
    <t>음성손목시계</t>
  </si>
  <si>
    <t>음성시계</t>
  </si>
  <si>
    <t xml:space="preserve">음성인식 LED 주방 홈등 </t>
  </si>
  <si>
    <t>음성인식 스위치(3way)</t>
  </si>
  <si>
    <t>음성인식 전등스위치</t>
  </si>
  <si>
    <t>음성인식LED조명세트</t>
  </si>
  <si>
    <t>음성탁상시계</t>
  </si>
  <si>
    <t>음식 및 음료 섭취용 보조기기</t>
  </si>
  <si>
    <t>음식보호대</t>
  </si>
  <si>
    <t>의료용 스쿠터(Moped)</t>
  </si>
  <si>
    <t>의료용스쿠터</t>
  </si>
  <si>
    <t>의료용 전동침대(WS 900)</t>
  </si>
  <si>
    <t>의료용 전동침대(WS 901)</t>
  </si>
  <si>
    <t>의료용 전동침대(WS 950)</t>
  </si>
  <si>
    <t>의료용 전동침대(WS 951)</t>
  </si>
  <si>
    <t>의사소통기 필답용 화이트보드</t>
  </si>
  <si>
    <t>문자, 기호 세트, 의사소통 판</t>
  </si>
  <si>
    <t>의안(고정)</t>
  </si>
  <si>
    <t>혼합 안면 보형물</t>
  </si>
  <si>
    <t>의자 사무용 스탠드업 수동</t>
  </si>
  <si>
    <t>의자 사무용 옷걸이</t>
  </si>
  <si>
    <t>의자 작업용 고정식 몬스터락</t>
  </si>
  <si>
    <t>의자 작업용 고정식 받침대 몬스터락</t>
  </si>
  <si>
    <t>의자 작업용 실린더연장 자동멈춤캐스터</t>
  </si>
  <si>
    <t>의자 작업용 전동 벤치형</t>
  </si>
  <si>
    <t>의자 작업용 탈부착 안전벨트</t>
  </si>
  <si>
    <t>의자 작업용 홈바 몬스터락</t>
  </si>
  <si>
    <t>의치</t>
  </si>
  <si>
    <t>틀니</t>
  </si>
  <si>
    <t>이단지팡이</t>
  </si>
  <si>
    <t>이동변기(CPT-1000)</t>
  </si>
  <si>
    <t>이동식 경사로(WRO3A-6.5)</t>
  </si>
  <si>
    <t>이동식 좌욕온수세정기</t>
  </si>
  <si>
    <t>이동식경사로(램프)2set</t>
  </si>
  <si>
    <t>이동식경사로(램프)-분리형</t>
  </si>
  <si>
    <t>이동식높낮이테이블</t>
  </si>
  <si>
    <t>이동식높낮이테이블(2023년)</t>
  </si>
  <si>
    <t>이동식전동리프트</t>
  </si>
  <si>
    <t>이동식전동리프트(중상이자리프트)</t>
  </si>
  <si>
    <t xml:space="preserve">이동식전동리프트 </t>
  </si>
  <si>
    <t>이미디어 매뉴얼 트랜스퍼 시스템</t>
  </si>
  <si>
    <t>이미지확대 시스템 모니터 분리형</t>
  </si>
  <si>
    <t>이어폰 넥밴드 거치형</t>
  </si>
  <si>
    <t>이어폰 및 헤드셋</t>
  </si>
  <si>
    <t>이지 트래블 시트</t>
  </si>
  <si>
    <t>이지글라이더</t>
  </si>
  <si>
    <t>이지락</t>
  </si>
  <si>
    <t>차량 내 휠체어 고정용 보조기기</t>
  </si>
  <si>
    <t>이지락(2023년)</t>
  </si>
  <si>
    <t>이지무브(트랜스퍼 보드)</t>
  </si>
  <si>
    <t>이지벨 무선 초인종</t>
  </si>
  <si>
    <t>이지숟가락</t>
  </si>
  <si>
    <t>이지스틱(젓가락)</t>
  </si>
  <si>
    <t>이지스푼</t>
  </si>
  <si>
    <t>이지업다운</t>
  </si>
  <si>
    <t>이지업다운(2022년)</t>
  </si>
  <si>
    <t>이지업다운(SUS형)</t>
  </si>
  <si>
    <t>이지업다운(SUS형)(2023년)</t>
  </si>
  <si>
    <t>이지업다운/EZ UP DOWN</t>
  </si>
  <si>
    <t>이지오토앵글데스크(각도조절책상)</t>
  </si>
  <si>
    <t>탁자</t>
  </si>
  <si>
    <t>이지컴</t>
  </si>
  <si>
    <t>이지컴(2021년)</t>
  </si>
  <si>
    <t>이지포크</t>
  </si>
  <si>
    <t>이지핏사이드서포트</t>
  </si>
  <si>
    <t>이지핏사이드서포트(2023년 1차)</t>
  </si>
  <si>
    <t>이틱</t>
  </si>
  <si>
    <t>익스플로12HD</t>
  </si>
  <si>
    <t>익스플로12HD(2023년)</t>
  </si>
  <si>
    <t>익스플로5HD</t>
  </si>
  <si>
    <t>익스플로5HD(2023년)</t>
  </si>
  <si>
    <t>익스플로8HD</t>
  </si>
  <si>
    <t>익스플로8HD(2023년)</t>
  </si>
  <si>
    <t>익스플로어8</t>
  </si>
  <si>
    <t>인공요장</t>
  </si>
  <si>
    <t>인바케어 경량형 수동휠체어</t>
  </si>
  <si>
    <t>인테그라 플러스</t>
  </si>
  <si>
    <t>인테그라마우스</t>
  </si>
  <si>
    <t>인테그라마우스(2023년)</t>
  </si>
  <si>
    <t>일반 키보드&amp;키가드</t>
  </si>
  <si>
    <t>일체형모니터브라켓</t>
  </si>
  <si>
    <t>일체형모니터브라켓(2023년)</t>
  </si>
  <si>
    <t>입식의자(EP501)</t>
  </si>
  <si>
    <t>입식의자(EP501)(2023년)</t>
  </si>
  <si>
    <t>잇웰치매노인식기</t>
  </si>
  <si>
    <t>자동 센서 휴지통</t>
  </si>
  <si>
    <t>쓰레기 수거 또는 폐기물 처분용 보조기기</t>
  </si>
  <si>
    <t>자동리어도어</t>
  </si>
  <si>
    <t>장애인을 위한 차대 및 차체 개조</t>
  </si>
  <si>
    <t>자동리어도어(2023년)</t>
  </si>
  <si>
    <t>자동사이드도어</t>
  </si>
  <si>
    <t>자동사이드도어(2023년)</t>
  </si>
  <si>
    <t>자동승강대차</t>
  </si>
  <si>
    <t>자동승강대차(N2021년)</t>
  </si>
  <si>
    <t>자동승강대차 1000*700*800</t>
  </si>
  <si>
    <t>자세보조용구 앉기형-다리 및 발 지지대</t>
  </si>
  <si>
    <t>자세보조용구 앉기형-머리 및 목 지지대</t>
  </si>
  <si>
    <t>자세보조용구 앉기형-몸통 및 골반지지대</t>
  </si>
  <si>
    <t>자세보조용구 앉기형-팔 지지대 및 랩트레이</t>
  </si>
  <si>
    <t>자세보조용구(자세유지보조기)</t>
  </si>
  <si>
    <t>자세유지목재의자(틸팅형)</t>
  </si>
  <si>
    <t>자세지지용의자(피더시트)</t>
  </si>
  <si>
    <t>자판없는 키보드&amp;마우스 ORBI TOUCH</t>
  </si>
  <si>
    <t>작업보조기댐의자</t>
  </si>
  <si>
    <t>작업보조기댐의자(2023년)</t>
  </si>
  <si>
    <t>작업용 휠체어</t>
  </si>
  <si>
    <t>작업용개인보호장비</t>
  </si>
  <si>
    <t>장수(sk-120)</t>
  </si>
  <si>
    <t>장애물감지스마트지팡이</t>
  </si>
  <si>
    <t>장애물감지스마트지팡이(2023년)</t>
  </si>
  <si>
    <t>장애인손잡이 L형 600</t>
  </si>
  <si>
    <t>장애인용 낚시대 홀더(휠체어 거치형)</t>
  </si>
  <si>
    <t>장애인용POS</t>
  </si>
  <si>
    <t>장애인용POS(2021년)</t>
  </si>
  <si>
    <t>다양한 수동식 차량</t>
  </si>
  <si>
    <t>재가근로자용높낮이테이블</t>
  </si>
  <si>
    <t>재가근로자용높낮이테이블(2023년)</t>
  </si>
  <si>
    <t>재활자전거(LV IMP)</t>
  </si>
  <si>
    <t>재활자전거</t>
  </si>
  <si>
    <t>재활자전거(MICAH)</t>
  </si>
  <si>
    <t>재활자전거(PLUS1512)</t>
  </si>
  <si>
    <t>재활자전거(PLUS1516)</t>
  </si>
  <si>
    <t>저시력보조안경</t>
  </si>
  <si>
    <t>전동 높낮이/경사조절책상-휠체어용</t>
  </si>
  <si>
    <t xml:space="preserve">전동 스탠딩휠체어
C-500</t>
  </si>
  <si>
    <t>전동높낮이 세면대</t>
  </si>
  <si>
    <t>세면기</t>
  </si>
  <si>
    <t>전동높낮이조절테이블 900*1800 이동형</t>
  </si>
  <si>
    <t>전동사이드서포트</t>
  </si>
  <si>
    <t>전동사이드서포트(2023년)</t>
  </si>
  <si>
    <t>전동상하지운동기(AUTO-BIKE +PLUS)</t>
  </si>
  <si>
    <t>전동상하지운동기(플러스미니바이크)</t>
  </si>
  <si>
    <t>전동석션칫솔</t>
  </si>
  <si>
    <t>전동소형지게차</t>
  </si>
  <si>
    <t>전동 소형 지게차</t>
  </si>
  <si>
    <t>전동스쿠터 차광막</t>
  </si>
  <si>
    <t xml:space="preserve">전동스쿠터
HS-740</t>
  </si>
  <si>
    <t>전동식트랜스퍼플레이트</t>
  </si>
  <si>
    <t>전동식트랜스퍼플레이트(2023년)</t>
  </si>
  <si>
    <t>전동이동보조기기캐노피</t>
  </si>
  <si>
    <t>전동파렛트 트럭 경광등 장착형</t>
  </si>
  <si>
    <t>전동하지운동기(AUTO BIKE)</t>
  </si>
  <si>
    <t>전동핸드파렛트대차</t>
  </si>
  <si>
    <t>전동핸드파렛트대차(2021년)</t>
  </si>
  <si>
    <t>전동형제로레스체어</t>
  </si>
  <si>
    <t>전동형제로레스체어(2023년)</t>
  </si>
  <si>
    <t>전동휠체어-가군</t>
  </si>
  <si>
    <t>전동휠체어 우비G3</t>
  </si>
  <si>
    <t>전동휠체어 조이스틱 덮개(B500)</t>
  </si>
  <si>
    <t>전동휠체어 조이스틱 덮개(JUVO)</t>
  </si>
  <si>
    <t>전동휠체어 조이스틱 덮개(M1)</t>
  </si>
  <si>
    <t>전동휠체어 조이스틱 덮개(VR2)</t>
  </si>
  <si>
    <t>전동휠체어 후사경</t>
  </si>
  <si>
    <t xml:space="preserve">전동휠체어
B500</t>
  </si>
  <si>
    <t xml:space="preserve">전동휠체어
permobil F5 corpus vs</t>
  </si>
  <si>
    <t>전동휠체어·전동스쿠터용 배터리(건강보험, 의료급여)</t>
  </si>
  <si>
    <t>휠체어용 배터리 및 충전기</t>
  </si>
  <si>
    <t>전동휠체어·전동스쿠터용 배터리</t>
  </si>
  <si>
    <t>전동휠체어용 발열담요</t>
  </si>
  <si>
    <t>전동휠체어용 우비</t>
  </si>
  <si>
    <t>전동흡입 칫솔</t>
  </si>
  <si>
    <t>보행차-전방</t>
  </si>
  <si>
    <t xml:space="preserve">전방스탠더
size-중</t>
  </si>
  <si>
    <t>전방워커(4wheel)</t>
  </si>
  <si>
    <t>전방지지워커</t>
  </si>
  <si>
    <t>전방지지워커(소아용)</t>
  </si>
  <si>
    <t>전자식핸드컨트롤좌측EG</t>
  </si>
  <si>
    <t>전자식핸드컨트롤좌측EG(2023년)</t>
  </si>
  <si>
    <t>점보레스트팔받침대세트</t>
  </si>
  <si>
    <t>점보레스트팔받침대세트(2023년)</t>
  </si>
  <si>
    <t>점보펜슬그립</t>
  </si>
  <si>
    <t>점자라벨러BL-1000</t>
  </si>
  <si>
    <t>점자라벨러BL-1000(2023년)</t>
  </si>
  <si>
    <t>접시 및 그릇</t>
  </si>
  <si>
    <t>접이식사이드서포트</t>
  </si>
  <si>
    <t>접이식사이드서포트(2023년)</t>
  </si>
  <si>
    <t>정전식24인치멀티터치모니터/TV</t>
  </si>
  <si>
    <t>정전식24인치멀티터치모니터/TV(2023년)</t>
  </si>
  <si>
    <t>정전식27인치멀티터치모니터/TV</t>
  </si>
  <si>
    <t>정전식27인치멀티터치모니터/TV(2023년)</t>
  </si>
  <si>
    <t>제니스-T</t>
  </si>
  <si>
    <t>제니스X</t>
  </si>
  <si>
    <t>제니스-XG</t>
  </si>
  <si>
    <t>제니스-XT</t>
  </si>
  <si>
    <t>제로레스체어</t>
  </si>
  <si>
    <t>제로레스체어(2022년)</t>
  </si>
  <si>
    <t>제피르(ZEFIR)</t>
  </si>
  <si>
    <t>젤리빈 트위스트 스위치</t>
  </si>
  <si>
    <t>젤리빈스위치</t>
  </si>
  <si>
    <t>젤쿠션(와이드)</t>
  </si>
  <si>
    <t>젤트론쿠션더블</t>
  </si>
  <si>
    <t>젤트론쿠션더블(2023년)</t>
  </si>
  <si>
    <t>젤트론쿠션싱글</t>
  </si>
  <si>
    <t>젤트론쿠션싱글(2023년)</t>
  </si>
  <si>
    <t>조립틀 콘센트형 충전기 레이저인쇄</t>
  </si>
  <si>
    <t>조립틀 형광펜</t>
  </si>
  <si>
    <t>조명확대경</t>
  </si>
  <si>
    <t>조우스</t>
  </si>
  <si>
    <t>조우스 플러스</t>
  </si>
  <si>
    <t>조우스3</t>
  </si>
  <si>
    <t>조은리프트</t>
  </si>
  <si>
    <t>조이라이더</t>
  </si>
  <si>
    <t>조이스틱롤러플러스(JSDH-9479/01)</t>
  </si>
  <si>
    <t>조이휠</t>
  </si>
  <si>
    <t>종아리굴곡체중부하의지-실리콘형</t>
  </si>
  <si>
    <t>종아리 의지</t>
  </si>
  <si>
    <t>종아리의지</t>
  </si>
  <si>
    <t>종아리의지 소켓-실리콘형</t>
  </si>
  <si>
    <t>종아리의지 소켓-일반형</t>
  </si>
  <si>
    <t>종아리의지 실리콘 슬리브</t>
  </si>
  <si>
    <t>종아리의지 실리콘라이너</t>
  </si>
  <si>
    <t>종아리의지-실리콘형</t>
  </si>
  <si>
    <t>종아리 의지-실리콘형</t>
  </si>
  <si>
    <t>종아리의지-일반형</t>
  </si>
  <si>
    <t>종아리 의지-일반형</t>
  </si>
  <si>
    <t>좌변기형 샤워휠체어 MAX 2080</t>
  </si>
  <si>
    <t>좌석쿠션 및 깔개</t>
  </si>
  <si>
    <t>좌석형 보행차</t>
  </si>
  <si>
    <t>줄 스위치</t>
  </si>
  <si>
    <t>줌텍스트USB</t>
  </si>
  <si>
    <t>줌텍스트USB(2023년)</t>
  </si>
  <si>
    <t>지그재그워커</t>
  </si>
  <si>
    <t>지니소리2</t>
  </si>
  <si>
    <t>지지대 다리받침대 500</t>
  </si>
  <si>
    <t>지지대 전동 발 558x335x200</t>
  </si>
  <si>
    <t>지지대 전동 발 바퀴 558x335x200</t>
  </si>
  <si>
    <t>지지대 팔받침대 250×80</t>
  </si>
  <si>
    <t>지지대 팔받침대 조절용 230*114*60</t>
  </si>
  <si>
    <t>지퍼올리는 도구</t>
  </si>
  <si>
    <t>직선형 마우스스틱</t>
  </si>
  <si>
    <t>진동시계(손목형)</t>
  </si>
  <si>
    <t>진동알림네비게이션알라비</t>
  </si>
  <si>
    <t>진동알림네비게이션알라비(2023년)</t>
  </si>
  <si>
    <t>집게 수동 건지기 정사각170X1500</t>
  </si>
  <si>
    <t>집뇨기(고무제-역류방지형)</t>
  </si>
  <si>
    <t>징거체어</t>
  </si>
  <si>
    <t>짧은 아래팔 근전전동의수</t>
  </si>
  <si>
    <t>짧은팔보조기-각도조절형</t>
  </si>
  <si>
    <t>짧은 팔 보조기-각도조절형</t>
  </si>
  <si>
    <t>책마루 OCR EZ</t>
  </si>
  <si>
    <t>책마루2OCRET</t>
  </si>
  <si>
    <t>책마루2OCRET(2022년)</t>
  </si>
  <si>
    <t>책마루3(교부사업)</t>
  </si>
  <si>
    <t>OCR 장치 및 OCR 소프트 웨어</t>
  </si>
  <si>
    <t>책마루3(보조공학기기)</t>
  </si>
  <si>
    <t>책마루3(2023년)</t>
  </si>
  <si>
    <t>책마루3(정보통신)</t>
  </si>
  <si>
    <t>데이지플레이어</t>
  </si>
  <si>
    <t>책상용팔받침대</t>
  </si>
  <si>
    <t>책상용팔받침대(2023년)</t>
  </si>
  <si>
    <t>척추보조기(보철구지급)</t>
  </si>
  <si>
    <t>-척추 및 머리보조기</t>
  </si>
  <si>
    <t>척추보조기</t>
  </si>
  <si>
    <t>천연BEDST-3</t>
  </si>
  <si>
    <t>철크러치</t>
  </si>
  <si>
    <t>청소기 휴대용 휠체어 10Kpa</t>
  </si>
  <si>
    <t>작업장 내 기계 및 공구류</t>
  </si>
  <si>
    <t>작업장 청소용 기계 및 장비</t>
  </si>
  <si>
    <t>청소년용 수동휠체어MY-2</t>
  </si>
  <si>
    <t>청음 KR-77</t>
  </si>
  <si>
    <t>체간용 지지벨트</t>
  </si>
  <si>
    <t>체어박스WCT-L/R</t>
  </si>
  <si>
    <t>체어박스WCT-L/R(2023년)</t>
  </si>
  <si>
    <t>체어타퍼</t>
  </si>
  <si>
    <t>체어타퍼(2023년)</t>
  </si>
  <si>
    <t>체어플러스</t>
  </si>
  <si>
    <t>체어플러스(2023년)</t>
  </si>
  <si>
    <t>체형복제 몰딩 이너</t>
  </si>
  <si>
    <t>초음파공간스캐너</t>
  </si>
  <si>
    <t>초음파공간스캐너(2023년)</t>
  </si>
  <si>
    <t>초중등용전방워커</t>
  </si>
  <si>
    <t>출력장치 디스플레이 카운터 풋스위치</t>
  </si>
  <si>
    <t>측정&amp;피팅용 체어(대)</t>
  </si>
  <si>
    <t>치료용벤치</t>
  </si>
  <si>
    <t>치료 시 자세유지용 보조기기</t>
  </si>
  <si>
    <t>친플러스 마우스</t>
  </si>
  <si>
    <t>카니발저상슬로프차량</t>
  </si>
  <si>
    <t>카니발저상슬로프차량(2023년)</t>
  </si>
  <si>
    <t>카니발휠체어슬로프</t>
  </si>
  <si>
    <t>카니발휠체어슬로프(2023년)</t>
  </si>
  <si>
    <t>카루소 지팡이</t>
  </si>
  <si>
    <t>카멜 K7</t>
  </si>
  <si>
    <t>카본 로얄파인더</t>
  </si>
  <si>
    <t>카본 울트라 라이트 워커</t>
  </si>
  <si>
    <t>카세트리프트(EP300)</t>
  </si>
  <si>
    <t>카세트리프트(EP300)(2023년)</t>
  </si>
  <si>
    <t>카업 270</t>
  </si>
  <si>
    <t>칸타타 200</t>
  </si>
  <si>
    <t>칸타타 300</t>
  </si>
  <si>
    <t>칸타타 400</t>
  </si>
  <si>
    <t>캐로40</t>
  </si>
  <si>
    <t>캐로40(2023년)</t>
  </si>
  <si>
    <t>캐롯카시트 XL</t>
  </si>
  <si>
    <t>캐롯카시트 트레이</t>
  </si>
  <si>
    <t>캐롯카시트3</t>
  </si>
  <si>
    <t>캔디4 HD2</t>
  </si>
  <si>
    <t>캔디5HD II</t>
  </si>
  <si>
    <t>캔디5HDⅡ</t>
  </si>
  <si>
    <t>캔디5HDII(2023년)</t>
  </si>
  <si>
    <t>캔디6</t>
  </si>
  <si>
    <t>캔디6(2023년)</t>
  </si>
  <si>
    <t>캔디BE-22</t>
  </si>
  <si>
    <t>컨투어드 인체공학키보드</t>
  </si>
  <si>
    <t>컨폼공기방석</t>
  </si>
  <si>
    <t>컨폼공기방석(2023년)</t>
  </si>
  <si>
    <t>컨폼공기방석(1구)</t>
  </si>
  <si>
    <t>컴팩10HD</t>
  </si>
  <si>
    <t>컴팩10HD(2023년)</t>
  </si>
  <si>
    <t>컴팩6HD</t>
  </si>
  <si>
    <t>컴팩6HD(2023년)</t>
  </si>
  <si>
    <t>컴팩7HD</t>
  </si>
  <si>
    <t>컴팩7HD(2023년)</t>
  </si>
  <si>
    <t>컴팩8</t>
  </si>
  <si>
    <t>케네디컵</t>
  </si>
  <si>
    <t>케어레인9098</t>
  </si>
  <si>
    <t xml:space="preserve">케어스틱 </t>
  </si>
  <si>
    <t>케어핸들 2-G</t>
  </si>
  <si>
    <t>케어핸들 3-G</t>
  </si>
  <si>
    <t>케어핸들-2</t>
  </si>
  <si>
    <t>케어핸들-3</t>
  </si>
  <si>
    <t>코 부위 제거 컵</t>
  </si>
  <si>
    <t>코가 없는 컵</t>
  </si>
  <si>
    <t>코르조 엑스카운티 (CORZO Xcountry)</t>
  </si>
  <si>
    <t>코르지노 클래식 블루</t>
  </si>
  <si>
    <t>코르지노 클래식(CORZINO Classic)</t>
  </si>
  <si>
    <t>코모도 목욕의자</t>
  </si>
  <si>
    <t>코모도 체어</t>
  </si>
  <si>
    <t>코와 901</t>
  </si>
  <si>
    <t>코지데스크</t>
  </si>
  <si>
    <t>코지듀얼스탠더-전동-대</t>
  </si>
  <si>
    <t>코지듀얼스탠더-전동-소</t>
  </si>
  <si>
    <t>코지듀얼스탠더-전동-중</t>
  </si>
  <si>
    <t>코지듀얼스탠더-전동-특대</t>
  </si>
  <si>
    <t>코지듀얼스탠더-전동-특소</t>
  </si>
  <si>
    <t>코지멀티체어3</t>
  </si>
  <si>
    <t>코지수파인스탠더-전동-대</t>
  </si>
  <si>
    <t>코지수파인스탠더-전동-소</t>
  </si>
  <si>
    <t>코지수파인스탠더-전동-중</t>
  </si>
  <si>
    <t>코지수파인스탠더-전동-특대</t>
  </si>
  <si>
    <t>코지수파인스탠더-전동-특소</t>
  </si>
  <si>
    <t>코지워커P01A</t>
  </si>
  <si>
    <t>(제품명에 있음)탁자형 보행차(보행차) vs 양팔 조작형 보행용 보조기기</t>
  </si>
  <si>
    <t>코지워커P03</t>
  </si>
  <si>
    <t>탁자형 보행차(보행차) vs 양팔 조작형 보행용 보조기기</t>
  </si>
  <si>
    <t>코지워커P04</t>
  </si>
  <si>
    <t>코지프론스탠더-전동-대</t>
  </si>
  <si>
    <t>코지프론스탠더-전동-소</t>
  </si>
  <si>
    <t>코지프론스탠더-전동-중</t>
  </si>
  <si>
    <t>코지프론스탠더-전동-특대</t>
  </si>
  <si>
    <t>코지프론스탠더-전동-특소</t>
  </si>
  <si>
    <t>코지훈련용 벤치의자</t>
  </si>
  <si>
    <t>코지훈련용 벤치의자 세트</t>
  </si>
  <si>
    <t>콘택트렌즈</t>
  </si>
  <si>
    <t xml:space="preserve">콘택트렌즈 </t>
  </si>
  <si>
    <t>콜럼비아</t>
  </si>
  <si>
    <t>콜럼비아(2023년)</t>
  </si>
  <si>
    <t>콤팩트체어</t>
  </si>
  <si>
    <t>콤팩트체어(2023년)</t>
  </si>
  <si>
    <t>콰트로파워 서포트</t>
  </si>
  <si>
    <t>쿼티케이스에스이</t>
  </si>
  <si>
    <t>쿼티케이스에스이(2023년)</t>
  </si>
  <si>
    <t>쿼티케이스패치</t>
  </si>
  <si>
    <t>쿼티케이스패치(2023년)</t>
  </si>
  <si>
    <t>퀘스터 조이스틱</t>
  </si>
  <si>
    <t>퀵토커</t>
  </si>
  <si>
    <t>퀵토커23</t>
  </si>
  <si>
    <t>퀵토커7</t>
  </si>
  <si>
    <t>큐브레일</t>
  </si>
  <si>
    <t>큐브레일(2023년)</t>
  </si>
  <si>
    <t>큐하조노 마우스</t>
  </si>
  <si>
    <t>큐하조노 마우스 세트</t>
  </si>
  <si>
    <t>큐하조노X 마우스</t>
  </si>
  <si>
    <t>크루져(Cruiser)</t>
  </si>
  <si>
    <t>크리스탈클리어스위치</t>
  </si>
  <si>
    <t>크리켓(cricket)</t>
  </si>
  <si>
    <t>클라우드 욕창예방 방석</t>
  </si>
  <si>
    <t>클로버10HD(2023년)</t>
  </si>
  <si>
    <t>클로버6HD</t>
  </si>
  <si>
    <t>클로버6HD(2023년)</t>
  </si>
  <si>
    <t>클로버7HD</t>
  </si>
  <si>
    <t>클로버7HD(2023년)</t>
  </si>
  <si>
    <t>클로버BookPro</t>
  </si>
  <si>
    <t>클로버BookPro(2022년)</t>
  </si>
  <si>
    <t>클로버BookXL</t>
  </si>
  <si>
    <t>클로버Note</t>
  </si>
  <si>
    <t>클리어뷰C24HD</t>
  </si>
  <si>
    <t>클리어뷰C24HD스피치</t>
  </si>
  <si>
    <t>클리어뷰C24HD스피치(2023년)</t>
  </si>
  <si>
    <t>클립</t>
  </si>
  <si>
    <t>클립3</t>
  </si>
  <si>
    <t>키가드 확대 키보드</t>
  </si>
  <si>
    <t>키가드있는확대키보드</t>
  </si>
  <si>
    <t>키가드있는확대키보드(2022년)</t>
  </si>
  <si>
    <t>키보드 경사조절 받침대</t>
  </si>
  <si>
    <t>키보드&amp;키가드</t>
  </si>
  <si>
    <t>키보드&amp;키가드(2023년)</t>
  </si>
  <si>
    <t>특수키보드</t>
  </si>
  <si>
    <t>키즈보이스2</t>
  </si>
  <si>
    <t>키즈보이스스마트</t>
  </si>
  <si>
    <t>키즈보이스마트(N2022년개정)</t>
  </si>
  <si>
    <t>키즈보이스윈도우</t>
  </si>
  <si>
    <t>킴바네오 유모차(kimba Neo)</t>
  </si>
  <si>
    <t>킴바스프링 유아용 유모차</t>
  </si>
  <si>
    <t>타기(TAGI)</t>
  </si>
  <si>
    <t>타르타에미스등받이</t>
  </si>
  <si>
    <t>타르타에미스등받이(2023년)</t>
  </si>
  <si>
    <t>타이거프리미어100</t>
  </si>
  <si>
    <t>타이거프리미어100(2021년)</t>
  </si>
  <si>
    <t>타이핑보조기기</t>
  </si>
  <si>
    <t>타이핑보조기기(2023년)</t>
  </si>
  <si>
    <t>타이핑보조기기(하드타입)</t>
  </si>
  <si>
    <t>탁상형높낮이조절작업테이블</t>
  </si>
  <si>
    <t>탁상형높낮이조절작업테이블(2023년)</t>
  </si>
  <si>
    <t>탁상형자동높낮이테이블</t>
  </si>
  <si>
    <t>탁상형자동높낮이테이블(2023년)</t>
  </si>
  <si>
    <t>탈부착좌측엑셀페달</t>
  </si>
  <si>
    <t>탈부착좌측엑셀페달(2023년)</t>
  </si>
  <si>
    <t>탭틸로</t>
  </si>
  <si>
    <t>점자 훈련용 보조기기</t>
  </si>
  <si>
    <t>턱 마우스</t>
  </si>
  <si>
    <t>턱마우스</t>
  </si>
  <si>
    <t>턱마우스(2023년)</t>
  </si>
  <si>
    <t>텀블폼웨지(Tumble Forms)</t>
  </si>
  <si>
    <t>텀블폼피더시트</t>
  </si>
  <si>
    <t>테라플레어방석</t>
  </si>
  <si>
    <t>테라플레어방석(2023년)</t>
  </si>
  <si>
    <t>테이블 작업용 자동 대형 2400×1200×28</t>
  </si>
  <si>
    <t>테이블 작업용 전동 LED 1600×800×720 1200</t>
  </si>
  <si>
    <t>테이블 작업용 전동 SUS 2330×1130×761 1241</t>
  </si>
  <si>
    <t>테이블 작업용 전동 목재 2400×1200×690 1170</t>
  </si>
  <si>
    <t>테이블 전동 거치형 1100*400</t>
  </si>
  <si>
    <t>테이블 화이트보드상판 1500*900*720</t>
  </si>
  <si>
    <t>테이블마운트(거치대)</t>
  </si>
  <si>
    <t>테이블부착 오프너</t>
  </si>
  <si>
    <t>테이블흡착식마운트</t>
  </si>
  <si>
    <t>텔스톤</t>
  </si>
  <si>
    <t>텔스톤(2021년)</t>
  </si>
  <si>
    <t>토도 아이파워</t>
  </si>
  <si>
    <t>토도드라이브</t>
  </si>
  <si>
    <t>토도드라이브(2023년)</t>
  </si>
  <si>
    <t>토도휠체어</t>
  </si>
  <si>
    <t>토마토 EIO 푸쉬체어</t>
  </si>
  <si>
    <t>토마토 피더시트</t>
  </si>
  <si>
    <t>토마토 피더시트 + 플로어베이스</t>
  </si>
  <si>
    <t>토마토 피더시트 2</t>
  </si>
  <si>
    <t>토마토 피더시트&amp;고정베이스 세트</t>
  </si>
  <si>
    <t>토마토 피더시트&amp;모빌베이스</t>
  </si>
  <si>
    <t>토마토 피더시트&amp;모빌베이스 이동형 세트</t>
  </si>
  <si>
    <t>토마토 피더시트&amp;플로어베이스 세트</t>
  </si>
  <si>
    <t>토마토피더시터1</t>
  </si>
  <si>
    <t>토마토피더시터2</t>
  </si>
  <si>
    <t>토마토피더시터3</t>
  </si>
  <si>
    <t>토마토피더시터4</t>
  </si>
  <si>
    <t>토비</t>
  </si>
  <si>
    <t>토커블3</t>
  </si>
  <si>
    <t>토탈사이드서포트</t>
  </si>
  <si>
    <t>토탈사이드서포트(2023년)</t>
  </si>
  <si>
    <t>토파즈</t>
  </si>
  <si>
    <t>톡백</t>
  </si>
  <si>
    <t>투게더</t>
  </si>
  <si>
    <t>투버튼워커</t>
  </si>
  <si>
    <t>트래바색 랩보드 미니 커넥트</t>
  </si>
  <si>
    <t>트래바색 랩보드 커넥트</t>
  </si>
  <si>
    <t>트랙커 게이트 트레이너(L)</t>
  </si>
  <si>
    <t>트랙커 프로2</t>
  </si>
  <si>
    <t>트랙커 프로2 세트</t>
  </si>
  <si>
    <t>트랙커 프로2-드웰세트</t>
  </si>
  <si>
    <t xml:space="preserve">트랜스퍼 휠체어
LK-3</t>
  </si>
  <si>
    <t>트랜스퍼보드</t>
  </si>
  <si>
    <t>트랜스포트휠체어</t>
  </si>
  <si>
    <t>트롤리(Trolli)</t>
  </si>
  <si>
    <t>트리니티쿠션</t>
  </si>
  <si>
    <t>트리폴드 AS 이동경사로(TRIFOLD AS)</t>
  </si>
  <si>
    <t>트리플</t>
  </si>
  <si>
    <t>트리플(2023년)</t>
  </si>
  <si>
    <t>티닷(Tdot)</t>
  </si>
  <si>
    <t>티비닷</t>
  </si>
  <si>
    <t>티비닷(2023년)</t>
  </si>
  <si>
    <t>티앰프N</t>
  </si>
  <si>
    <t>기타(청각/언어)</t>
  </si>
  <si>
    <t>티키타노트 톡</t>
  </si>
  <si>
    <t>티키타캡션</t>
  </si>
  <si>
    <t>티키타캡션 탭</t>
  </si>
  <si>
    <t>틸팅체어(소)</t>
  </si>
  <si>
    <t>틸팅체어-블럭타입(중)</t>
  </si>
  <si>
    <t>팔꿈치관절의지</t>
  </si>
  <si>
    <t>팔꿈치관절 의지</t>
  </si>
  <si>
    <t>팔꿈치관절의지-기능형</t>
  </si>
  <si>
    <t>팔꿈치관절 의지-기능형</t>
  </si>
  <si>
    <t>팔꿈치관절의지-미관형</t>
  </si>
  <si>
    <t>팔꿈치관절 의지-미관형</t>
  </si>
  <si>
    <t>팔꿈치-손목-손보조기(각도조절형)</t>
  </si>
  <si>
    <t>팔꿈치-손목-손 보조기</t>
  </si>
  <si>
    <t>팔꿈치-손목-손 보조기(각도 조절형)</t>
  </si>
  <si>
    <t>팔꿈치-손목-손보조기(일반형)</t>
  </si>
  <si>
    <t>팔꿈치-손목-손 보조기(일반형)</t>
  </si>
  <si>
    <t>팔보조기(보철구지급)</t>
  </si>
  <si>
    <t>-팔보조기</t>
  </si>
  <si>
    <t>팔보조기</t>
  </si>
  <si>
    <t>팜온 키보드(UPK100DX)</t>
  </si>
  <si>
    <t>팜온키보드</t>
  </si>
  <si>
    <t>팩시밀리</t>
  </si>
  <si>
    <t>퍼모빌 휠체어 컵홀더</t>
  </si>
  <si>
    <t>페가즈(Pegaz)</t>
  </si>
  <si>
    <t>페블</t>
  </si>
  <si>
    <t>페블(N2021년)</t>
  </si>
  <si>
    <t>페블HD</t>
  </si>
  <si>
    <t>페블HD(2023년)</t>
  </si>
  <si>
    <t>페이지터너리더블3</t>
  </si>
  <si>
    <t>책장 넘기는 도구</t>
  </si>
  <si>
    <t>편안한덧신양말(공용)</t>
  </si>
  <si>
    <t>편안한면양말(남성용)</t>
  </si>
  <si>
    <t>포인터 마우스</t>
  </si>
  <si>
    <t>폼튜브 그리퍼</t>
  </si>
  <si>
    <t>표준 아래팔 근전전동의수</t>
  </si>
  <si>
    <t>푸시링</t>
  </si>
  <si>
    <t>풋워머</t>
  </si>
  <si>
    <t>퓨처스</t>
  </si>
  <si>
    <t>퓨처스(N2022년)</t>
  </si>
  <si>
    <t>프로디지컨넥트12</t>
  </si>
  <si>
    <t>프로디지컨넥트12(2023년)</t>
  </si>
  <si>
    <t>프로맥스(GS801)</t>
  </si>
  <si>
    <t>프로맥스(GS801)(2023년)</t>
  </si>
  <si>
    <t>프로티지커넥트12</t>
  </si>
  <si>
    <t>프록스토커(Proxtalker)</t>
  </si>
  <si>
    <t>프론스텐더(수동)</t>
  </si>
  <si>
    <t>프리폼등받이</t>
  </si>
  <si>
    <t>프리폼등받이(2021년)</t>
  </si>
  <si>
    <t>플라스틱접시가이드</t>
  </si>
  <si>
    <t>플로어베드</t>
  </si>
  <si>
    <t>플로어시터-피더시트</t>
  </si>
  <si>
    <t>플로어시트</t>
  </si>
  <si>
    <t>플로위리더</t>
  </si>
  <si>
    <t>플로위리더(2023년)</t>
  </si>
  <si>
    <t>플로위웍스</t>
  </si>
  <si>
    <t>플로위웍스(2023년)</t>
  </si>
  <si>
    <t>플로위탭</t>
  </si>
  <si>
    <t>플로위탭(2023년 1차)</t>
  </si>
  <si>
    <t>플립형좌측엑셀페달</t>
  </si>
  <si>
    <t>플립형좌측엑셀페달(2023년)</t>
  </si>
  <si>
    <t>피그레오</t>
  </si>
  <si>
    <t>피그레오2</t>
  </si>
  <si>
    <t>피닉스컴팩트백</t>
  </si>
  <si>
    <t>사물의 고정 및 운반용 휠체어 부착 장치</t>
  </si>
  <si>
    <t>피닉스컴팩트백(2023년 1차)</t>
  </si>
  <si>
    <t>피더시트&amp;플로우베이스</t>
  </si>
  <si>
    <t>피팟 자세 유지의자</t>
  </si>
  <si>
    <t>픽업집게</t>
  </si>
  <si>
    <t>필기보조도구2</t>
  </si>
  <si>
    <t>필기보조도구3</t>
  </si>
  <si>
    <t>필덤 서포트핏 TREL 트렉 백팩</t>
  </si>
  <si>
    <t>필덤 플렉서블핏 CHIC 시크 토트백</t>
  </si>
  <si>
    <t>하이루프쏘울레이</t>
  </si>
  <si>
    <t>하이루프쏘울레이(2023년)</t>
  </si>
  <si>
    <t>하하2(HAHA2)</t>
  </si>
  <si>
    <t>하하3(교부사업)</t>
  </si>
  <si>
    <t>하하3(정보통신)</t>
  </si>
  <si>
    <t>한 손 사용자 손톱깎이판</t>
  </si>
  <si>
    <t>한글바르미</t>
  </si>
  <si>
    <t>한글잼잼</t>
  </si>
  <si>
    <t>한뼘AAC PRO</t>
  </si>
  <si>
    <t>한뼘AAC 멀티</t>
  </si>
  <si>
    <t>한뼘상황중심AAC</t>
  </si>
  <si>
    <t>한뼘의사소통PRO</t>
  </si>
  <si>
    <t>한뼘의사소통패키지</t>
  </si>
  <si>
    <t>한뼘캠AAC서버</t>
  </si>
  <si>
    <t>한뼘캠AAC서버(2023년)</t>
  </si>
  <si>
    <t>한뼘캠AAC클라이언트</t>
  </si>
  <si>
    <t>한뼘캠AAC클라이언트(2022년)</t>
  </si>
  <si>
    <t>한소네 큐브레일</t>
  </si>
  <si>
    <t>한소네5</t>
  </si>
  <si>
    <t>한소네5 (2020년)</t>
  </si>
  <si>
    <t>한소네5미니</t>
  </si>
  <si>
    <t>한소네5미니(2021년)</t>
  </si>
  <si>
    <t>한소네6</t>
  </si>
  <si>
    <t>한소네6(2021년)</t>
  </si>
  <si>
    <t>한소네6미니</t>
  </si>
  <si>
    <t>한소네6미니(2023년)</t>
  </si>
  <si>
    <t>한소네QX</t>
  </si>
  <si>
    <t>한소네U2</t>
  </si>
  <si>
    <t>한소네U2(2021년)</t>
  </si>
  <si>
    <t>한소네U2미니</t>
  </si>
  <si>
    <t>한소네U2 미니(구, 한소네 포켓)</t>
  </si>
  <si>
    <t>한소네U2쿼티</t>
  </si>
  <si>
    <t>한소네U2 쿼티(구, 한소네 QX)</t>
  </si>
  <si>
    <t>한손사용자용 도마</t>
  </si>
  <si>
    <t>자르기, 다지기, 나누기용 보조기기</t>
  </si>
  <si>
    <t>한손사용자용 손톱깍이</t>
  </si>
  <si>
    <t>한손사용자용키보드</t>
  </si>
  <si>
    <t>한손자용 키보드</t>
  </si>
  <si>
    <t>한손키보드(2023년)</t>
  </si>
  <si>
    <t>해미워커/4팁</t>
  </si>
  <si>
    <t>핸드스캐너 및 정전식 터치펜</t>
  </si>
  <si>
    <t>핸드컨트롤러AG-120</t>
  </si>
  <si>
    <t>핸드컨트롤러AG-120(2023년)</t>
  </si>
  <si>
    <t>핸드컨트롤러AT-15</t>
  </si>
  <si>
    <t>핸드컨트롤러AT-15(2023년)</t>
  </si>
  <si>
    <t>핸드컨트롤러AT-25</t>
  </si>
  <si>
    <t>핸드컨트롤러AT-25(2023년)</t>
  </si>
  <si>
    <t>핸드컨트롤러AT-993</t>
  </si>
  <si>
    <t>핸드컨트롤러AT-993(2023년)</t>
  </si>
  <si>
    <t>핸드컨트롤우측MERO</t>
  </si>
  <si>
    <t>핸드컨트롤우측MERO(2023년)</t>
  </si>
  <si>
    <t>핸드컨트롤좌측SG1</t>
  </si>
  <si>
    <t>핸드컨트롤좌측SG1(2023년)</t>
  </si>
  <si>
    <t>핸드풋브레이크</t>
  </si>
  <si>
    <t>핸드풋브레이크(2023년)</t>
  </si>
  <si>
    <t>핸들봉3PIN</t>
  </si>
  <si>
    <t>핸들봉3PIN(2023년)</t>
  </si>
  <si>
    <t>핸들봉Ball</t>
  </si>
  <si>
    <t>핸들봉Ball(2023년)</t>
  </si>
  <si>
    <t>핸들봉DNK1</t>
  </si>
  <si>
    <t>핸들봉DNK1(2023년)</t>
  </si>
  <si>
    <t>핸들봉DNK9</t>
  </si>
  <si>
    <t>핸들봉DNK9(2023년)</t>
  </si>
  <si>
    <t>핸들봉KNOB</t>
  </si>
  <si>
    <t>핸들봉KNOB(2023년)</t>
  </si>
  <si>
    <t>핸들봉SINGLE</t>
  </si>
  <si>
    <t>핸들봉SINGLE(2023년)</t>
  </si>
  <si>
    <t>핸들봉TRIPOD</t>
  </si>
  <si>
    <t>핸들봉TRIPOD(2023년)</t>
  </si>
  <si>
    <t>핸들봉럐까</t>
  </si>
  <si>
    <t>핸들봉FORK(2023년)</t>
  </si>
  <si>
    <t>핸디컵</t>
  </si>
  <si>
    <t>허기</t>
  </si>
  <si>
    <t>허기(2023년)</t>
  </si>
  <si>
    <t>허기베이직(교부사업)</t>
  </si>
  <si>
    <t>허기베이직(보조공학기기)</t>
  </si>
  <si>
    <t>허기베이직(2023년)</t>
  </si>
  <si>
    <t>허리보조기(코르셋)</t>
  </si>
  <si>
    <t>허리 보조기</t>
  </si>
  <si>
    <t>허리 보조기-코르셋</t>
  </si>
  <si>
    <t>허리-엉치보조기(윌리암식)</t>
  </si>
  <si>
    <t>허리-엉치 보조기</t>
  </si>
  <si>
    <t>허리-엉치보조기(윌리엄식)</t>
  </si>
  <si>
    <t>허리-엉치 보조기(윌리암식)</t>
  </si>
  <si>
    <t>헤드 서포트</t>
  </si>
  <si>
    <t>머리 보호용 보조기기</t>
  </si>
  <si>
    <t>헤드 포인터</t>
  </si>
  <si>
    <t>헤드마우스나노세트</t>
  </si>
  <si>
    <t>헤드마우스나노와십퍼프헤드셋세트</t>
  </si>
  <si>
    <t>헤드마우스나노와십퍼프헤드셋세트(2023년)</t>
  </si>
  <si>
    <t>헤스테나 휠체어형 담요세트</t>
  </si>
  <si>
    <t>의료 및 신발에서 빼는 제품인지 확인 필요</t>
  </si>
  <si>
    <t>호흡스위치 핸드피스(전동공구)</t>
  </si>
  <si>
    <t>전동 손 공구</t>
  </si>
  <si>
    <t>홍채렌즈</t>
  </si>
  <si>
    <t>화려한 실버</t>
  </si>
  <si>
    <t>화장실 경사거울</t>
  </si>
  <si>
    <t>안면 관리용 거울</t>
  </si>
  <si>
    <t>확대경달린 손톱깍이</t>
  </si>
  <si>
    <t>활동형휠체어</t>
  </si>
  <si>
    <t xml:space="preserve">활동형휠체어
u2 gold B</t>
  </si>
  <si>
    <t>회전시트EVO</t>
  </si>
  <si>
    <t>회전시트EVO(2023년)</t>
  </si>
  <si>
    <t>회전식 숟가락</t>
  </si>
  <si>
    <t>효(孝)팬티-003</t>
  </si>
  <si>
    <t xml:space="preserve">후방보조보행차
(막시)</t>
  </si>
  <si>
    <t>후방지지형 E타입</t>
  </si>
  <si>
    <t>훨체어용 담요 담요형</t>
  </si>
  <si>
    <t>훨체어용 담요 자루형</t>
  </si>
  <si>
    <t>훨체어용 담요 짧은 자루형</t>
  </si>
  <si>
    <t>훨체어용 담요 풋워머</t>
  </si>
  <si>
    <t>훨체어용 발열담요 담요형</t>
  </si>
  <si>
    <t>훨체어용 발열담요 자루형</t>
  </si>
  <si>
    <t>휠러블 WheelAble</t>
  </si>
  <si>
    <t>휠로피아스탠딩F5</t>
  </si>
  <si>
    <t>휠로피아스탠딩F5(2023년)</t>
  </si>
  <si>
    <t>휠체어 글러브 L</t>
  </si>
  <si>
    <t>휠체어 글러브 XL</t>
  </si>
  <si>
    <t>휠체어 다리고정 벨트</t>
  </si>
  <si>
    <t>휠체어 동력보조장치(전동유닛)</t>
  </si>
  <si>
    <t>휠체어 배터리(장애인사업주)</t>
  </si>
  <si>
    <t>휠체어 배터리</t>
  </si>
  <si>
    <t>휠체어 부착용 물병꽂이</t>
  </si>
  <si>
    <t>휠체어 안전벨트</t>
  </si>
  <si>
    <t>휠체어 추진장치</t>
  </si>
  <si>
    <t>휠체어 팔고정 벨트</t>
  </si>
  <si>
    <t>휠체어 휴대폰거치대</t>
  </si>
  <si>
    <t>휠체어다리고정 벨트</t>
  </si>
  <si>
    <t>휠체어뒷문저상밴</t>
  </si>
  <si>
    <t>휠체어뒷문저상밴(2023년)</t>
  </si>
  <si>
    <t>휠체어리프트K-1200</t>
  </si>
  <si>
    <t>휠체어리프트K-1200(2023년)</t>
  </si>
  <si>
    <t>휠체어용 고정벨트(일자형)</t>
  </si>
  <si>
    <t>휠체어용 고정벨트(일자형/대)</t>
  </si>
  <si>
    <t>휠체어용 담요</t>
  </si>
  <si>
    <t>휠체어용 담요 자루형</t>
  </si>
  <si>
    <t>휠체어용 무릎포켓</t>
  </si>
  <si>
    <t>휠체어용 샴푸받침대</t>
  </si>
  <si>
    <t>휠체어용 오리털 장갑</t>
  </si>
  <si>
    <t>휠체어용 체간고정벨트</t>
  </si>
  <si>
    <t>휠체어용 체간패드</t>
  </si>
  <si>
    <t>휠체어용담요셋트</t>
  </si>
  <si>
    <t>휠체어적재벨트</t>
  </si>
  <si>
    <t>휠체어적재벨트(2023년)</t>
  </si>
  <si>
    <t>휠체어캐리어</t>
  </si>
  <si>
    <t>휠체어캐리어(2022년)</t>
  </si>
  <si>
    <t>휠체어형 목욕의자</t>
  </si>
  <si>
    <t>휠체어형 목욕의자2</t>
  </si>
  <si>
    <t>휴대용 진동시계</t>
  </si>
  <si>
    <t>휴대용 집게(레인보우 집게)</t>
  </si>
  <si>
    <t>휴대용 집게(새몬스 집게/66cm)</t>
  </si>
  <si>
    <t>휴대용경사로 BFSP-1</t>
  </si>
  <si>
    <t>휴대용경사로(PortableRamp)</t>
  </si>
  <si>
    <t>휴대용경사로(PortableRamp)(2023년)</t>
  </si>
  <si>
    <t>휴대용진동알람시계</t>
  </si>
  <si>
    <t>휴먼스텝산아2</t>
  </si>
  <si>
    <t>휴먼케어NA33K</t>
  </si>
  <si>
    <t>휴먼케어T30SU</t>
  </si>
  <si>
    <t>흡착식 이동 손잡이 길이조절(소)</t>
  </si>
  <si>
    <t>핸드레일 및 지지 레일</t>
  </si>
  <si>
    <t>흡착식 이동 손잡이 콰트로(중)</t>
  </si>
  <si>
    <t>흡착판 브러쉬 솔</t>
  </si>
  <si>
    <t>흰지팡이</t>
  </si>
  <si>
    <t>방향 안내용 흰 지팡이와 심벌 지팡이</t>
  </si>
  <si>
    <t>히어링스톤 AI</t>
  </si>
  <si>
    <t>히포캄프 beach</t>
  </si>
  <si>
    <t>히포캄프 pool</t>
  </si>
  <si>
    <t>히포캄프 마라톤</t>
  </si>
  <si>
    <t>품목고시 명칭에 따른 보조기기 영역</t>
  </si>
  <si>
    <t>품목고시 명칭</t>
  </si>
  <si>
    <t>보조기기 영역</t>
  </si>
  <si>
    <t>(등-)허리-엉치-엉덩-무릎-발목-발 보조기</t>
  </si>
  <si>
    <t>2인 이상용 2륜 자전거, 3륜 자전거, 4륜 자전거</t>
  </si>
  <si>
    <t>가스 공급용 안전밸브</t>
  </si>
  <si>
    <t>가슴 보형물</t>
  </si>
  <si>
    <t>각도 측정용 보조기기 및 도구</t>
  </si>
  <si>
    <t>감각 통합 훈련용 보조 기기</t>
  </si>
  <si>
    <t>개념 발달 훈련용 보조기기</t>
  </si>
  <si>
    <t>개별 가동성 훈련용 보조기기</t>
  </si>
  <si>
    <t>개별 체중계</t>
  </si>
  <si>
    <t>개조된 원예 화단</t>
  </si>
  <si>
    <t>건식 카펫 청소기</t>
  </si>
  <si>
    <t>건조용 보조기기</t>
  </si>
  <si>
    <t>걸상</t>
  </si>
  <si>
    <t>겉옷</t>
  </si>
  <si>
    <t>게임</t>
  </si>
  <si>
    <t>겨울 스포츠용 보조기기</t>
  </si>
  <si>
    <t>경사대</t>
  </si>
  <si>
    <t>경성 좌석 착석형 호이스트</t>
  </si>
  <si>
    <t>경첩식 레일 및 팔 지지대</t>
  </si>
  <si>
    <t>계단</t>
  </si>
  <si>
    <t>ADL, WC</t>
  </si>
  <si>
    <t>계단 오르기 전동 휠체어</t>
  </si>
  <si>
    <t>계란 컵</t>
  </si>
  <si>
    <t>계산 소프트웨어</t>
  </si>
  <si>
    <t>계산기</t>
  </si>
  <si>
    <t>계산용 수동 장치</t>
  </si>
  <si>
    <t>고정기능이 있는 소아용  일회용 요실금 제품</t>
  </si>
  <si>
    <t>고정된 높이의 주추 및 버팀대</t>
  </si>
  <si>
    <t>고정식 핸들 및 회전형 손잡이</t>
  </si>
  <si>
    <t>골반 훈련용 보조기기</t>
  </si>
  <si>
    <t>공공 정보/전자거래 단말기</t>
  </si>
  <si>
    <t>공기 청정기</t>
  </si>
  <si>
    <t>공기주입식 의류 및 압박 장치</t>
  </si>
  <si>
    <t>공정품 및 도구의 고정 및 배치용 보조기기</t>
  </si>
  <si>
    <t>공정품 및 도구의 운반 및 잡기용 보조기기</t>
  </si>
  <si>
    <t>관절고정용 의자</t>
  </si>
  <si>
    <t>광 필터(흡수 필터)</t>
  </si>
  <si>
    <t>광선치료용 보호 안경</t>
  </si>
  <si>
    <t>구개 보형물</t>
  </si>
  <si>
    <t>구내 통신 및 현관 인터폰</t>
  </si>
  <si>
    <t>구둣주걱 및 장화벗기 도구</t>
  </si>
  <si>
    <t>구조장비</t>
  </si>
  <si>
    <t>굳은살 제거기</t>
  </si>
  <si>
    <t>귀 보호 또는 청력 보호용 보조기기</t>
  </si>
  <si>
    <t>귀납적/추론적 원인 훈련용 보조기기</t>
  </si>
  <si>
    <t>그리기 및 색칠하기 소프트웨어</t>
  </si>
  <si>
    <t>금속공예용 도구, 재료, 장비</t>
  </si>
  <si>
    <t>기계 및 도구용 액세서리</t>
  </si>
  <si>
    <t>기관 절개창 삽입관</t>
  </si>
  <si>
    <t>기관절개창 관리용 액세사리</t>
  </si>
  <si>
    <t>기관절개창 보호기</t>
  </si>
  <si>
    <t>기도 보호용 보조기기</t>
  </si>
  <si>
    <t>기립형 이동식 호이스트</t>
  </si>
  <si>
    <t>기립형 전동 차량</t>
  </si>
  <si>
    <t>기본 기하학 기술 훈련용 보조기기</t>
  </si>
  <si>
    <t>기억 훈련 보조기기</t>
  </si>
  <si>
    <t>기중기, 도르래 장치, 하역 장비</t>
  </si>
  <si>
    <t>기초연산 훈련용 및 지원용 보조기기</t>
  </si>
  <si>
    <t>기타 인지기능 강화를 위한 보조기기</t>
  </si>
  <si>
    <t>기타 재료로 만든 수공예품용 도구, 재료, 장비</t>
  </si>
  <si>
    <t>기후 상태 측정용 보조기기 및 도구</t>
  </si>
  <si>
    <t>길이 측정용 보조기기 및 도구</t>
  </si>
  <si>
    <t>나침반</t>
  </si>
  <si>
    <t>낚시용 보조기기</t>
  </si>
  <si>
    <t>남성용 신체착용형 소변기</t>
  </si>
  <si>
    <t>남성용 일회용 소변 주머니</t>
  </si>
  <si>
    <t>내부 인공항문 배액 또는 물세척용 보조기기</t>
  </si>
  <si>
    <t>내화성 바닥 덮개</t>
  </si>
  <si>
    <t>냉장고 및 냉동고</t>
  </si>
  <si>
    <t>넓적다리 보조기</t>
  </si>
  <si>
    <t>넥타이 및 나비 넥타이</t>
  </si>
  <si>
    <t>녹음 및 재생 장치</t>
  </si>
  <si>
    <t>놀이터 장비</t>
  </si>
  <si>
    <t>높이 조절식 주추 및 버팀대</t>
  </si>
  <si>
    <t>높이 조절형 버스</t>
  </si>
  <si>
    <t>높이 조절형 자동차, 승합차 및 트럭</t>
  </si>
  <si>
    <t>높이가 높은 독립형 변기 좌석</t>
  </si>
  <si>
    <t>높이가 높은 탈부착형 변기좌석</t>
  </si>
  <si>
    <t>누름버튼</t>
  </si>
  <si>
    <t>눈 또는 얼굴 보호용 보조기기</t>
  </si>
  <si>
    <t>다리 보조기 구조 부분품</t>
  </si>
  <si>
    <t>다리 보조기 마감(성형외관) 부분품</t>
  </si>
  <si>
    <t>다리 보조기 장착부 부분품</t>
  </si>
  <si>
    <t>다리 연장기</t>
  </si>
  <si>
    <t>다리 의지 구조 부분품</t>
  </si>
  <si>
    <t>다리 의지 외측 관절 장치</t>
  </si>
  <si>
    <t>다리 의지 정렬 부분품</t>
  </si>
  <si>
    <t>다리 의지 현가 부분품</t>
  </si>
  <si>
    <t>다리 절단인용 임시 의지</t>
  </si>
  <si>
    <t>다림질 기계 및 다리미</t>
  </si>
  <si>
    <t>다림질 판 및 탁자</t>
  </si>
  <si>
    <t>다양한 4륜 전동 차량</t>
  </si>
  <si>
    <t>다중 끝부분이 있는 지팡이</t>
  </si>
  <si>
    <t>단서 언어 훈련용 보조기기</t>
  </si>
  <si>
    <t>단위 계산용 보조기기 및 도구</t>
  </si>
  <si>
    <t>단추장치 및 조임장치</t>
  </si>
  <si>
    <t>달력 및 시간표</t>
  </si>
  <si>
    <t>담요 지지대</t>
  </si>
  <si>
    <t>대면 의사소통 소프트웨어</t>
  </si>
  <si>
    <t>대변 수집 주머니</t>
  </si>
  <si>
    <t>대소변 수집용 자동 변기 시스템</t>
  </si>
  <si>
    <t>도예용 도구, 재료, 장비</t>
  </si>
  <si>
    <t>독립 기립형 리프트 플랫폼</t>
  </si>
  <si>
    <t>독서용 및 작업용 조명</t>
  </si>
  <si>
    <t>돈의 이해 훈련용 보조기기</t>
  </si>
  <si>
    <t>동력형 보행차</t>
  </si>
  <si>
    <t>등 보조기</t>
  </si>
  <si>
    <t>등 충전물</t>
  </si>
  <si>
    <t>뜨개질, 크로셰 뜨개질, 재봉 및 감침용 바늘</t>
  </si>
  <si>
    <t>라디오 수신기</t>
  </si>
  <si>
    <t>라운지 의자 및 안락 의자</t>
  </si>
  <si>
    <t>라켓 스포츠용 보조기기</t>
  </si>
  <si>
    <t>리프트용 벨트 및 조끼식 벨트</t>
  </si>
  <si>
    <t>마개 및 깔때기</t>
  </si>
  <si>
    <t>마이크</t>
  </si>
  <si>
    <t>말단 개방형 소변 주머니</t>
  </si>
  <si>
    <t>말단 폐쇄형 소변 주머니</t>
  </si>
  <si>
    <t>말하기 의사소통용 기기</t>
  </si>
  <si>
    <t>매트리스 및 매트리스 커버</t>
  </si>
  <si>
    <t>머리 보조기</t>
  </si>
  <si>
    <t>머리카락 건조기</t>
  </si>
  <si>
    <t>면도용 솔, 면도기, 전기면도기</t>
  </si>
  <si>
    <t>모스 통신 훈련용 보조기기</t>
  </si>
  <si>
    <t>모자류</t>
  </si>
  <si>
    <t>목공용 도구, 재료, 장비</t>
  </si>
  <si>
    <t>목-등 보조기</t>
  </si>
  <si>
    <t>목-등-허리-엉치 보조기</t>
  </si>
  <si>
    <t>목욕 보드</t>
  </si>
  <si>
    <t>목욕 온도계</t>
  </si>
  <si>
    <t>목욕용 들것, 샤워 테이블, 기저귀 교환 테이블</t>
  </si>
  <si>
    <t>목욕용 리프트(부착형 고정식 호이스트)</t>
  </si>
  <si>
    <t>목욕용 보호 덮개</t>
  </si>
  <si>
    <t>목욕용 의류</t>
  </si>
  <si>
    <t>목욕이나 샤워용 등 지지대</t>
  </si>
  <si>
    <t>목젖 지지대</t>
  </si>
  <si>
    <t>몸통 또는 전신 보호용 보조기기</t>
  </si>
  <si>
    <t>무동력 스쿠터</t>
  </si>
  <si>
    <t>무동력 주입 장치</t>
  </si>
  <si>
    <t>무동력 칫솔</t>
  </si>
  <si>
    <t>무릎 또는 다리 보호용 보조기기</t>
  </si>
  <si>
    <t>무릎 장치</t>
  </si>
  <si>
    <t>무릎관절</t>
  </si>
  <si>
    <t>무선 원격제어장치</t>
  </si>
  <si>
    <t>문제해결 훈련용 보조기기</t>
  </si>
  <si>
    <t>문턱</t>
  </si>
  <si>
    <t>물건 운반 및 쇼핑용 손수레</t>
  </si>
  <si>
    <t>미끄럼방지 패드</t>
  </si>
  <si>
    <t>미는 휠체어</t>
  </si>
  <si>
    <t>밀봉용 재료</t>
  </si>
  <si>
    <t>바느질용 고리, 핀 쿠션 및 감침기</t>
  </si>
  <si>
    <t>바닥 걸레질 장비</t>
  </si>
  <si>
    <t>바닥 광택제</t>
  </si>
  <si>
    <t>바닥 깔개</t>
  </si>
  <si>
    <t>바닥 및 계단용 촉각재료</t>
  </si>
  <si>
    <t>S, EC</t>
  </si>
  <si>
    <t>바닥형 리프트(고정식 독립형 호이스트)</t>
  </si>
  <si>
    <t>바퀴 달린 세탁용 바구니</t>
  </si>
  <si>
    <t>바퀴달린 들것</t>
  </si>
  <si>
    <t>바퀴달린 지팡이</t>
  </si>
  <si>
    <t>반 수동 자전거</t>
  </si>
  <si>
    <t>발 구동차, 놀이용 카트</t>
  </si>
  <si>
    <t>발 추진 자전거</t>
  </si>
  <si>
    <t>발 추진 휠체어</t>
  </si>
  <si>
    <t>발기용 보조기기</t>
  </si>
  <si>
    <t>발꿈치, 발가락 또는 발 보호용 보조기기</t>
  </si>
  <si>
    <t>발목관절</t>
  </si>
  <si>
    <t>발목-발 장치</t>
  </si>
  <si>
    <t>발-발가락 관절</t>
  </si>
  <si>
    <t>발성기</t>
  </si>
  <si>
    <t>방문</t>
  </si>
  <si>
    <t>방문 개폐장치</t>
  </si>
  <si>
    <t>방수기능이 없는 일회용 요실금 패드</t>
  </si>
  <si>
    <t>배 근육 지지대</t>
  </si>
  <si>
    <t>배 보조기 마감(성형외관) 부분품</t>
  </si>
  <si>
    <t>배 보조기 장착부 부분품</t>
  </si>
  <si>
    <t>배 탈장 지지대</t>
  </si>
  <si>
    <t>배관 시설 및 잠금 꼭지</t>
  </si>
  <si>
    <t>배타기용 보조기기</t>
  </si>
  <si>
    <t>벨트형 고정장치 시스템이 포함된 일회용 요실금 제품</t>
  </si>
  <si>
    <t>벽, 바닥 또는 천장 고정식 호이스트</t>
  </si>
  <si>
    <t>벽에 설치된 소변기</t>
  </si>
  <si>
    <t>변기</t>
  </si>
  <si>
    <t>변기 좌석용 패드</t>
  </si>
  <si>
    <t>변기에 고정된 높이가 높은 변기 좌석</t>
  </si>
  <si>
    <t>변형 교정 맞춤 신발</t>
  </si>
  <si>
    <t>보조기로 사용되지 않는 근육 자극장치</t>
  </si>
  <si>
    <t>보조인 조종형 전동휠체어</t>
  </si>
  <si>
    <t>보행 보조기기 사용을 가능하게 해주는 액세사리</t>
  </si>
  <si>
    <t>보행 보조기기용 끝부분</t>
  </si>
  <si>
    <t>보행 보조기기용 동력보조 장치</t>
  </si>
  <si>
    <t>보행 보조기기용 라이트 및 안전 신호 장치</t>
  </si>
  <si>
    <t>보행 보조기기용 손잡이</t>
  </si>
  <si>
    <t>보행 보조기기용 좌석</t>
  </si>
  <si>
    <t>보행 보조기기용 타이어 및 바퀴</t>
  </si>
  <si>
    <t>보행 보조차</t>
  </si>
  <si>
    <t>보행차 및 보행틀의 높이 조절용 액세서리</t>
  </si>
  <si>
    <t>보행틀(보행차)</t>
  </si>
  <si>
    <t>부가 굴곡 장치</t>
  </si>
  <si>
    <t>부분가발</t>
  </si>
  <si>
    <t>부상 방지용 안전 매트</t>
  </si>
  <si>
    <t>부상방지를 위한 보행 보조기기 액세사리</t>
  </si>
  <si>
    <t>부유용 보조기기</t>
  </si>
  <si>
    <t>부착형 리프트 플랫폼</t>
  </si>
  <si>
    <t>부하 감쇠기(완충기)</t>
  </si>
  <si>
    <t>분류 훈련용 보조기기</t>
  </si>
  <si>
    <t>분리 조절식 침대용 등 지지대 및 다리 지지대</t>
  </si>
  <si>
    <t>분리형 후크 및 집게 기능을 하는 기타 말단기구</t>
  </si>
  <si>
    <t>분변물 방지 장치</t>
  </si>
  <si>
    <t>불수의 대변실금 방지용 보조기기</t>
  </si>
  <si>
    <t>불수의적 요실금 방지용 보조기기</t>
  </si>
  <si>
    <t>브라우저 소프트웨어</t>
  </si>
  <si>
    <t>블라우스 및 셔츠</t>
  </si>
  <si>
    <t>비 액상약품 관리를 위한  보조기기</t>
  </si>
  <si>
    <t>비고정식 기립용 지지대</t>
  </si>
  <si>
    <t>비누 고정장치 및 비누 용기</t>
  </si>
  <si>
    <t>비디오 녹화 및 재생 장치</t>
  </si>
  <si>
    <t>비디오 자막 및 자막 텔레비전 해독기</t>
  </si>
  <si>
    <t>비신체착용형 소변기 및 병</t>
  </si>
  <si>
    <t>비휴대용 데스크톱 컴퓨터</t>
  </si>
  <si>
    <t>빗과 머리카락 브러시</t>
  </si>
  <si>
    <t>빛으로 감각을 자극하는 보조기기</t>
  </si>
  <si>
    <t>빨래집게</t>
  </si>
  <si>
    <t>사격용 보조기기</t>
  </si>
  <si>
    <t>사냥용 보조기기</t>
  </si>
  <si>
    <t>사다리 및 발판 사다리</t>
  </si>
  <si>
    <t>사다리식 손잡이</t>
  </si>
  <si>
    <t>사무용 및 산업용 소프트웨어</t>
  </si>
  <si>
    <t>사회화 훈련용 보조기기</t>
  </si>
  <si>
    <t>산소 공급장치</t>
  </si>
  <si>
    <t>삼륜 모페드 및 오토바이</t>
  </si>
  <si>
    <t>상품 생산 및 가공 기계류</t>
  </si>
  <si>
    <t>색상 측정 보조기기 및 도구</t>
  </si>
  <si>
    <t>샤워기 및 샤워장치</t>
  </si>
  <si>
    <t>서기 및 앉기를 보조하기 위하여 거상 장치가 내장된 변기 좌석</t>
  </si>
  <si>
    <t>서명용 가이드, 도장, 필기용 프레임</t>
  </si>
  <si>
    <t>선반</t>
  </si>
  <si>
    <t>선반, 찬장, 캐비닛의 설치</t>
  </si>
  <si>
    <t>선택적 자외선 광치료(SUP) 및 자외선 B(UVB) 램프</t>
  </si>
  <si>
    <t>설계 및 제도용 탁자</t>
  </si>
  <si>
    <t>섬유 수공예용 도구, 재료, 장비</t>
  </si>
  <si>
    <t>성 교육 및 성 재활을 위한 보조기기</t>
  </si>
  <si>
    <t>성 활동용 인체모형</t>
  </si>
  <si>
    <t>성 활동용 진동기</t>
  </si>
  <si>
    <t>성형된 남성용 일회용  소변 흡수용 패드</t>
  </si>
  <si>
    <t>세척 및 껍질손질용 보조기기</t>
  </si>
  <si>
    <t>세탁건조용 보조기기</t>
  </si>
  <si>
    <t>세탁기</t>
  </si>
  <si>
    <t>세탁용 탈수기</t>
  </si>
  <si>
    <t>세탁용 흡수형 요실금  제품</t>
  </si>
  <si>
    <t>세포성장 자극용 보조기기</t>
  </si>
  <si>
    <t>소독제</t>
  </si>
  <si>
    <t>소리로 감각을 자극하는 보조기기</t>
  </si>
  <si>
    <t>S, ADL</t>
  </si>
  <si>
    <t>소변 분석 장비</t>
  </si>
  <si>
    <t>소변 수집용 현가 및 조임 장치</t>
  </si>
  <si>
    <t>소변 활송장치</t>
  </si>
  <si>
    <t>소아용 세탁용 흡수성 요실금 제품</t>
  </si>
  <si>
    <t>소아용 일회용 요실금 속옷</t>
  </si>
  <si>
    <t>소아용 일회용 요실금 제품</t>
  </si>
  <si>
    <t>소음 감소용 보조기기</t>
  </si>
  <si>
    <t>소음 수준 측정용 보조기기 및 도구</t>
  </si>
  <si>
    <t>속눈썹과 눈썹</t>
  </si>
  <si>
    <t>속옷</t>
  </si>
  <si>
    <t>손 및 손가락의 관절 부분품</t>
  </si>
  <si>
    <t>손 바느질용 보조기기</t>
  </si>
  <si>
    <t>손 보호용 보조기기</t>
  </si>
  <si>
    <t>손 추진 3륜 및 4륜 자전거</t>
  </si>
  <si>
    <t>손 추진 자전거</t>
  </si>
  <si>
    <t>손가락 및 손 운동장치</t>
  </si>
  <si>
    <t>손목 장치</t>
  </si>
  <si>
    <t>손목관절</t>
  </si>
  <si>
    <t>손발톱 솔</t>
  </si>
  <si>
    <t>손발톱용 줄</t>
  </si>
  <si>
    <t>손-손가락 동력 보조형  보조기</t>
  </si>
  <si>
    <t>손-손가락 보조기</t>
  </si>
  <si>
    <t>솔, 스펀지, 섀미가죽, 먼지떨이, 바닥걸레</t>
  </si>
  <si>
    <t>송수신 겸용 무전기</t>
  </si>
  <si>
    <t>수동 손 공구</t>
  </si>
  <si>
    <t>WC, SP, CA, ADL</t>
  </si>
  <si>
    <t>수술 후 인공항문 주머니 및 액세서리</t>
  </si>
  <si>
    <t>수학 및 물리과학 교육용 보조기기</t>
  </si>
  <si>
    <t>수화 훈련용 보조기</t>
  </si>
  <si>
    <t>스위치판</t>
  </si>
  <si>
    <t>스타킹 및 양말</t>
  </si>
  <si>
    <t>승강 및 경사 시스템</t>
  </si>
  <si>
    <t>승강기</t>
  </si>
  <si>
    <t>S, CA</t>
  </si>
  <si>
    <t>시각 방향 안내용 도구</t>
  </si>
  <si>
    <t>시간, 활동 및 개인 목표의 구조화를 위한 보조기기</t>
  </si>
  <si>
    <t>시간의 이해 훈련용 보조기기</t>
  </si>
  <si>
    <t>시야의 범위 및 각도의 확장 및 조절용 보조기기</t>
  </si>
  <si>
    <t>시청각 시스템용 액세서리</t>
  </si>
  <si>
    <t>식기 세척기</t>
  </si>
  <si>
    <t>식탁</t>
  </si>
  <si>
    <t>신발 및 장화</t>
  </si>
  <si>
    <t>신발 및 장화용 미끄럼방지 보조기기</t>
  </si>
  <si>
    <t>신발 세척 장치</t>
  </si>
  <si>
    <t>신체 검사 및 평가 재료</t>
  </si>
  <si>
    <t>신체 보호 및 지지용 원예 보조기기</t>
  </si>
  <si>
    <t>신체 안정용 좌석 벨트, 벨트, 하니스</t>
  </si>
  <si>
    <t>신체 착용식 잡기장치</t>
  </si>
  <si>
    <t>신체접촉으로 감각을 자극하는 보조기기</t>
  </si>
  <si>
    <t>실금 경보기</t>
  </si>
  <si>
    <t>실내 기후 조절용 보조기기</t>
  </si>
  <si>
    <t>실내 원예 및 꽃꽂이용 도구</t>
  </si>
  <si>
    <t>심리 검사 및 평가 재료</t>
  </si>
  <si>
    <t>심벌 지팡이</t>
  </si>
  <si>
    <t>심전도 장비</t>
  </si>
  <si>
    <t>싱크대</t>
  </si>
  <si>
    <t>썰매</t>
  </si>
  <si>
    <t>쓰기 훈련용 소프트웨어</t>
  </si>
  <si>
    <t>쓰기판 및 독서대</t>
  </si>
  <si>
    <t>쓰레받기, 먼지용 솔과 빗자루</t>
  </si>
  <si>
    <t>아래다리 보조기</t>
  </si>
  <si>
    <t>아래팔 보조기</t>
  </si>
  <si>
    <t>안면 관리 제품 적용을 위한 보조기</t>
  </si>
  <si>
    <t>앉아서 측정하는 체중계</t>
  </si>
  <si>
    <t>압력 측정용 보조기기 및 도구</t>
  </si>
  <si>
    <t>양 손 추진 레버식 휠체어</t>
  </si>
  <si>
    <t>양궁용 보조기기</t>
  </si>
  <si>
    <t>어깨 장치</t>
  </si>
  <si>
    <t>어깨 회전 장치</t>
  </si>
  <si>
    <t>어깨관절</t>
  </si>
  <si>
    <t>어깨-팔꿈치 보조기</t>
  </si>
  <si>
    <t>어깨-팔꿈치-손목-손 보조기</t>
  </si>
  <si>
    <t>언어 검사 및 평가 재료</t>
  </si>
  <si>
    <t>엉덩관절</t>
  </si>
  <si>
    <t>엉덩관절 장치</t>
  </si>
  <si>
    <t>엉덩-무릎 보조기</t>
  </si>
  <si>
    <t>엉덩-무릎-발목-발 동력 보조기</t>
  </si>
  <si>
    <t>엉치-엉덩 보조기</t>
  </si>
  <si>
    <t>엔진구동 휠체어</t>
  </si>
  <si>
    <t>여성용 신체착용형 소변기</t>
  </si>
  <si>
    <t>연단 조명 및 칠판 조명</t>
  </si>
  <si>
    <t>연속성 훈련용 보조기기</t>
  </si>
  <si>
    <t>온열 치료용 보조기기</t>
  </si>
  <si>
    <t>옷 고정용 장치</t>
  </si>
  <si>
    <t>옷 입고 벗기용 고리 또는 막대</t>
  </si>
  <si>
    <t>와상형 이동식 호이스트</t>
  </si>
  <si>
    <t>요도를 통해 삽입된 간헐적 카테터</t>
  </si>
  <si>
    <t>요실금 패드 고정용  재사용 속옷</t>
  </si>
  <si>
    <t>욕조 선반</t>
  </si>
  <si>
    <t>욕조의 길이와 깊이 감소용 보조기기</t>
  </si>
  <si>
    <t>욕창예방용 등 쿠션 및 등 패드</t>
  </si>
  <si>
    <t>욕창예방용 특수장비(피부 손상방지용 특수 장비)</t>
  </si>
  <si>
    <t>우발적 화재와 화상 방지를 위한 실내 환경용 보조기기</t>
  </si>
  <si>
    <t>우편물 처리용 보조기기</t>
  </si>
  <si>
    <t>운반 의자</t>
  </si>
  <si>
    <t>운반용 보조기기</t>
  </si>
  <si>
    <t>운반용 의자, 조끼식 벨트, 바스켓</t>
  </si>
  <si>
    <t>운반장치</t>
  </si>
  <si>
    <t>운반형 위생실</t>
  </si>
  <si>
    <t>운영 소프트웨어</t>
  </si>
  <si>
    <t>움직임, 근력, 균형 훈련을 위한 생체되먹임 장치</t>
  </si>
  <si>
    <t>움켜 잡기용 장치</t>
  </si>
  <si>
    <t>원거리 의사소통용 소프트웨어</t>
  </si>
  <si>
    <t>원거리 의사소통을 위한 액세서리</t>
  </si>
  <si>
    <t>원예용 도구</t>
  </si>
  <si>
    <t>원인과 효과에 대한 이해를 발달시키기 위한 보조기기</t>
  </si>
  <si>
    <t>위팔 보조기</t>
  </si>
  <si>
    <t>유선 원격제어장치</t>
  </si>
  <si>
    <t>유체의 밀도를 측정하는 보조기기 및 도구</t>
  </si>
  <si>
    <t>육체적 또는 정신적 스트레스의 예방 및 감소용 특수 소프트웨어</t>
  </si>
  <si>
    <t>음경 덮개</t>
  </si>
  <si>
    <t>음성 디스플레이</t>
  </si>
  <si>
    <t>음성 흐름 장치</t>
  </si>
  <si>
    <t>음식 및 음료 차림 및 보관용 보조기기</t>
  </si>
  <si>
    <t>음식 정량배분용기</t>
  </si>
  <si>
    <t>의비</t>
  </si>
  <si>
    <t>의사소통을 위한 시각적 기호 사용 훈련용 보조기기</t>
  </si>
  <si>
    <t>의약품 캐비닛</t>
  </si>
  <si>
    <t>의약품 투여를  위한 기타 보조기기</t>
  </si>
  <si>
    <t>의이</t>
  </si>
  <si>
    <t>의자 및 침대 오염방지를 위한 세탁용 비착용형 패드</t>
  </si>
  <si>
    <t>의자 및 침대 오염방지를 위한 일회용 비착용형 패드</t>
  </si>
  <si>
    <t>의지 손 및 의지 손가락</t>
  </si>
  <si>
    <t>의지 손용 특정 장치나 도구</t>
  </si>
  <si>
    <t>의지 회전반</t>
  </si>
  <si>
    <t>이동 고정판</t>
  </si>
  <si>
    <t>이동형 리프팅 플랫폼</t>
  </si>
  <si>
    <t>이륜 모페드 및 오토바이</t>
  </si>
  <si>
    <t>이체형 인공항문 관리용 노폐물 시스템을 위한 주머니</t>
  </si>
  <si>
    <t>이체형 인공항문 관리용 노폐물 시스템을 위한 판</t>
  </si>
  <si>
    <t>인공항문 관리용 노폐물 시스템의 위치 지지 및 고정용 보조기기</t>
  </si>
  <si>
    <t>인공항문 관리용 액세서리</t>
  </si>
  <si>
    <t>인공항문 관리용 추가용 주머니</t>
  </si>
  <si>
    <t>인공항문 관리용 충전재</t>
  </si>
  <si>
    <t>인공항문 밀봉용 보조기기</t>
  </si>
  <si>
    <t>인공항문 확장용 보조기기</t>
  </si>
  <si>
    <t>인공호흡기</t>
  </si>
  <si>
    <t>일체형 인공항문 관리용 노폐물 시스템</t>
  </si>
  <si>
    <t>일회용 대변 패드</t>
  </si>
  <si>
    <t>일회용 요실금 속옷</t>
  </si>
  <si>
    <t>일회형 요실금 제품</t>
  </si>
  <si>
    <t>읽기 및 독서용 시력 보조기기</t>
  </si>
  <si>
    <t>읽기 훈련용 소프트웨어</t>
  </si>
  <si>
    <t>임플란트에 연계하여 사용되는 자극기</t>
  </si>
  <si>
    <t>자가 도뇨관 설치용 보조기기</t>
  </si>
  <si>
    <t>자가균형 휠체어</t>
  </si>
  <si>
    <t>자석, 자석 스트립 및 클램프</t>
  </si>
  <si>
    <t>자외선 A(UVA) 램프</t>
  </si>
  <si>
    <t>자전거 개조</t>
  </si>
  <si>
    <t>자전거용 트레일러</t>
  </si>
  <si>
    <t>자전거용 휠체어 연결 장치</t>
  </si>
  <si>
    <t>L, WC</t>
  </si>
  <si>
    <t>작동용 막대기</t>
  </si>
  <si>
    <t>작업 과정 중 회복용 보조기기</t>
  </si>
  <si>
    <t>작업용 로봇</t>
  </si>
  <si>
    <t>작업장 내 보관 및 공급 시스템</t>
  </si>
  <si>
    <t>작업장 내 소음 감소용 보조기기</t>
  </si>
  <si>
    <t>작업장 내 조명 제어용 보조기기</t>
  </si>
  <si>
    <t>작업장 내 진동 감소용 보조기기</t>
  </si>
  <si>
    <t>작업장용 걸상 및 기립형 의자</t>
  </si>
  <si>
    <t>작업장용 공기 청정기</t>
  </si>
  <si>
    <t>작업장용 리프팅 및 배치 시스템</t>
  </si>
  <si>
    <t>작업장용 리프팅 플랫폼</t>
  </si>
  <si>
    <t>작업장용 측정 기구 및 장비</t>
  </si>
  <si>
    <t>작업장용 품질보증 장치</t>
  </si>
  <si>
    <t>작은 바퀴 세트</t>
  </si>
  <si>
    <t>잠금장치</t>
  </si>
  <si>
    <t>잠옷</t>
  </si>
  <si>
    <t>장(腸) 세척용 보조기기</t>
  </si>
  <si>
    <t>장갑류</t>
  </si>
  <si>
    <t>장관영양 장치</t>
  </si>
  <si>
    <t>장기간 사용 카테터</t>
  </si>
  <si>
    <t>장난감</t>
  </si>
  <si>
    <t>장착형 변기 팔 지지대 및 등 지지대</t>
  </si>
  <si>
    <t>재봉 및 뜨개질용 패턴</t>
  </si>
  <si>
    <t>재봉틀</t>
  </si>
  <si>
    <t>재킷 및 바지</t>
  </si>
  <si>
    <t>저속 자동차</t>
  </si>
  <si>
    <t>저층 기차</t>
  </si>
  <si>
    <t>전기 쥐기 집게</t>
  </si>
  <si>
    <t>전기 특성 측정용 보조기기 및 도구</t>
  </si>
  <si>
    <t>전체 조명</t>
  </si>
  <si>
    <t>전화 교환대</t>
  </si>
  <si>
    <t>전화 부스</t>
  </si>
  <si>
    <t>점자외 촉각 기호 사용  훈련용 보조기기</t>
  </si>
  <si>
    <t>접시 건조용 선반</t>
  </si>
  <si>
    <t>접시 및 병 세척용 솔</t>
  </si>
  <si>
    <t>접착 용해제</t>
  </si>
  <si>
    <t>접착띠가 있는 일회용  소변 흡수용 패드</t>
  </si>
  <si>
    <t>정수기 및 연수기</t>
  </si>
  <si>
    <t>제빵용 보조기기</t>
  </si>
  <si>
    <t>조경, 농업 및 건설용 기계 및 장비</t>
  </si>
  <si>
    <t>조리 및 튀김용 보조기기</t>
  </si>
  <si>
    <t>조리기구</t>
  </si>
  <si>
    <t>조리대</t>
  </si>
  <si>
    <t>조작장치 및 무게 중심장치</t>
  </si>
  <si>
    <t>종이 서류의 체계화, 분류, 정리용 보조기기</t>
  </si>
  <si>
    <t>좌석에 부착되는 서기와 앉기 보조용 쿠션 또는 장치</t>
  </si>
  <si>
    <t>좌석이 있는 지팡이</t>
  </si>
  <si>
    <t>좌석이나 플랫폼이 없는 계단 오르기 지지대</t>
  </si>
  <si>
    <t>주방 계량용 보조기기</t>
  </si>
  <si>
    <t>주사기, 반복사용</t>
  </si>
  <si>
    <t>주사기, 일회용</t>
  </si>
  <si>
    <t>주사바늘, 반복 또는 영구 사용</t>
  </si>
  <si>
    <t>주사바늘, 일회용</t>
  </si>
  <si>
    <t>주사총</t>
  </si>
  <si>
    <t>주의력 훈련용 보조기기</t>
  </si>
  <si>
    <t>주입 펌프</t>
  </si>
  <si>
    <t>주행용 바이크</t>
  </si>
  <si>
    <t>쥐기 기능이 없는 물체 이동 장치</t>
  </si>
  <si>
    <t>쥐기용 보조기기 및 부착품</t>
  </si>
  <si>
    <t>지각 식별 및 정합 훈련용 보조기기</t>
  </si>
  <si>
    <t>지각 협응 훈련용 보조기기</t>
  </si>
  <si>
    <t>지붕 높이 개조형 자동차, 승합차 및 트럭</t>
  </si>
  <si>
    <t>지속적 복막 투석장치</t>
  </si>
  <si>
    <t>지시등</t>
  </si>
  <si>
    <t>지퍼 당김 장치</t>
  </si>
  <si>
    <t>지화 훈련용 보조기기</t>
  </si>
  <si>
    <t>직업 평가 및 지도용 보조기기</t>
  </si>
  <si>
    <t>직업훈련용 보조기기</t>
  </si>
  <si>
    <t>진공청소기</t>
  </si>
  <si>
    <t>진동 감소용 보조기기</t>
  </si>
  <si>
    <t>진동기</t>
  </si>
  <si>
    <t>차량용 휠체어 운반 보조기기 또는 차량 연결형 휠체어 운반차</t>
  </si>
  <si>
    <t>차양막 개폐장치</t>
  </si>
  <si>
    <t>찬장</t>
  </si>
  <si>
    <t>창, 계단, 리프트용 안전 장벽, 울타리, 문</t>
  </si>
  <si>
    <t>창문</t>
  </si>
  <si>
    <t>창문 개폐장치</t>
  </si>
  <si>
    <t>창문 청소용 장비</t>
  </si>
  <si>
    <t>창의적 그림 디자인용 도구, 재료, 장비</t>
  </si>
  <si>
    <t>척추 및 머리 보조기 구조 부분품</t>
  </si>
  <si>
    <t>척추 및 머리 보조기 마감(성형외관) 부분품</t>
  </si>
  <si>
    <t>척추 및 머리 보조기 장착부 부분품</t>
  </si>
  <si>
    <t>척추 보조기 관절 부분품</t>
  </si>
  <si>
    <t>청각 보조기기용 액세서리</t>
  </si>
  <si>
    <t>청진기</t>
  </si>
  <si>
    <t>L, ADL</t>
  </si>
  <si>
    <t>체온계</t>
  </si>
  <si>
    <t>체적 측정용 보조기기 및 도구</t>
  </si>
  <si>
    <t>촉각 디스플레이</t>
  </si>
  <si>
    <t>촉각 방향 안내용 도구</t>
  </si>
  <si>
    <t>축회전 장치(토크 감소 장치)</t>
  </si>
  <si>
    <t>취사용 기계장치</t>
  </si>
  <si>
    <t>측면 지지 틀</t>
  </si>
  <si>
    <t>치마와 드레스</t>
  </si>
  <si>
    <t>침구</t>
  </si>
  <si>
    <t>침대 고정형 자기 들어올리기용 난간</t>
  </si>
  <si>
    <t>침대 고정형 측면 난간</t>
  </si>
  <si>
    <t>침대 단축용 보조기기</t>
  </si>
  <si>
    <t>침대 리프트</t>
  </si>
  <si>
    <t>침대 및 탈착식 침대 판/비조절식 매트리스 지지단 (고정침대)</t>
  </si>
  <si>
    <t>침대 연장용 보조기기</t>
  </si>
  <si>
    <t>침대옆 캐비닛</t>
  </si>
  <si>
    <t>침대용 탁자</t>
  </si>
  <si>
    <t>칸막이 벽</t>
  </si>
  <si>
    <t>커튼 개폐장치</t>
  </si>
  <si>
    <t>컴퓨터 및 네트워크용 액세서리</t>
  </si>
  <si>
    <t>콘돔</t>
  </si>
  <si>
    <t>콧수염과 턱수염</t>
  </si>
  <si>
    <t>클립 및 스프링 클립</t>
  </si>
  <si>
    <t>키친타월 디스펜서</t>
  </si>
  <si>
    <t>타겟(목표) 스포츠용 보조기기</t>
  </si>
  <si>
    <t>타이머 스위치</t>
  </si>
  <si>
    <t>타자기</t>
  </si>
  <si>
    <t>탑승자 구동식 산업용 전동 운송 장비</t>
  </si>
  <si>
    <t>턱 운동 장치</t>
  </si>
  <si>
    <t>턱받이 및 앞치마</t>
  </si>
  <si>
    <t>텍스트와 멀티미디어 처리 소프트웨어</t>
  </si>
  <si>
    <t>텔레비전</t>
  </si>
  <si>
    <t>텔렉스와 텔레팩스 기계</t>
  </si>
  <si>
    <t>투석용 기구세트</t>
  </si>
  <si>
    <t>튜브 짜는 장치</t>
  </si>
  <si>
    <t>트롤리</t>
  </si>
  <si>
    <t>특수 필기용 종이/플라스틱</t>
  </si>
  <si>
    <t>특정 신체 부위를 지지하는 보행 보조기기용 액세서리</t>
  </si>
  <si>
    <t>팔 보조기 구조 부분품</t>
  </si>
  <si>
    <t>팔 보조기 마감(성형외관) 부분품</t>
  </si>
  <si>
    <t>팔 보조기 장착부 부분품</t>
  </si>
  <si>
    <t>팔 의지 구조 부분품</t>
  </si>
  <si>
    <t>팔 의지 라이너</t>
  </si>
  <si>
    <t>팔 의지 마감(성형외관) 부분품</t>
  </si>
  <si>
    <t>팔 의지 소켓</t>
  </si>
  <si>
    <t>팔 의지 외측 관절 장치</t>
  </si>
  <si>
    <t>팔 의지 정렬 부분품</t>
  </si>
  <si>
    <t>팔, 다리, 기타 신체부위용 부종방지 스타킹</t>
  </si>
  <si>
    <t>팔꿈치 또는 팔 보호용 보조기기</t>
  </si>
  <si>
    <t>팔꿈치 보조기</t>
  </si>
  <si>
    <t>팔꿈치 장치</t>
  </si>
  <si>
    <t>팔꿈치관절</t>
  </si>
  <si>
    <t>펜싱용 보조기기</t>
  </si>
  <si>
    <t>편물 기계</t>
  </si>
  <si>
    <t>폐쇄회로 텔레비전 시스템</t>
  </si>
  <si>
    <t>표시용 재료 및 도구</t>
  </si>
  <si>
    <t>플랫폼형 계단 리프트</t>
  </si>
  <si>
    <t>피부 가림 물질</t>
  </si>
  <si>
    <t>피부 보호제</t>
  </si>
  <si>
    <t>피부 상태 측정용 보조기기</t>
  </si>
  <si>
    <t>피부 세정제</t>
  </si>
  <si>
    <t>하반신 의지</t>
  </si>
  <si>
    <t>하악 전진 기구</t>
  </si>
  <si>
    <t>한 손 추진 휠체어</t>
  </si>
  <si>
    <t>한랭 치료용 보조기기</t>
  </si>
  <si>
    <t>항공용 보조기기</t>
  </si>
  <si>
    <t>햇빛 또는 강수에 대한 휠체어 및 사용자 보호 장치</t>
  </si>
  <si>
    <t>행주짜개</t>
  </si>
  <si>
    <t>현가 부분품</t>
  </si>
  <si>
    <t>혈압계</t>
  </si>
  <si>
    <t>혈액 분석 장치, 장비, 재료</t>
  </si>
  <si>
    <t>혈액 투석장치</t>
  </si>
  <si>
    <t>호흡 측정기</t>
  </si>
  <si>
    <t>호흡근육 훈련기</t>
  </si>
  <si>
    <t>호흡용 벤치 및 쿠션</t>
  </si>
  <si>
    <t>화장지 고정집게</t>
  </si>
  <si>
    <t>화장지롤 고정장치</t>
  </si>
  <si>
    <t>확성기</t>
  </si>
  <si>
    <t>환경 비상 경보 시스템</t>
  </si>
  <si>
    <t>환자용 요강</t>
  </si>
  <si>
    <t>회전 손잡이</t>
  </si>
  <si>
    <t>회전판</t>
  </si>
  <si>
    <t>후두 절제 튜브</t>
  </si>
  <si>
    <t>휠체어 또는 휠체어 부속품 세척용 장치</t>
  </si>
  <si>
    <t>휠체어 없이 차량 승하차 이동용 호이스트</t>
  </si>
  <si>
    <t>휠체어 주변 확인 장치</t>
  </si>
  <si>
    <t>휠체어용 다리 및 발 지지대</t>
  </si>
  <si>
    <t>휠체어용 라이트 및 안전 신호장치</t>
  </si>
  <si>
    <t>휠체어용 머리 및 목 지지대</t>
  </si>
  <si>
    <t>휠체어용 조향 및 제어 시스템</t>
  </si>
  <si>
    <t>휠체어용 주행 또는 주차 브레이크</t>
  </si>
  <si>
    <t>휠체어용 타이어, 바퀴, 작은 바퀴</t>
  </si>
  <si>
    <t>휠체어용 팔 지지대</t>
  </si>
  <si>
    <t>휴대용 컴퓨터 및 개인용 정보 단말기</t>
  </si>
  <si>
    <t>흡기 장비</t>
  </si>
  <si>
    <t>흡인기</t>
  </si>
  <si>
    <t>흡입 공기 전처리 장치</t>
  </si>
  <si>
    <t>흡착 컵</t>
  </si>
  <si>
    <t>흰 지팡이와 심벌 지팡이용 액세서리</t>
  </si>
  <si>
    <t>품목고시외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</si>
</sst>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600"/>
  <sheetViews>
    <sheetView workbookViewId="0" zoomScale="100" zoomScaleNormal="100"/>
  </sheetViews>
  <sheetFormatPr customHeight="1"/>
  <sheetData>
    <row r="2" spans="15:18" x14ac:dyDescent="0.25">
      <c r="P2"/>
      <c r="Q2"/>
      <c r="R2"/>
    </row>
    <row r="3" spans="1:7" x14ac:dyDescent="0.25">
      <c r="A3" t="s">
        <v>0</v>
      </c>
      <c r="B3" t="s">
        <v>1</v>
      </c>
      <c r="C3">
        <v>600</v>
      </c>
      <c r="D3"/>
      <c r="E3" t="s">
        <v>2</v>
      </c>
      <c r="G3"/>
    </row>
    <row r="4" spans="1:41" x14ac:dyDescent="0.25">
      <c r="A4" t="s">
        <v>3</v>
      </c>
      <c r="B4" t="s">
        <v>4</v>
      </c>
      <c r="C4" t="s">
        <v>5</v>
      </c>
      <c r="D4"/>
      <c r="E4" t="s">
        <v>6</v>
      </c>
      <c r="F4" t="s">
        <v>7</v>
      </c>
      <c r="G4"/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 t="s">
        <v>20</v>
      </c>
      <c r="AK4"/>
      <c r="AL4"/>
      <c r="AM4"/>
      <c r="AN4"/>
      <c r="AO4"/>
    </row>
    <row r="5" spans="1:41" x14ac:dyDescent="0.25">
      <c r="A5"/>
      <c r="B5"/>
      <c r="C5" t="s">
        <v>21</v>
      </c>
      <c r="D5">
        <v>2026</v>
      </c>
      <c r="E5"/>
      <c r="F5" t="s">
        <v>22</v>
      </c>
      <c r="G5" t="s">
        <v>23</v>
      </c>
      <c r="H5"/>
      <c r="I5"/>
      <c r="J5"/>
      <c r="K5"/>
      <c r="L5"/>
      <c r="M5"/>
      <c r="N5"/>
      <c r="O5"/>
      <c r="P5"/>
      <c r="Q5"/>
      <c r="R5"/>
      <c r="S5" t="s">
        <v>24</v>
      </c>
      <c r="T5"/>
      <c r="U5" t="s">
        <v>25</v>
      </c>
      <c r="V5" t="s">
        <v>26</v>
      </c>
      <c r="W5"/>
      <c r="X5"/>
      <c r="Y5" t="s">
        <v>27</v>
      </c>
      <c r="Z5" t="s">
        <v>28</v>
      </c>
      <c r="AA5" t="s">
        <v>29</v>
      </c>
      <c r="AB5" t="s">
        <v>30</v>
      </c>
      <c r="AC5"/>
      <c r="AD5"/>
      <c r="AE5" t="s">
        <v>31</v>
      </c>
      <c r="AF5" t="s">
        <v>32</v>
      </c>
      <c r="AG5"/>
      <c r="AH5"/>
      <c r="AI5" t="s">
        <v>33</v>
      </c>
      <c r="AJ5" t="s">
        <v>34</v>
      </c>
      <c r="AK5" t="s">
        <v>35</v>
      </c>
      <c r="AL5"/>
      <c r="AM5"/>
      <c r="AN5" t="s">
        <v>36</v>
      </c>
      <c r="AO5" t="s">
        <v>37</v>
      </c>
    </row>
    <row r="6" spans="1:4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 t="s">
        <v>38</v>
      </c>
      <c r="T6" t="s">
        <v>39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45</v>
      </c>
      <c r="AA6" t="s">
        <v>46</v>
      </c>
      <c r="AB6" t="s">
        <v>47</v>
      </c>
      <c r="AC6" t="s">
        <v>48</v>
      </c>
      <c r="AD6" t="s">
        <v>49</v>
      </c>
      <c r="AE6" t="s">
        <v>50</v>
      </c>
      <c r="AF6" t="s">
        <v>51</v>
      </c>
      <c r="AG6" t="s">
        <v>52</v>
      </c>
      <c r="AH6" t="s">
        <v>53</v>
      </c>
      <c r="AI6"/>
      <c r="AJ6"/>
      <c r="AK6" t="s">
        <v>54</v>
      </c>
      <c r="AL6" t="s">
        <v>55</v>
      </c>
      <c r="AM6" t="s">
        <v>56</v>
      </c>
      <c r="AN6"/>
      <c r="AO6"/>
    </row>
    <row r="7" spans="1:41" x14ac:dyDescent="0.25">
      <c r="A7"/>
      <c r="B7"/>
      <c r="C7">
        <f>SUM(C8+E8)</f>
        <v>177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</row>
    <row r="8" spans="1:41" x14ac:dyDescent="0.25">
      <c r="A8"/>
      <c r="B8"/>
      <c r="C8">
        <f>SUM(C9+D9)</f>
        <v>129</v>
      </c>
      <c r="D8"/>
      <c r="E8">
        <f>SUM(E9)</f>
        <v>48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</row>
    <row r="9" spans="2:43" x14ac:dyDescent="0.25">
      <c r="B9" t="s">
        <v>57</v>
      </c>
      <c r="C9">
        <f>COUNTA(C10:C1000)</f>
        <v>69</v>
      </c>
      <c r="D9">
        <f>COUNTA(D10:D1000)</f>
        <v>60</v>
      </c>
      <c r="E9">
        <f>COUNTA(E10:E1000)</f>
        <v>48</v>
      </c>
      <c r="R9" t="s">
        <v>58</v>
      </c>
      <c r="S9">
        <f>COUNTA(S10:S5001)</f>
        <v>171</v>
      </c>
      <c r="T9">
        <f>COUNTA(T10:T5001)</f>
        <v>171</v>
      </c>
      <c r="U9">
        <f>COUNTA(U10:U100001)</f>
        <v>9</v>
      </c>
      <c r="V9">
        <f>COUNTA(V10:V100001)</f>
        <v>21</v>
      </c>
      <c r="W9">
        <f>COUNTA(W10:W5001)</f>
        <v>28</v>
      </c>
      <c r="X9">
        <f>COUNTA(X10:X5001)</f>
        <v>73</v>
      </c>
      <c r="Y9">
        <f>COUNTA(Y10:Y5001)</f>
        <v>0</v>
      </c>
      <c r="Z9">
        <f>COUNTA(Z10:Z5001)</f>
        <v>0</v>
      </c>
      <c r="AA9">
        <f>COUNTA(AA10:AA5001)</f>
        <v>28</v>
      </c>
      <c r="AB9">
        <f>COUNTA(AB10:AB5001)</f>
        <v>0</v>
      </c>
      <c r="AC9">
        <f>COUNTA(AC10:AC5001)</f>
        <v>24</v>
      </c>
      <c r="AD9">
        <f>COUNTA(AD10:AD500)</f>
        <v>0</v>
      </c>
      <c r="AE9">
        <f>COUNTA(AE10:AE5001)</f>
        <v>0</v>
      </c>
      <c r="AF9">
        <f>COUNTA(AF10:AF5001)</f>
        <v>0</v>
      </c>
      <c r="AG9">
        <f>COUNTA(AG10:AG5001)</f>
        <v>13</v>
      </c>
      <c r="AH9">
        <f>COUNTA(AH10:AH5001)</f>
        <v>3</v>
      </c>
      <c r="AI9">
        <f>COUNTA(AI10:AI5001)</f>
        <v>0</v>
      </c>
      <c r="AJ9">
        <f>COUNTA(AJ10:AJ5001)</f>
        <v>172</v>
      </c>
      <c r="AK9">
        <f>COUNTA(AK10:AK5001)</f>
        <v>33</v>
      </c>
      <c r="AL9">
        <f>COUNTA(AL10:AL5001)</f>
        <v>37</v>
      </c>
      <c r="AM9">
        <f>COUNTA(AM10:AM5001)</f>
        <v>105</v>
      </c>
      <c r="AN9">
        <f>COUNTA(AN10:AN5001)</f>
        <v>175</v>
      </c>
      <c r="AP9" t="s">
        <v>59</v>
      </c>
      <c r="AQ9" t="s">
        <v>60</v>
      </c>
    </row>
    <row r="10" spans="1:51" x14ac:dyDescent="0.25">
      <c r="A10" t="s">
        <v>61</v>
      </c>
      <c r="B10">
        <v>1</v>
      </c>
      <c r="C10">
        <v>2026</v>
      </c>
      <c r="D10">
        <v>1</v>
      </c>
      <c r="E10">
        <v>35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  <c r="R10" t="s">
        <v>73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74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75</v>
      </c>
      <c r="AK10" t="s">
        <v>62</v>
      </c>
      <c r="AL10" t="s">
        <v>62</v>
      </c>
      <c r="AM10" t="s">
        <v>62</v>
      </c>
      <c r="AN10" t="s">
        <v>76</v>
      </c>
      <c r="AO10" t="s">
        <v>77</v>
      </c>
    </row>
    <row r="11" spans="1:51" x14ac:dyDescent="0.25">
      <c r="A11" t="s">
        <v>78</v>
      </c>
      <c r="B11">
        <v>2</v>
      </c>
      <c r="C11">
        <v>2026</v>
      </c>
      <c r="D11">
        <v>1</v>
      </c>
      <c r="E11">
        <v>88</v>
      </c>
      <c r="F11" t="s">
        <v>62</v>
      </c>
      <c r="G11" t="s">
        <v>63</v>
      </c>
      <c r="H11" t="s">
        <v>79</v>
      </c>
      <c r="I11" t="s">
        <v>80</v>
      </c>
      <c r="J11" t="s">
        <v>81</v>
      </c>
      <c r="L11" t="s">
        <v>82</v>
      </c>
      <c r="M11" t="s">
        <v>83</v>
      </c>
      <c r="N11" t="s">
        <v>69</v>
      </c>
      <c r="O11" t="s">
        <v>84</v>
      </c>
      <c r="P11" t="s">
        <v>85</v>
      </c>
      <c r="Q11" t="s">
        <v>72</v>
      </c>
      <c r="R11" t="s">
        <v>73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74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75</v>
      </c>
      <c r="AK11" t="s">
        <v>62</v>
      </c>
      <c r="AL11" t="s">
        <v>62</v>
      </c>
      <c r="AM11" t="s">
        <v>62</v>
      </c>
      <c r="AN11" t="s">
        <v>76</v>
      </c>
      <c r="AO11" t="s">
        <v>77</v>
      </c>
    </row>
    <row r="12" spans="1:51" x14ac:dyDescent="0.25">
      <c r="A12" t="s">
        <v>86</v>
      </c>
      <c r="B12">
        <v>3</v>
      </c>
      <c r="C12">
        <v>2026</v>
      </c>
      <c r="D12">
        <v>1</v>
      </c>
      <c r="E12">
        <v>2</v>
      </c>
      <c r="F12" t="s">
        <v>62</v>
      </c>
      <c r="G12" t="s">
        <v>63</v>
      </c>
      <c r="H12" t="s">
        <v>87</v>
      </c>
      <c r="I12" t="s">
        <v>88</v>
      </c>
      <c r="J12" t="s">
        <v>81</v>
      </c>
      <c r="L12" t="s">
        <v>67</v>
      </c>
      <c r="M12" t="s">
        <v>68</v>
      </c>
      <c r="N12" t="s">
        <v>69</v>
      </c>
      <c r="O12" t="s">
        <v>89</v>
      </c>
      <c r="P12" t="s">
        <v>90</v>
      </c>
      <c r="Q12" t="s">
        <v>72</v>
      </c>
      <c r="R12" t="s">
        <v>91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74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75</v>
      </c>
      <c r="AK12" t="s">
        <v>62</v>
      </c>
      <c r="AL12" t="s">
        <v>62</v>
      </c>
      <c r="AM12" t="s">
        <v>62</v>
      </c>
      <c r="AN12" t="s">
        <v>76</v>
      </c>
      <c r="AO12" t="s">
        <v>77</v>
      </c>
    </row>
    <row r="13" spans="1:51" x14ac:dyDescent="0.25">
      <c r="A13" t="s">
        <v>92</v>
      </c>
      <c r="B13">
        <v>4</v>
      </c>
      <c r="C13">
        <v>2026</v>
      </c>
      <c r="D13">
        <v>1</v>
      </c>
      <c r="E13">
        <v>1</v>
      </c>
      <c r="F13" t="s">
        <v>62</v>
      </c>
      <c r="G13" t="s">
        <v>93</v>
      </c>
      <c r="H13" t="s">
        <v>94</v>
      </c>
      <c r="I13" t="s">
        <v>95</v>
      </c>
      <c r="J13" t="s">
        <v>66</v>
      </c>
      <c r="L13" t="s">
        <v>67</v>
      </c>
      <c r="M13" t="s">
        <v>83</v>
      </c>
      <c r="N13" t="s">
        <v>41</v>
      </c>
      <c r="O13" t="s">
        <v>96</v>
      </c>
      <c r="P13" t="s">
        <v>97</v>
      </c>
      <c r="Q13" t="s">
        <v>98</v>
      </c>
      <c r="R13" t="s">
        <v>73</v>
      </c>
      <c r="S13" t="s">
        <v>62</v>
      </c>
      <c r="T13" t="s">
        <v>62</v>
      </c>
      <c r="U13" t="s">
        <v>62</v>
      </c>
      <c r="V13" t="s">
        <v>74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75</v>
      </c>
      <c r="AK13" t="s">
        <v>62</v>
      </c>
      <c r="AL13" t="s">
        <v>62</v>
      </c>
      <c r="AM13" t="s">
        <v>62</v>
      </c>
      <c r="AN13" t="s">
        <v>62</v>
      </c>
      <c r="AO13" t="s">
        <v>99</v>
      </c>
    </row>
    <row r="14" spans="1:51" x14ac:dyDescent="0.25">
      <c r="A14" t="s">
        <v>100</v>
      </c>
      <c r="B14">
        <v>5</v>
      </c>
      <c r="C14">
        <v>2026</v>
      </c>
      <c r="D14">
        <v>1</v>
      </c>
      <c r="E14">
        <v>31</v>
      </c>
      <c r="F14" t="s">
        <v>62</v>
      </c>
      <c r="G14" t="s">
        <v>93</v>
      </c>
      <c r="H14" t="s">
        <v>101</v>
      </c>
      <c r="I14" t="s">
        <v>102</v>
      </c>
      <c r="J14" t="s">
        <v>81</v>
      </c>
      <c r="L14" t="s">
        <v>67</v>
      </c>
      <c r="M14" t="s">
        <v>68</v>
      </c>
      <c r="N14" t="s">
        <v>41</v>
      </c>
      <c r="O14" t="s">
        <v>103</v>
      </c>
      <c r="P14" t="s">
        <v>103</v>
      </c>
      <c r="Q14" t="s">
        <v>104</v>
      </c>
      <c r="R14" t="s">
        <v>91</v>
      </c>
      <c r="S14" t="s">
        <v>62</v>
      </c>
      <c r="T14" t="s">
        <v>62</v>
      </c>
      <c r="U14" t="s">
        <v>62</v>
      </c>
      <c r="V14" t="s">
        <v>74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75</v>
      </c>
      <c r="AK14" t="s">
        <v>62</v>
      </c>
      <c r="AL14" t="s">
        <v>62</v>
      </c>
      <c r="AM14" t="s">
        <v>62</v>
      </c>
      <c r="AN14" t="s">
        <v>62</v>
      </c>
      <c r="AO14" t="s">
        <v>99</v>
      </c>
    </row>
    <row r="15" spans="1:51" x14ac:dyDescent="0.25">
      <c r="A15" t="s">
        <v>105</v>
      </c>
      <c r="B15">
        <v>6</v>
      </c>
      <c r="C15">
        <v>2026</v>
      </c>
      <c r="D15">
        <v>1</v>
      </c>
      <c r="E15">
        <v>133</v>
      </c>
      <c r="F15" t="s">
        <v>62</v>
      </c>
      <c r="G15" t="s">
        <v>63</v>
      </c>
      <c r="H15" t="s">
        <v>106</v>
      </c>
      <c r="I15" t="s">
        <v>107</v>
      </c>
      <c r="J15" t="s">
        <v>66</v>
      </c>
      <c r="L15" t="s">
        <v>67</v>
      </c>
      <c r="M15" t="s">
        <v>83</v>
      </c>
      <c r="N15" t="s">
        <v>108</v>
      </c>
      <c r="O15" t="s">
        <v>109</v>
      </c>
      <c r="P15" t="s">
        <v>110</v>
      </c>
      <c r="Q15" t="s">
        <v>111</v>
      </c>
      <c r="R15" t="s">
        <v>91</v>
      </c>
      <c r="S15" t="s">
        <v>62</v>
      </c>
      <c r="T15" t="s">
        <v>62</v>
      </c>
      <c r="U15" t="s">
        <v>62</v>
      </c>
      <c r="V15" t="s">
        <v>62</v>
      </c>
      <c r="W15" t="s">
        <v>74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75</v>
      </c>
      <c r="AK15" t="s">
        <v>62</v>
      </c>
      <c r="AL15" t="s">
        <v>62</v>
      </c>
      <c r="AM15" t="s">
        <v>62</v>
      </c>
      <c r="AN15" t="s">
        <v>76</v>
      </c>
      <c r="AO15" t="s">
        <v>112</v>
      </c>
    </row>
    <row r="16" spans="1:51" x14ac:dyDescent="0.25">
      <c r="A16" t="s">
        <v>113</v>
      </c>
      <c r="B16">
        <v>7</v>
      </c>
      <c r="C16">
        <v>2026</v>
      </c>
      <c r="D16">
        <v>1</v>
      </c>
      <c r="E16">
        <v>1</v>
      </c>
      <c r="F16" t="s">
        <v>62</v>
      </c>
      <c r="G16" t="s">
        <v>93</v>
      </c>
      <c r="H16" t="s">
        <v>114</v>
      </c>
      <c r="I16" t="s">
        <v>115</v>
      </c>
      <c r="J16" t="s">
        <v>81</v>
      </c>
      <c r="L16" t="s">
        <v>67</v>
      </c>
      <c r="M16" t="s">
        <v>116</v>
      </c>
      <c r="N16" t="s">
        <v>117</v>
      </c>
      <c r="O16" t="s">
        <v>118</v>
      </c>
      <c r="P16" t="s">
        <v>118</v>
      </c>
      <c r="Q16" t="s">
        <v>119</v>
      </c>
      <c r="R16" t="s">
        <v>120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74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121</v>
      </c>
      <c r="AK16" t="s">
        <v>62</v>
      </c>
      <c r="AL16" t="s">
        <v>62</v>
      </c>
      <c r="AM16" t="s">
        <v>62</v>
      </c>
      <c r="AN16" t="s">
        <v>62</v>
      </c>
      <c r="AO16" t="s">
        <v>99</v>
      </c>
    </row>
    <row r="17" spans="1:51" x14ac:dyDescent="0.25">
      <c r="A17" t="s">
        <v>113</v>
      </c>
      <c r="B17">
        <v>8</v>
      </c>
      <c r="C17">
        <v>2026</v>
      </c>
      <c r="D17">
        <v>1</v>
      </c>
      <c r="E17">
        <v>166</v>
      </c>
      <c r="F17" t="s">
        <v>62</v>
      </c>
      <c r="G17" t="s">
        <v>63</v>
      </c>
      <c r="H17" t="s">
        <v>122</v>
      </c>
      <c r="I17" t="s">
        <v>123</v>
      </c>
      <c r="J17" t="s">
        <v>81</v>
      </c>
      <c r="L17" t="s">
        <v>67</v>
      </c>
      <c r="M17" t="s">
        <v>68</v>
      </c>
      <c r="N17" t="s">
        <v>117</v>
      </c>
      <c r="O17" t="s">
        <v>124</v>
      </c>
      <c r="P17" t="s">
        <v>85</v>
      </c>
      <c r="Q17" t="s">
        <v>125</v>
      </c>
      <c r="R17" t="s">
        <v>73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74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121</v>
      </c>
      <c r="AK17" t="s">
        <v>62</v>
      </c>
      <c r="AL17" t="s">
        <v>62</v>
      </c>
      <c r="AM17" t="s">
        <v>62</v>
      </c>
      <c r="AN17" t="s">
        <v>76</v>
      </c>
      <c r="AO17" t="s">
        <v>77</v>
      </c>
    </row>
    <row r="18" spans="1:51" x14ac:dyDescent="0.25">
      <c r="A18" t="s">
        <v>113</v>
      </c>
      <c r="B18">
        <v>9</v>
      </c>
      <c r="C18">
        <v>2026</v>
      </c>
      <c r="D18">
        <v>1</v>
      </c>
      <c r="E18">
        <v>3</v>
      </c>
      <c r="F18" t="s">
        <v>62</v>
      </c>
      <c r="G18" t="s">
        <v>63</v>
      </c>
      <c r="H18" t="s">
        <v>126</v>
      </c>
      <c r="I18" t="s">
        <v>127</v>
      </c>
      <c r="J18" t="s">
        <v>81</v>
      </c>
      <c r="L18" t="s">
        <v>82</v>
      </c>
      <c r="M18" t="s">
        <v>68</v>
      </c>
      <c r="N18" t="s">
        <v>69</v>
      </c>
      <c r="O18" t="s">
        <v>128</v>
      </c>
      <c r="P18" t="s">
        <v>129</v>
      </c>
      <c r="Q18" t="s">
        <v>72</v>
      </c>
      <c r="R18" t="s">
        <v>130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74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75</v>
      </c>
      <c r="AK18" t="s">
        <v>62</v>
      </c>
      <c r="AL18" t="s">
        <v>62</v>
      </c>
      <c r="AM18" t="s">
        <v>62</v>
      </c>
      <c r="AN18" t="s">
        <v>76</v>
      </c>
      <c r="AO18" t="s">
        <v>77</v>
      </c>
    </row>
    <row r="19" spans="1:51" x14ac:dyDescent="0.25">
      <c r="A19" t="s">
        <v>131</v>
      </c>
      <c r="B19">
        <v>10</v>
      </c>
      <c r="C19">
        <v>2026</v>
      </c>
      <c r="D19">
        <v>1</v>
      </c>
      <c r="E19">
        <v>15</v>
      </c>
      <c r="F19" t="s">
        <v>62</v>
      </c>
      <c r="G19" t="s">
        <v>93</v>
      </c>
      <c r="H19" t="s">
        <v>132</v>
      </c>
      <c r="I19" t="s">
        <v>133</v>
      </c>
      <c r="J19" t="s">
        <v>66</v>
      </c>
      <c r="L19" t="s">
        <v>67</v>
      </c>
      <c r="M19" t="s">
        <v>83</v>
      </c>
      <c r="N19" t="s">
        <v>41</v>
      </c>
      <c r="O19" t="s">
        <v>134</v>
      </c>
      <c r="P19" t="s">
        <v>135</v>
      </c>
      <c r="Q19" t="s">
        <v>136</v>
      </c>
      <c r="R19" t="s">
        <v>91</v>
      </c>
      <c r="S19" t="s">
        <v>62</v>
      </c>
      <c r="T19" t="s">
        <v>62</v>
      </c>
      <c r="U19" t="s">
        <v>62</v>
      </c>
      <c r="V19" t="s">
        <v>74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75</v>
      </c>
      <c r="AK19" t="s">
        <v>62</v>
      </c>
      <c r="AL19" t="s">
        <v>62</v>
      </c>
      <c r="AM19" t="s">
        <v>62</v>
      </c>
      <c r="AN19" t="s">
        <v>62</v>
      </c>
      <c r="AO19" t="s">
        <v>99</v>
      </c>
    </row>
    <row r="20" spans="1:51" x14ac:dyDescent="0.25">
      <c r="A20" t="s">
        <v>131</v>
      </c>
      <c r="B20">
        <v>11</v>
      </c>
      <c r="C20">
        <v>2026</v>
      </c>
      <c r="D20">
        <v>1</v>
      </c>
      <c r="E20">
        <v>248</v>
      </c>
      <c r="F20" t="s">
        <v>62</v>
      </c>
      <c r="G20" t="s">
        <v>63</v>
      </c>
      <c r="H20" t="s">
        <v>137</v>
      </c>
      <c r="I20" t="s">
        <v>138</v>
      </c>
      <c r="J20" t="s">
        <v>66</v>
      </c>
      <c r="L20" t="s">
        <v>67</v>
      </c>
      <c r="M20" t="s">
        <v>83</v>
      </c>
      <c r="N20" t="s">
        <v>53</v>
      </c>
      <c r="O20" t="s">
        <v>134</v>
      </c>
      <c r="P20" t="s">
        <v>135</v>
      </c>
      <c r="Q20" t="s">
        <v>139</v>
      </c>
      <c r="R20" t="s">
        <v>91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74</v>
      </c>
      <c r="AI20" t="s">
        <v>62</v>
      </c>
      <c r="AJ20" t="s">
        <v>75</v>
      </c>
      <c r="AK20" t="s">
        <v>62</v>
      </c>
      <c r="AL20" t="s">
        <v>62</v>
      </c>
      <c r="AM20" t="s">
        <v>62</v>
      </c>
      <c r="AN20" t="s">
        <v>76</v>
      </c>
      <c r="AO20" t="s">
        <v>99</v>
      </c>
    </row>
    <row r="21" spans="1:51" x14ac:dyDescent="0.25">
      <c r="A21" t="s">
        <v>140</v>
      </c>
      <c r="B21">
        <v>12</v>
      </c>
      <c r="C21">
        <v>2026</v>
      </c>
      <c r="D21">
        <v>1</v>
      </c>
      <c r="E21">
        <v>3</v>
      </c>
      <c r="F21" t="s">
        <v>62</v>
      </c>
      <c r="G21" t="s">
        <v>63</v>
      </c>
      <c r="H21" t="s">
        <v>126</v>
      </c>
      <c r="I21" t="s">
        <v>141</v>
      </c>
      <c r="J21" t="s">
        <v>81</v>
      </c>
      <c r="L21" t="s">
        <v>82</v>
      </c>
      <c r="M21" t="s">
        <v>68</v>
      </c>
      <c r="N21" t="s">
        <v>69</v>
      </c>
      <c r="O21" t="s">
        <v>128</v>
      </c>
      <c r="P21" t="s">
        <v>129</v>
      </c>
      <c r="Q21" t="s">
        <v>142</v>
      </c>
      <c r="R21" t="s">
        <v>130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74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75</v>
      </c>
      <c r="AK21" t="s">
        <v>62</v>
      </c>
      <c r="AL21" t="s">
        <v>62</v>
      </c>
      <c r="AM21" t="s">
        <v>62</v>
      </c>
      <c r="AN21" t="s">
        <v>76</v>
      </c>
      <c r="AO21" t="s">
        <v>77</v>
      </c>
    </row>
    <row r="22" spans="1:51" x14ac:dyDescent="0.25">
      <c r="A22" t="s">
        <v>140</v>
      </c>
      <c r="B22">
        <v>13</v>
      </c>
      <c r="C22">
        <v>2026</v>
      </c>
      <c r="D22">
        <v>1</v>
      </c>
      <c r="E22">
        <v>47</v>
      </c>
      <c r="F22" t="s">
        <v>62</v>
      </c>
      <c r="G22" t="s">
        <v>63</v>
      </c>
      <c r="H22" t="s">
        <v>143</v>
      </c>
      <c r="I22" t="s">
        <v>144</v>
      </c>
      <c r="J22" t="s">
        <v>66</v>
      </c>
      <c r="L22" t="s">
        <v>67</v>
      </c>
      <c r="M22" t="s">
        <v>83</v>
      </c>
      <c r="N22" t="s">
        <v>53</v>
      </c>
      <c r="O22" t="s">
        <v>134</v>
      </c>
      <c r="P22" t="s">
        <v>135</v>
      </c>
      <c r="Q22" t="s">
        <v>139</v>
      </c>
      <c r="R22" t="s">
        <v>91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74</v>
      </c>
      <c r="AI22" t="s">
        <v>62</v>
      </c>
      <c r="AJ22" t="s">
        <v>75</v>
      </c>
      <c r="AK22" t="s">
        <v>62</v>
      </c>
      <c r="AL22" t="s">
        <v>62</v>
      </c>
      <c r="AM22" t="s">
        <v>62</v>
      </c>
      <c r="AN22" t="s">
        <v>76</v>
      </c>
      <c r="AO22" t="s">
        <v>99</v>
      </c>
    </row>
    <row r="23" spans="1:51" x14ac:dyDescent="0.25">
      <c r="A23" t="s">
        <v>140</v>
      </c>
      <c r="B23">
        <v>14</v>
      </c>
      <c r="C23">
        <v>2026</v>
      </c>
      <c r="D23">
        <v>1</v>
      </c>
      <c r="E23">
        <v>3</v>
      </c>
      <c r="F23" t="s">
        <v>62</v>
      </c>
      <c r="G23" t="s">
        <v>63</v>
      </c>
      <c r="H23" t="s">
        <v>126</v>
      </c>
      <c r="I23" t="s">
        <v>127</v>
      </c>
      <c r="J23" t="s">
        <v>81</v>
      </c>
      <c r="L23" t="s">
        <v>82</v>
      </c>
      <c r="M23" t="s">
        <v>68</v>
      </c>
      <c r="N23" t="s">
        <v>69</v>
      </c>
      <c r="O23" t="s">
        <v>128</v>
      </c>
      <c r="P23" t="s">
        <v>129</v>
      </c>
      <c r="Q23" t="s">
        <v>145</v>
      </c>
      <c r="R23" t="s">
        <v>130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74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75</v>
      </c>
      <c r="AK23" t="s">
        <v>62</v>
      </c>
      <c r="AL23" t="s">
        <v>62</v>
      </c>
      <c r="AM23" t="s">
        <v>62</v>
      </c>
      <c r="AN23" t="s">
        <v>76</v>
      </c>
      <c r="AO23" t="s">
        <v>77</v>
      </c>
    </row>
    <row r="24" spans="1:51" x14ac:dyDescent="0.25">
      <c r="A24" t="s">
        <v>146</v>
      </c>
      <c r="B24">
        <v>15</v>
      </c>
      <c r="C24">
        <v>2026</v>
      </c>
      <c r="D24">
        <v>1</v>
      </c>
      <c r="E24">
        <v>125</v>
      </c>
      <c r="F24" t="s">
        <v>62</v>
      </c>
      <c r="G24" t="s">
        <v>93</v>
      </c>
      <c r="H24" t="s">
        <v>147</v>
      </c>
      <c r="I24" t="s">
        <v>148</v>
      </c>
      <c r="J24" t="s">
        <v>66</v>
      </c>
      <c r="L24" t="s">
        <v>149</v>
      </c>
      <c r="M24" t="s">
        <v>68</v>
      </c>
      <c r="N24" t="s">
        <v>41</v>
      </c>
      <c r="O24" t="s">
        <v>134</v>
      </c>
      <c r="P24" t="s">
        <v>135</v>
      </c>
      <c r="Q24" t="s">
        <v>150</v>
      </c>
      <c r="R24" t="s">
        <v>91</v>
      </c>
      <c r="S24" t="s">
        <v>62</v>
      </c>
      <c r="T24" t="s">
        <v>62</v>
      </c>
      <c r="U24" t="s">
        <v>62</v>
      </c>
      <c r="V24" t="s">
        <v>74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75</v>
      </c>
      <c r="AK24" t="s">
        <v>62</v>
      </c>
      <c r="AL24" t="s">
        <v>62</v>
      </c>
      <c r="AM24" t="s">
        <v>62</v>
      </c>
      <c r="AN24" t="s">
        <v>62</v>
      </c>
      <c r="AO24" t="s">
        <v>99</v>
      </c>
    </row>
    <row r="25" spans="1:51" x14ac:dyDescent="0.25">
      <c r="A25" t="s">
        <v>151</v>
      </c>
      <c r="B25">
        <v>16</v>
      </c>
      <c r="C25">
        <v>2026</v>
      </c>
      <c r="D25">
        <v>1</v>
      </c>
      <c r="E25">
        <v>137</v>
      </c>
      <c r="F25" t="s">
        <v>62</v>
      </c>
      <c r="G25" t="s">
        <v>93</v>
      </c>
      <c r="H25" t="s">
        <v>152</v>
      </c>
      <c r="I25" t="s">
        <v>153</v>
      </c>
      <c r="J25" t="s">
        <v>66</v>
      </c>
      <c r="L25" t="s">
        <v>67</v>
      </c>
      <c r="M25" t="s">
        <v>68</v>
      </c>
      <c r="N25" t="s">
        <v>41</v>
      </c>
      <c r="O25" t="s">
        <v>134</v>
      </c>
      <c r="P25" t="s">
        <v>135</v>
      </c>
      <c r="Q25" t="s">
        <v>136</v>
      </c>
      <c r="R25" t="s">
        <v>91</v>
      </c>
      <c r="S25" t="s">
        <v>62</v>
      </c>
      <c r="T25" t="s">
        <v>62</v>
      </c>
      <c r="U25" t="s">
        <v>62</v>
      </c>
      <c r="V25" t="s">
        <v>74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75</v>
      </c>
      <c r="AK25" t="s">
        <v>62</v>
      </c>
      <c r="AL25" t="s">
        <v>62</v>
      </c>
      <c r="AM25" t="s">
        <v>62</v>
      </c>
      <c r="AN25" t="s">
        <v>62</v>
      </c>
      <c r="AO25" t="s">
        <v>99</v>
      </c>
    </row>
    <row r="26" spans="1:51" x14ac:dyDescent="0.25">
      <c r="A26" t="s">
        <v>154</v>
      </c>
      <c r="B26">
        <v>17</v>
      </c>
      <c r="C26">
        <v>2026</v>
      </c>
      <c r="D26">
        <v>1</v>
      </c>
      <c r="E26">
        <v>210</v>
      </c>
      <c r="F26" t="s">
        <v>62</v>
      </c>
      <c r="G26" t="s">
        <v>63</v>
      </c>
      <c r="H26" t="s">
        <v>155</v>
      </c>
      <c r="I26" t="s">
        <v>156</v>
      </c>
      <c r="J26" t="s">
        <v>66</v>
      </c>
      <c r="L26" t="s">
        <v>67</v>
      </c>
      <c r="M26" t="s">
        <v>68</v>
      </c>
      <c r="N26" t="s">
        <v>117</v>
      </c>
      <c r="O26" t="s">
        <v>71</v>
      </c>
      <c r="P26" t="s">
        <v>71</v>
      </c>
      <c r="Q26" t="s">
        <v>157</v>
      </c>
      <c r="R26" t="s">
        <v>73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  <c r="X26" t="s">
        <v>74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121</v>
      </c>
      <c r="AK26" t="s">
        <v>62</v>
      </c>
      <c r="AL26" t="s">
        <v>62</v>
      </c>
      <c r="AM26" t="s">
        <v>62</v>
      </c>
      <c r="AN26" t="s">
        <v>76</v>
      </c>
      <c r="AO26" t="s">
        <v>99</v>
      </c>
    </row>
    <row r="27" spans="1:51" x14ac:dyDescent="0.25">
      <c r="A27" t="s">
        <v>154</v>
      </c>
      <c r="B27">
        <v>18</v>
      </c>
      <c r="C27">
        <v>2026</v>
      </c>
      <c r="D27">
        <v>1</v>
      </c>
      <c r="E27">
        <v>10</v>
      </c>
      <c r="F27" t="s">
        <v>62</v>
      </c>
      <c r="G27" t="s">
        <v>63</v>
      </c>
      <c r="H27" t="s">
        <v>158</v>
      </c>
      <c r="I27" t="s">
        <v>159</v>
      </c>
      <c r="J27" t="s">
        <v>66</v>
      </c>
      <c r="L27" t="s">
        <v>67</v>
      </c>
      <c r="M27" t="s">
        <v>68</v>
      </c>
      <c r="N27" t="s">
        <v>117</v>
      </c>
      <c r="O27" t="s">
        <v>71</v>
      </c>
      <c r="P27" t="s">
        <v>71</v>
      </c>
      <c r="Q27" t="s">
        <v>157</v>
      </c>
      <c r="R27" t="s">
        <v>73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X27" t="s">
        <v>74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121</v>
      </c>
      <c r="AK27" t="s">
        <v>62</v>
      </c>
      <c r="AL27" t="s">
        <v>62</v>
      </c>
      <c r="AM27" t="s">
        <v>62</v>
      </c>
      <c r="AN27" t="s">
        <v>76</v>
      </c>
      <c r="AO27" t="s">
        <v>77</v>
      </c>
    </row>
    <row r="28" spans="1:51" x14ac:dyDescent="0.25">
      <c r="A28" t="s">
        <v>154</v>
      </c>
      <c r="B28">
        <v>19</v>
      </c>
      <c r="C28">
        <v>2026</v>
      </c>
      <c r="D28">
        <v>1</v>
      </c>
      <c r="E28">
        <v>127</v>
      </c>
      <c r="F28" t="s">
        <v>62</v>
      </c>
      <c r="G28" t="s">
        <v>63</v>
      </c>
      <c r="H28" t="s">
        <v>160</v>
      </c>
      <c r="I28" t="s">
        <v>161</v>
      </c>
      <c r="J28" t="s">
        <v>81</v>
      </c>
      <c r="L28" t="s">
        <v>67</v>
      </c>
      <c r="M28" t="s">
        <v>68</v>
      </c>
      <c r="N28" t="s">
        <v>53</v>
      </c>
      <c r="O28" t="s">
        <v>134</v>
      </c>
      <c r="P28" t="s">
        <v>135</v>
      </c>
      <c r="Q28" t="s">
        <v>139</v>
      </c>
      <c r="R28" t="s">
        <v>91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74</v>
      </c>
      <c r="AI28" t="s">
        <v>62</v>
      </c>
      <c r="AJ28" t="s">
        <v>75</v>
      </c>
      <c r="AK28" t="s">
        <v>62</v>
      </c>
      <c r="AL28" t="s">
        <v>62</v>
      </c>
      <c r="AM28" t="s">
        <v>62</v>
      </c>
      <c r="AN28" t="s">
        <v>76</v>
      </c>
      <c r="AO28" t="s">
        <v>99</v>
      </c>
    </row>
    <row r="29" spans="1:51" x14ac:dyDescent="0.25">
      <c r="A29" t="s">
        <v>162</v>
      </c>
      <c r="B29">
        <v>20</v>
      </c>
      <c r="C29">
        <v>2026</v>
      </c>
      <c r="D29">
        <v>2</v>
      </c>
      <c r="E29">
        <v>15</v>
      </c>
      <c r="F29" t="s">
        <v>62</v>
      </c>
      <c r="G29" t="s">
        <v>93</v>
      </c>
      <c r="H29" t="s">
        <v>163</v>
      </c>
      <c r="I29" t="s">
        <v>164</v>
      </c>
      <c r="J29" t="s">
        <v>81</v>
      </c>
      <c r="L29" t="s">
        <v>165</v>
      </c>
      <c r="M29" t="s">
        <v>68</v>
      </c>
      <c r="N29" t="s">
        <v>41</v>
      </c>
      <c r="O29" t="s">
        <v>166</v>
      </c>
      <c r="P29" t="s">
        <v>90</v>
      </c>
      <c r="Q29" t="s">
        <v>167</v>
      </c>
      <c r="R29" t="s">
        <v>91</v>
      </c>
      <c r="S29" t="s">
        <v>62</v>
      </c>
      <c r="T29" t="s">
        <v>62</v>
      </c>
      <c r="U29" t="s">
        <v>62</v>
      </c>
      <c r="V29" t="s">
        <v>74</v>
      </c>
      <c r="W29" t="s">
        <v>62</v>
      </c>
      <c r="X29" t="s">
        <v>62</v>
      </c>
      <c r="Y29" t="s">
        <v>62</v>
      </c>
      <c r="Z29" t="s">
        <v>62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75</v>
      </c>
      <c r="AK29" t="s">
        <v>62</v>
      </c>
      <c r="AL29" t="s">
        <v>62</v>
      </c>
      <c r="AM29" t="s">
        <v>62</v>
      </c>
      <c r="AN29" t="s">
        <v>62</v>
      </c>
      <c r="AO29" t="s">
        <v>99</v>
      </c>
    </row>
    <row r="30" spans="1:51" x14ac:dyDescent="0.25">
      <c r="A30" t="s">
        <v>168</v>
      </c>
      <c r="B30">
        <v>21</v>
      </c>
      <c r="C30">
        <v>2026</v>
      </c>
      <c r="D30">
        <v>2</v>
      </c>
      <c r="E30">
        <v>101</v>
      </c>
      <c r="F30" t="s">
        <v>62</v>
      </c>
      <c r="G30" t="s">
        <v>93</v>
      </c>
      <c r="H30" t="s">
        <v>169</v>
      </c>
      <c r="I30" t="s">
        <v>170</v>
      </c>
      <c r="J30" t="s">
        <v>81</v>
      </c>
      <c r="L30" t="s">
        <v>67</v>
      </c>
      <c r="M30" t="s">
        <v>171</v>
      </c>
      <c r="N30" t="s">
        <v>41</v>
      </c>
      <c r="O30" t="s">
        <v>172</v>
      </c>
      <c r="P30" t="s">
        <v>173</v>
      </c>
      <c r="Q30" t="s">
        <v>174</v>
      </c>
      <c r="R30" t="s">
        <v>73</v>
      </c>
      <c r="S30" t="s">
        <v>62</v>
      </c>
      <c r="T30" t="s">
        <v>62</v>
      </c>
      <c r="U30" t="s">
        <v>62</v>
      </c>
      <c r="V30" t="s">
        <v>74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75</v>
      </c>
      <c r="AK30" t="s">
        <v>62</v>
      </c>
      <c r="AL30" t="s">
        <v>62</v>
      </c>
      <c r="AM30" t="s">
        <v>62</v>
      </c>
      <c r="AN30" t="s">
        <v>62</v>
      </c>
      <c r="AO30" t="s">
        <v>99</v>
      </c>
    </row>
    <row r="31" spans="1:51" x14ac:dyDescent="0.25">
      <c r="A31" t="s">
        <v>175</v>
      </c>
      <c r="B31">
        <v>22</v>
      </c>
      <c r="C31">
        <v>2026</v>
      </c>
      <c r="D31">
        <v>2</v>
      </c>
      <c r="E31">
        <v>176</v>
      </c>
      <c r="F31" t="s">
        <v>62</v>
      </c>
      <c r="G31" t="s">
        <v>63</v>
      </c>
      <c r="H31" t="s">
        <v>176</v>
      </c>
      <c r="I31" t="s">
        <v>177</v>
      </c>
      <c r="J31" t="s">
        <v>81</v>
      </c>
      <c r="L31" t="s">
        <v>178</v>
      </c>
      <c r="M31" t="s">
        <v>179</v>
      </c>
      <c r="N31" t="s">
        <v>117</v>
      </c>
      <c r="O31" t="s">
        <v>180</v>
      </c>
      <c r="P31" t="s">
        <v>181</v>
      </c>
      <c r="Q31" t="s">
        <v>182</v>
      </c>
      <c r="R31" t="s">
        <v>183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74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121</v>
      </c>
      <c r="AK31" t="s">
        <v>62</v>
      </c>
      <c r="AL31" t="s">
        <v>62</v>
      </c>
      <c r="AM31" t="s">
        <v>62</v>
      </c>
      <c r="AN31" t="s">
        <v>76</v>
      </c>
      <c r="AO31" t="s">
        <v>77</v>
      </c>
    </row>
    <row r="32" spans="1:51" x14ac:dyDescent="0.25">
      <c r="A32" t="s">
        <v>175</v>
      </c>
      <c r="B32">
        <v>23</v>
      </c>
      <c r="C32">
        <v>2026</v>
      </c>
      <c r="D32">
        <v>2</v>
      </c>
      <c r="E32">
        <v>24</v>
      </c>
      <c r="F32" t="s">
        <v>62</v>
      </c>
      <c r="G32" t="s">
        <v>93</v>
      </c>
      <c r="H32" t="s">
        <v>184</v>
      </c>
      <c r="I32" t="s">
        <v>185</v>
      </c>
      <c r="J32" t="s">
        <v>66</v>
      </c>
      <c r="L32" t="s">
        <v>149</v>
      </c>
      <c r="M32" t="s">
        <v>83</v>
      </c>
      <c r="N32" t="s">
        <v>108</v>
      </c>
      <c r="O32" t="s">
        <v>186</v>
      </c>
      <c r="P32" t="s">
        <v>187</v>
      </c>
      <c r="Q32" t="s">
        <v>188</v>
      </c>
      <c r="R32" t="s">
        <v>189</v>
      </c>
      <c r="S32" t="s">
        <v>62</v>
      </c>
      <c r="T32" t="s">
        <v>62</v>
      </c>
      <c r="U32" t="s">
        <v>62</v>
      </c>
      <c r="V32" t="s">
        <v>62</v>
      </c>
      <c r="W32" t="s">
        <v>74</v>
      </c>
      <c r="X32" t="s">
        <v>62</v>
      </c>
      <c r="Y32" t="s">
        <v>62</v>
      </c>
      <c r="Z32" t="s">
        <v>62</v>
      </c>
      <c r="AA32" t="s">
        <v>62</v>
      </c>
      <c r="AB32" t="s">
        <v>62</v>
      </c>
      <c r="AC32" t="s">
        <v>62</v>
      </c>
      <c r="AD32" t="s">
        <v>62</v>
      </c>
      <c r="AE32" t="s">
        <v>62</v>
      </c>
      <c r="AF32" t="s">
        <v>62</v>
      </c>
      <c r="AG32" t="s">
        <v>62</v>
      </c>
      <c r="AH32" t="s">
        <v>62</v>
      </c>
      <c r="AI32" t="s">
        <v>62</v>
      </c>
      <c r="AJ32" t="s">
        <v>75</v>
      </c>
      <c r="AK32" t="s">
        <v>62</v>
      </c>
      <c r="AL32" t="s">
        <v>62</v>
      </c>
      <c r="AM32" t="s">
        <v>62</v>
      </c>
      <c r="AN32" t="s">
        <v>62</v>
      </c>
      <c r="AO32" t="s">
        <v>112</v>
      </c>
    </row>
    <row r="33" spans="1:51" x14ac:dyDescent="0.25">
      <c r="A33" t="s">
        <v>175</v>
      </c>
      <c r="B33">
        <v>24</v>
      </c>
      <c r="C33">
        <v>2026</v>
      </c>
      <c r="D33">
        <v>2</v>
      </c>
      <c r="E33">
        <v>102</v>
      </c>
      <c r="F33" t="s">
        <v>62</v>
      </c>
      <c r="G33" t="s">
        <v>93</v>
      </c>
      <c r="H33" t="s">
        <v>190</v>
      </c>
      <c r="I33" t="s">
        <v>191</v>
      </c>
      <c r="J33" t="s">
        <v>66</v>
      </c>
      <c r="L33" t="s">
        <v>67</v>
      </c>
      <c r="M33" t="s">
        <v>83</v>
      </c>
      <c r="N33" t="s">
        <v>108</v>
      </c>
      <c r="O33" t="s">
        <v>192</v>
      </c>
      <c r="P33" t="s">
        <v>193</v>
      </c>
      <c r="Q33" t="s">
        <v>194</v>
      </c>
      <c r="R33" t="s">
        <v>195</v>
      </c>
      <c r="S33" t="s">
        <v>62</v>
      </c>
      <c r="T33" t="s">
        <v>62</v>
      </c>
      <c r="U33" t="s">
        <v>62</v>
      </c>
      <c r="V33" t="s">
        <v>62</v>
      </c>
      <c r="W33" t="s">
        <v>74</v>
      </c>
      <c r="X33" t="s">
        <v>62</v>
      </c>
      <c r="Y33" t="s">
        <v>62</v>
      </c>
      <c r="Z33" t="s">
        <v>62</v>
      </c>
      <c r="AA33" t="s">
        <v>62</v>
      </c>
      <c r="AB33" t="s">
        <v>62</v>
      </c>
      <c r="AC33" t="s">
        <v>62</v>
      </c>
      <c r="AD33" t="s">
        <v>62</v>
      </c>
      <c r="AE33" t="s">
        <v>62</v>
      </c>
      <c r="AF33" t="s">
        <v>62</v>
      </c>
      <c r="AG33" t="s">
        <v>62</v>
      </c>
      <c r="AH33" t="s">
        <v>62</v>
      </c>
      <c r="AI33" t="s">
        <v>62</v>
      </c>
      <c r="AJ33" t="s">
        <v>75</v>
      </c>
      <c r="AK33" t="s">
        <v>62</v>
      </c>
      <c r="AL33" t="s">
        <v>62</v>
      </c>
      <c r="AM33" t="s">
        <v>62</v>
      </c>
      <c r="AN33" t="s">
        <v>62</v>
      </c>
      <c r="AO33" t="s">
        <v>112</v>
      </c>
    </row>
    <row r="34" spans="1:51" x14ac:dyDescent="0.25">
      <c r="A34" t="s">
        <v>175</v>
      </c>
      <c r="B34">
        <v>25</v>
      </c>
      <c r="C34">
        <v>2026</v>
      </c>
      <c r="D34">
        <v>2</v>
      </c>
      <c r="E34">
        <v>25</v>
      </c>
      <c r="F34" t="s">
        <v>62</v>
      </c>
      <c r="G34" t="s">
        <v>93</v>
      </c>
      <c r="H34" t="s">
        <v>196</v>
      </c>
      <c r="J34" t="s">
        <v>81</v>
      </c>
      <c r="L34" t="s">
        <v>67</v>
      </c>
      <c r="M34" t="s">
        <v>83</v>
      </c>
      <c r="N34" t="s">
        <v>108</v>
      </c>
      <c r="O34" t="s">
        <v>186</v>
      </c>
      <c r="P34" t="s">
        <v>187</v>
      </c>
      <c r="R34" t="s">
        <v>189</v>
      </c>
      <c r="S34" t="s">
        <v>62</v>
      </c>
      <c r="T34" t="s">
        <v>62</v>
      </c>
      <c r="U34" t="s">
        <v>62</v>
      </c>
      <c r="V34" t="s">
        <v>62</v>
      </c>
      <c r="W34" t="s">
        <v>74</v>
      </c>
      <c r="X34" t="s">
        <v>62</v>
      </c>
      <c r="Y34" t="s">
        <v>62</v>
      </c>
      <c r="Z34" t="s">
        <v>62</v>
      </c>
      <c r="AA34" t="s">
        <v>62</v>
      </c>
      <c r="AB34" t="s">
        <v>62</v>
      </c>
      <c r="AC34" t="s">
        <v>62</v>
      </c>
      <c r="AD34" t="s">
        <v>62</v>
      </c>
      <c r="AE34" t="s">
        <v>62</v>
      </c>
      <c r="AF34" t="s">
        <v>62</v>
      </c>
      <c r="AG34" t="s">
        <v>62</v>
      </c>
      <c r="AH34" t="s">
        <v>62</v>
      </c>
      <c r="AI34" t="s">
        <v>62</v>
      </c>
      <c r="AJ34" t="s">
        <v>75</v>
      </c>
      <c r="AK34" t="s">
        <v>62</v>
      </c>
      <c r="AL34" t="s">
        <v>62</v>
      </c>
      <c r="AM34" t="s">
        <v>62</v>
      </c>
      <c r="AN34" t="s">
        <v>62</v>
      </c>
      <c r="AO34" t="s">
        <v>112</v>
      </c>
    </row>
    <row r="35" spans="1:51" x14ac:dyDescent="0.25">
      <c r="A35" t="s">
        <v>197</v>
      </c>
      <c r="B35">
        <v>26</v>
      </c>
      <c r="C35">
        <v>2026</v>
      </c>
      <c r="D35">
        <v>2</v>
      </c>
      <c r="E35">
        <v>4</v>
      </c>
      <c r="F35" t="s">
        <v>62</v>
      </c>
      <c r="G35" t="s">
        <v>93</v>
      </c>
      <c r="H35" t="s">
        <v>198</v>
      </c>
      <c r="I35" t="s">
        <v>199</v>
      </c>
      <c r="J35" t="s">
        <v>66</v>
      </c>
      <c r="L35" t="s">
        <v>67</v>
      </c>
      <c r="M35" t="s">
        <v>83</v>
      </c>
      <c r="N35" t="s">
        <v>108</v>
      </c>
      <c r="O35" t="s">
        <v>200</v>
      </c>
      <c r="P35" t="s">
        <v>110</v>
      </c>
      <c r="Q35" t="s">
        <v>201</v>
      </c>
      <c r="R35" t="s">
        <v>91</v>
      </c>
      <c r="S35" t="s">
        <v>62</v>
      </c>
      <c r="T35" t="s">
        <v>62</v>
      </c>
      <c r="U35" t="s">
        <v>62</v>
      </c>
      <c r="V35" t="s">
        <v>62</v>
      </c>
      <c r="W35" t="s">
        <v>74</v>
      </c>
      <c r="X35" t="s">
        <v>62</v>
      </c>
      <c r="Y35" t="s">
        <v>62</v>
      </c>
      <c r="Z35" t="s">
        <v>62</v>
      </c>
      <c r="AA35" t="s">
        <v>62</v>
      </c>
      <c r="AB35" t="s">
        <v>62</v>
      </c>
      <c r="AC35" t="s">
        <v>62</v>
      </c>
      <c r="AD35" t="s">
        <v>62</v>
      </c>
      <c r="AE35" t="s">
        <v>62</v>
      </c>
      <c r="AF35" t="s">
        <v>62</v>
      </c>
      <c r="AG35" t="s">
        <v>62</v>
      </c>
      <c r="AH35" t="s">
        <v>62</v>
      </c>
      <c r="AI35" t="s">
        <v>62</v>
      </c>
      <c r="AJ35" t="s">
        <v>75</v>
      </c>
      <c r="AK35" t="s">
        <v>62</v>
      </c>
      <c r="AL35" t="s">
        <v>62</v>
      </c>
      <c r="AM35" t="s">
        <v>62</v>
      </c>
      <c r="AN35" t="s">
        <v>62</v>
      </c>
      <c r="AO35" t="s">
        <v>77</v>
      </c>
    </row>
    <row r="36" spans="1:51" x14ac:dyDescent="0.25">
      <c r="A36" t="s">
        <v>202</v>
      </c>
      <c r="B36">
        <v>27</v>
      </c>
      <c r="C36">
        <v>2026</v>
      </c>
      <c r="D36">
        <v>2</v>
      </c>
      <c r="E36">
        <v>5</v>
      </c>
      <c r="F36" t="s">
        <v>62</v>
      </c>
      <c r="G36" t="s">
        <v>93</v>
      </c>
      <c r="H36" t="s">
        <v>203</v>
      </c>
      <c r="I36" t="s">
        <v>204</v>
      </c>
      <c r="J36" t="s">
        <v>66</v>
      </c>
      <c r="L36" t="s">
        <v>205</v>
      </c>
      <c r="M36" t="s">
        <v>68</v>
      </c>
      <c r="N36" t="s">
        <v>117</v>
      </c>
      <c r="O36" t="s">
        <v>206</v>
      </c>
      <c r="P36" t="s">
        <v>173</v>
      </c>
      <c r="Q36" t="s">
        <v>207</v>
      </c>
      <c r="R36" t="s">
        <v>73</v>
      </c>
      <c r="S36" t="s">
        <v>62</v>
      </c>
      <c r="T36" t="s">
        <v>62</v>
      </c>
      <c r="U36" t="s">
        <v>62</v>
      </c>
      <c r="V36" t="s">
        <v>62</v>
      </c>
      <c r="W36" t="s">
        <v>62</v>
      </c>
      <c r="X36" t="s">
        <v>74</v>
      </c>
      <c r="Y36" t="s">
        <v>62</v>
      </c>
      <c r="Z36" t="s">
        <v>62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s">
        <v>62</v>
      </c>
      <c r="AG36" t="s">
        <v>62</v>
      </c>
      <c r="AH36" t="s">
        <v>62</v>
      </c>
      <c r="AI36" t="s">
        <v>62</v>
      </c>
      <c r="AJ36" t="s">
        <v>121</v>
      </c>
      <c r="AK36" t="s">
        <v>62</v>
      </c>
      <c r="AL36" t="s">
        <v>62</v>
      </c>
      <c r="AM36" t="s">
        <v>62</v>
      </c>
      <c r="AN36" t="s">
        <v>62</v>
      </c>
      <c r="AO36" t="s">
        <v>77</v>
      </c>
    </row>
    <row r="37" spans="1:51" x14ac:dyDescent="0.25">
      <c r="A37" t="s">
        <v>202</v>
      </c>
      <c r="B37">
        <v>28</v>
      </c>
      <c r="C37">
        <v>2026</v>
      </c>
      <c r="D37">
        <v>2</v>
      </c>
      <c r="E37">
        <v>242</v>
      </c>
      <c r="F37" t="s">
        <v>62</v>
      </c>
      <c r="G37" t="s">
        <v>63</v>
      </c>
      <c r="H37" t="s">
        <v>208</v>
      </c>
      <c r="I37" t="s">
        <v>209</v>
      </c>
      <c r="J37" t="s">
        <v>81</v>
      </c>
      <c r="L37" t="s">
        <v>149</v>
      </c>
      <c r="M37" t="s">
        <v>68</v>
      </c>
      <c r="N37" t="s">
        <v>117</v>
      </c>
      <c r="O37" t="s">
        <v>210</v>
      </c>
      <c r="P37" t="s">
        <v>211</v>
      </c>
      <c r="Q37" t="s">
        <v>212</v>
      </c>
      <c r="R37" t="s">
        <v>73</v>
      </c>
      <c r="S37" t="s">
        <v>62</v>
      </c>
      <c r="T37" t="s">
        <v>62</v>
      </c>
      <c r="U37" t="s">
        <v>62</v>
      </c>
      <c r="V37" t="s">
        <v>62</v>
      </c>
      <c r="W37" t="s">
        <v>62</v>
      </c>
      <c r="X37" t="s">
        <v>74</v>
      </c>
      <c r="Y37" t="s">
        <v>62</v>
      </c>
      <c r="Z37" t="s">
        <v>62</v>
      </c>
      <c r="AA37" t="s">
        <v>62</v>
      </c>
      <c r="AB37" t="s">
        <v>62</v>
      </c>
      <c r="AC37" t="s">
        <v>62</v>
      </c>
      <c r="AD37" t="s">
        <v>62</v>
      </c>
      <c r="AE37" t="s">
        <v>62</v>
      </c>
      <c r="AF37" t="s">
        <v>62</v>
      </c>
      <c r="AG37" t="s">
        <v>62</v>
      </c>
      <c r="AH37" t="s">
        <v>62</v>
      </c>
      <c r="AI37" t="s">
        <v>62</v>
      </c>
      <c r="AJ37" t="s">
        <v>121</v>
      </c>
      <c r="AK37" t="s">
        <v>62</v>
      </c>
      <c r="AL37" t="s">
        <v>62</v>
      </c>
      <c r="AM37" t="s">
        <v>62</v>
      </c>
      <c r="AN37" t="s">
        <v>76</v>
      </c>
      <c r="AO37" t="s">
        <v>77</v>
      </c>
    </row>
    <row r="38" spans="1:51" x14ac:dyDescent="0.25">
      <c r="A38" t="s">
        <v>202</v>
      </c>
      <c r="B38">
        <v>29</v>
      </c>
      <c r="C38">
        <v>2026</v>
      </c>
      <c r="D38">
        <v>2</v>
      </c>
      <c r="E38">
        <v>163</v>
      </c>
      <c r="F38" t="s">
        <v>62</v>
      </c>
      <c r="G38" t="s">
        <v>63</v>
      </c>
      <c r="H38" t="s">
        <v>213</v>
      </c>
      <c r="I38" t="s">
        <v>214</v>
      </c>
      <c r="J38" t="s">
        <v>66</v>
      </c>
      <c r="L38" t="s">
        <v>149</v>
      </c>
      <c r="M38" t="s">
        <v>68</v>
      </c>
      <c r="N38" t="s">
        <v>117</v>
      </c>
      <c r="O38" t="s">
        <v>215</v>
      </c>
      <c r="P38" t="s">
        <v>173</v>
      </c>
      <c r="Q38" t="s">
        <v>216</v>
      </c>
      <c r="R38" t="s">
        <v>73</v>
      </c>
      <c r="S38" t="s">
        <v>62</v>
      </c>
      <c r="T38" t="s">
        <v>62</v>
      </c>
      <c r="U38" t="s">
        <v>62</v>
      </c>
      <c r="V38" t="s">
        <v>62</v>
      </c>
      <c r="W38" t="s">
        <v>62</v>
      </c>
      <c r="X38" t="s">
        <v>74</v>
      </c>
      <c r="Y38" t="s">
        <v>62</v>
      </c>
      <c r="Z38" t="s">
        <v>62</v>
      </c>
      <c r="AA38" t="s">
        <v>62</v>
      </c>
      <c r="AB38" t="s">
        <v>62</v>
      </c>
      <c r="AC38" t="s">
        <v>62</v>
      </c>
      <c r="AD38" t="s">
        <v>62</v>
      </c>
      <c r="AE38" t="s">
        <v>62</v>
      </c>
      <c r="AF38" t="s">
        <v>62</v>
      </c>
      <c r="AG38" t="s">
        <v>62</v>
      </c>
      <c r="AH38" t="s">
        <v>62</v>
      </c>
      <c r="AI38" t="s">
        <v>62</v>
      </c>
      <c r="AJ38" t="s">
        <v>121</v>
      </c>
      <c r="AK38" t="s">
        <v>62</v>
      </c>
      <c r="AL38" t="s">
        <v>62</v>
      </c>
      <c r="AM38" t="s">
        <v>62</v>
      </c>
      <c r="AN38" t="s">
        <v>76</v>
      </c>
      <c r="AO38" t="s">
        <v>77</v>
      </c>
    </row>
    <row r="39" spans="1:51" x14ac:dyDescent="0.25">
      <c r="A39" t="s">
        <v>202</v>
      </c>
      <c r="B39">
        <v>30</v>
      </c>
      <c r="C39">
        <v>2026</v>
      </c>
      <c r="D39">
        <v>2</v>
      </c>
      <c r="E39">
        <v>12</v>
      </c>
      <c r="F39" t="s">
        <v>62</v>
      </c>
      <c r="G39" t="s">
        <v>63</v>
      </c>
      <c r="H39" t="s">
        <v>217</v>
      </c>
      <c r="I39" t="s">
        <v>218</v>
      </c>
      <c r="J39" t="s">
        <v>81</v>
      </c>
      <c r="L39" t="s">
        <v>149</v>
      </c>
      <c r="M39" t="s">
        <v>83</v>
      </c>
      <c r="N39" t="s">
        <v>117</v>
      </c>
      <c r="O39" t="s">
        <v>90</v>
      </c>
      <c r="P39" t="s">
        <v>90</v>
      </c>
      <c r="Q39" t="s">
        <v>219</v>
      </c>
      <c r="R39" t="s">
        <v>91</v>
      </c>
      <c r="S39" t="s">
        <v>62</v>
      </c>
      <c r="T39" t="s">
        <v>62</v>
      </c>
      <c r="U39" t="s">
        <v>62</v>
      </c>
      <c r="V39" t="s">
        <v>62</v>
      </c>
      <c r="W39" t="s">
        <v>62</v>
      </c>
      <c r="X39" t="s">
        <v>74</v>
      </c>
      <c r="Y39" t="s">
        <v>62</v>
      </c>
      <c r="Z39" t="s">
        <v>62</v>
      </c>
      <c r="AA39" t="s">
        <v>62</v>
      </c>
      <c r="AB39" t="s">
        <v>62</v>
      </c>
      <c r="AC39" t="s">
        <v>62</v>
      </c>
      <c r="AD39" t="s">
        <v>62</v>
      </c>
      <c r="AE39" t="s">
        <v>62</v>
      </c>
      <c r="AF39" t="s">
        <v>62</v>
      </c>
      <c r="AG39" t="s">
        <v>62</v>
      </c>
      <c r="AH39" t="s">
        <v>62</v>
      </c>
      <c r="AI39" t="s">
        <v>62</v>
      </c>
      <c r="AJ39" t="s">
        <v>121</v>
      </c>
      <c r="AK39" t="s">
        <v>62</v>
      </c>
      <c r="AL39" t="s">
        <v>62</v>
      </c>
      <c r="AM39" t="s">
        <v>62</v>
      </c>
      <c r="AN39" t="s">
        <v>76</v>
      </c>
      <c r="AO39" t="s">
        <v>77</v>
      </c>
    </row>
    <row r="40" spans="1:51" x14ac:dyDescent="0.25">
      <c r="A40" t="s">
        <v>220</v>
      </c>
      <c r="B40">
        <v>31</v>
      </c>
      <c r="C40">
        <v>2026</v>
      </c>
      <c r="D40">
        <v>2</v>
      </c>
      <c r="E40">
        <v>220</v>
      </c>
      <c r="F40" t="s">
        <v>62</v>
      </c>
      <c r="G40" t="s">
        <v>93</v>
      </c>
      <c r="H40" t="s">
        <v>221</v>
      </c>
      <c r="I40" t="s">
        <v>222</v>
      </c>
      <c r="J40" t="s">
        <v>66</v>
      </c>
      <c r="L40" t="s">
        <v>67</v>
      </c>
      <c r="M40" t="s">
        <v>83</v>
      </c>
      <c r="N40" t="s">
        <v>108</v>
      </c>
      <c r="O40" t="s">
        <v>186</v>
      </c>
      <c r="P40" t="s">
        <v>187</v>
      </c>
      <c r="Q40" t="s">
        <v>223</v>
      </c>
      <c r="R40" t="s">
        <v>189</v>
      </c>
      <c r="S40" t="s">
        <v>62</v>
      </c>
      <c r="T40" t="s">
        <v>62</v>
      </c>
      <c r="U40" t="s">
        <v>62</v>
      </c>
      <c r="V40" t="s">
        <v>62</v>
      </c>
      <c r="W40" t="s">
        <v>74</v>
      </c>
      <c r="X40" t="s">
        <v>62</v>
      </c>
      <c r="Y40" t="s">
        <v>62</v>
      </c>
      <c r="Z40" t="s">
        <v>62</v>
      </c>
      <c r="AA40" t="s">
        <v>62</v>
      </c>
      <c r="AB40" t="s">
        <v>62</v>
      </c>
      <c r="AC40" t="s">
        <v>62</v>
      </c>
      <c r="AD40" t="s">
        <v>62</v>
      </c>
      <c r="AE40" t="s">
        <v>62</v>
      </c>
      <c r="AF40" t="s">
        <v>62</v>
      </c>
      <c r="AG40" t="s">
        <v>62</v>
      </c>
      <c r="AH40" t="s">
        <v>62</v>
      </c>
      <c r="AI40" t="s">
        <v>62</v>
      </c>
      <c r="AJ40" t="s">
        <v>75</v>
      </c>
      <c r="AK40" t="s">
        <v>62</v>
      </c>
      <c r="AL40" t="s">
        <v>62</v>
      </c>
      <c r="AM40" t="s">
        <v>62</v>
      </c>
      <c r="AN40" t="s">
        <v>62</v>
      </c>
      <c r="AO40" t="s">
        <v>112</v>
      </c>
    </row>
    <row r="41" spans="1:51" x14ac:dyDescent="0.25">
      <c r="A41" t="s">
        <v>220</v>
      </c>
      <c r="B41">
        <v>32</v>
      </c>
      <c r="C41">
        <v>2026</v>
      </c>
      <c r="D41">
        <v>2</v>
      </c>
      <c r="E41">
        <v>11</v>
      </c>
      <c r="F41" t="s">
        <v>62</v>
      </c>
      <c r="G41" t="s">
        <v>93</v>
      </c>
      <c r="H41" t="s">
        <v>224</v>
      </c>
      <c r="I41" t="s">
        <v>225</v>
      </c>
      <c r="J41" t="s">
        <v>66</v>
      </c>
      <c r="L41" t="s">
        <v>67</v>
      </c>
      <c r="M41" t="s">
        <v>68</v>
      </c>
      <c r="N41" t="s">
        <v>41</v>
      </c>
      <c r="O41" t="s">
        <v>226</v>
      </c>
      <c r="P41" t="s">
        <v>181</v>
      </c>
      <c r="Q41" t="s">
        <v>226</v>
      </c>
      <c r="R41" t="s">
        <v>183</v>
      </c>
      <c r="S41" t="s">
        <v>62</v>
      </c>
      <c r="T41" t="s">
        <v>62</v>
      </c>
      <c r="U41" t="s">
        <v>62</v>
      </c>
      <c r="V41" t="s">
        <v>74</v>
      </c>
      <c r="W41" t="s">
        <v>62</v>
      </c>
      <c r="X41" t="s">
        <v>62</v>
      </c>
      <c r="Y41" t="s">
        <v>62</v>
      </c>
      <c r="Z41" t="s">
        <v>62</v>
      </c>
      <c r="AA41" t="s">
        <v>62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t="s">
        <v>62</v>
      </c>
      <c r="AH41" t="s">
        <v>62</v>
      </c>
      <c r="AI41" t="s">
        <v>62</v>
      </c>
      <c r="AJ41" t="s">
        <v>75</v>
      </c>
      <c r="AK41" t="s">
        <v>62</v>
      </c>
      <c r="AL41" t="s">
        <v>62</v>
      </c>
      <c r="AM41" t="s">
        <v>62</v>
      </c>
      <c r="AN41" t="s">
        <v>62</v>
      </c>
      <c r="AO41" t="s">
        <v>112</v>
      </c>
    </row>
    <row r="42" spans="1:51" x14ac:dyDescent="0.25">
      <c r="A42" t="s">
        <v>227</v>
      </c>
      <c r="B42">
        <v>33</v>
      </c>
      <c r="C42">
        <v>2026</v>
      </c>
      <c r="D42">
        <v>2</v>
      </c>
      <c r="E42">
        <v>6</v>
      </c>
      <c r="F42" t="s">
        <v>62</v>
      </c>
      <c r="G42" t="s">
        <v>63</v>
      </c>
      <c r="H42" t="s">
        <v>228</v>
      </c>
      <c r="I42" t="s">
        <v>229</v>
      </c>
      <c r="J42" t="s">
        <v>66</v>
      </c>
      <c r="L42" t="s">
        <v>230</v>
      </c>
      <c r="M42" t="s">
        <v>68</v>
      </c>
      <c r="N42" t="s">
        <v>117</v>
      </c>
      <c r="O42" t="s">
        <v>231</v>
      </c>
      <c r="P42" t="s">
        <v>232</v>
      </c>
      <c r="Q42" t="s">
        <v>233</v>
      </c>
      <c r="R42" t="s">
        <v>73</v>
      </c>
      <c r="S42" t="s">
        <v>62</v>
      </c>
      <c r="T42" t="s">
        <v>62</v>
      </c>
      <c r="U42" t="s">
        <v>62</v>
      </c>
      <c r="V42" t="s">
        <v>62</v>
      </c>
      <c r="W42" t="s">
        <v>62</v>
      </c>
      <c r="X42" t="s">
        <v>74</v>
      </c>
      <c r="Y42" t="s">
        <v>62</v>
      </c>
      <c r="Z42" t="s">
        <v>62</v>
      </c>
      <c r="AA42" t="s">
        <v>62</v>
      </c>
      <c r="AB42" t="s">
        <v>62</v>
      </c>
      <c r="AC42" t="s">
        <v>62</v>
      </c>
      <c r="AD42" t="s">
        <v>62</v>
      </c>
      <c r="AE42" t="s">
        <v>62</v>
      </c>
      <c r="AF42" t="s">
        <v>62</v>
      </c>
      <c r="AG42" t="s">
        <v>62</v>
      </c>
      <c r="AH42" t="s">
        <v>62</v>
      </c>
      <c r="AI42" t="s">
        <v>62</v>
      </c>
      <c r="AJ42" t="s">
        <v>121</v>
      </c>
      <c r="AK42" t="s">
        <v>62</v>
      </c>
      <c r="AL42" t="s">
        <v>62</v>
      </c>
      <c r="AM42" t="s">
        <v>62</v>
      </c>
      <c r="AN42" t="s">
        <v>76</v>
      </c>
      <c r="AO42" t="s">
        <v>99</v>
      </c>
    </row>
    <row r="43" spans="1:51" x14ac:dyDescent="0.25">
      <c r="A43" t="s">
        <v>227</v>
      </c>
      <c r="B43">
        <v>34</v>
      </c>
      <c r="C43">
        <v>2026</v>
      </c>
      <c r="D43">
        <v>2</v>
      </c>
      <c r="E43">
        <v>8</v>
      </c>
      <c r="F43" t="s">
        <v>62</v>
      </c>
      <c r="G43" t="s">
        <v>63</v>
      </c>
      <c r="H43" t="s">
        <v>234</v>
      </c>
      <c r="I43" t="s">
        <v>235</v>
      </c>
      <c r="J43" t="s">
        <v>66</v>
      </c>
      <c r="L43" t="s">
        <v>230</v>
      </c>
      <c r="M43" t="s">
        <v>83</v>
      </c>
      <c r="N43" t="s">
        <v>117</v>
      </c>
      <c r="O43" t="s">
        <v>124</v>
      </c>
      <c r="P43" t="s">
        <v>85</v>
      </c>
      <c r="Q43" t="s">
        <v>236</v>
      </c>
      <c r="R43" t="s">
        <v>73</v>
      </c>
      <c r="S43" t="s">
        <v>62</v>
      </c>
      <c r="T43" t="s">
        <v>62</v>
      </c>
      <c r="U43" t="s">
        <v>62</v>
      </c>
      <c r="V43" t="s">
        <v>62</v>
      </c>
      <c r="W43" t="s">
        <v>62</v>
      </c>
      <c r="X43" t="s">
        <v>74</v>
      </c>
      <c r="Y43" t="s">
        <v>62</v>
      </c>
      <c r="Z43" t="s">
        <v>62</v>
      </c>
      <c r="AA43" t="s">
        <v>62</v>
      </c>
      <c r="AB43" t="s">
        <v>62</v>
      </c>
      <c r="AC43" t="s">
        <v>62</v>
      </c>
      <c r="AD43" t="s">
        <v>62</v>
      </c>
      <c r="AE43" t="s">
        <v>62</v>
      </c>
      <c r="AF43" t="s">
        <v>62</v>
      </c>
      <c r="AG43" t="s">
        <v>62</v>
      </c>
      <c r="AH43" t="s">
        <v>62</v>
      </c>
      <c r="AI43" t="s">
        <v>62</v>
      </c>
      <c r="AJ43" t="s">
        <v>121</v>
      </c>
      <c r="AK43" t="s">
        <v>62</v>
      </c>
      <c r="AL43" t="s">
        <v>62</v>
      </c>
      <c r="AM43" t="s">
        <v>62</v>
      </c>
      <c r="AN43" t="s">
        <v>76</v>
      </c>
      <c r="AO43" t="s">
        <v>77</v>
      </c>
    </row>
    <row r="44" spans="1:51" x14ac:dyDescent="0.25">
      <c r="A44" t="s">
        <v>227</v>
      </c>
      <c r="B44">
        <v>35</v>
      </c>
      <c r="C44">
        <v>2026</v>
      </c>
      <c r="D44">
        <v>2</v>
      </c>
      <c r="E44">
        <v>9</v>
      </c>
      <c r="F44" t="s">
        <v>62</v>
      </c>
      <c r="G44" t="s">
        <v>63</v>
      </c>
      <c r="H44" t="s">
        <v>237</v>
      </c>
      <c r="I44" t="s">
        <v>238</v>
      </c>
      <c r="J44" t="s">
        <v>81</v>
      </c>
      <c r="L44" t="s">
        <v>230</v>
      </c>
      <c r="M44" t="s">
        <v>83</v>
      </c>
      <c r="N44" t="s">
        <v>117</v>
      </c>
      <c r="O44" t="s">
        <v>239</v>
      </c>
      <c r="P44" t="s">
        <v>85</v>
      </c>
      <c r="Q44" t="s">
        <v>240</v>
      </c>
      <c r="R44" t="s">
        <v>73</v>
      </c>
      <c r="S44" t="s">
        <v>62</v>
      </c>
      <c r="T44" t="s">
        <v>62</v>
      </c>
      <c r="U44" t="s">
        <v>62</v>
      </c>
      <c r="V44" t="s">
        <v>62</v>
      </c>
      <c r="W44" t="s">
        <v>62</v>
      </c>
      <c r="X44" t="s">
        <v>74</v>
      </c>
      <c r="Y44" t="s">
        <v>62</v>
      </c>
      <c r="Z44" t="s">
        <v>62</v>
      </c>
      <c r="AA44" t="s">
        <v>62</v>
      </c>
      <c r="AB44" t="s">
        <v>62</v>
      </c>
      <c r="AC44" t="s">
        <v>62</v>
      </c>
      <c r="AD44" t="s">
        <v>62</v>
      </c>
      <c r="AE44" t="s">
        <v>62</v>
      </c>
      <c r="AF44" t="s">
        <v>62</v>
      </c>
      <c r="AG44" t="s">
        <v>62</v>
      </c>
      <c r="AH44" t="s">
        <v>62</v>
      </c>
      <c r="AI44" t="s">
        <v>62</v>
      </c>
      <c r="AJ44" t="s">
        <v>121</v>
      </c>
      <c r="AK44" t="s">
        <v>62</v>
      </c>
      <c r="AL44" t="s">
        <v>62</v>
      </c>
      <c r="AM44" t="s">
        <v>62</v>
      </c>
      <c r="AN44" t="s">
        <v>76</v>
      </c>
      <c r="AO44" t="s">
        <v>112</v>
      </c>
    </row>
    <row r="45" spans="1:51" x14ac:dyDescent="0.25">
      <c r="A45" t="s">
        <v>241</v>
      </c>
      <c r="B45">
        <v>36</v>
      </c>
      <c r="C45">
        <v>2026</v>
      </c>
      <c r="D45">
        <v>2</v>
      </c>
      <c r="E45">
        <v>32</v>
      </c>
      <c r="F45" t="s">
        <v>62</v>
      </c>
      <c r="G45" t="s">
        <v>63</v>
      </c>
      <c r="H45" t="s">
        <v>242</v>
      </c>
      <c r="I45" t="s">
        <v>243</v>
      </c>
      <c r="J45" t="s">
        <v>81</v>
      </c>
      <c r="L45" t="s">
        <v>82</v>
      </c>
      <c r="M45" t="s">
        <v>83</v>
      </c>
      <c r="N45" t="s">
        <v>244</v>
      </c>
      <c r="O45" t="s">
        <v>245</v>
      </c>
      <c r="P45" t="s">
        <v>246</v>
      </c>
      <c r="Q45" t="s">
        <v>247</v>
      </c>
      <c r="R45" t="s">
        <v>189</v>
      </c>
      <c r="S45" t="s">
        <v>62</v>
      </c>
      <c r="T45" t="s">
        <v>62</v>
      </c>
      <c r="U45" t="s">
        <v>74</v>
      </c>
      <c r="V45" t="s">
        <v>62</v>
      </c>
      <c r="W45" t="s">
        <v>62</v>
      </c>
      <c r="X45" t="s">
        <v>62</v>
      </c>
      <c r="Y45" t="s">
        <v>62</v>
      </c>
      <c r="Z45" t="s">
        <v>62</v>
      </c>
      <c r="AA45" t="s">
        <v>62</v>
      </c>
      <c r="AB45" t="s">
        <v>62</v>
      </c>
      <c r="AC45" t="s">
        <v>62</v>
      </c>
      <c r="AD45" t="s">
        <v>62</v>
      </c>
      <c r="AE45" t="s">
        <v>62</v>
      </c>
      <c r="AF45" t="s">
        <v>62</v>
      </c>
      <c r="AG45" t="s">
        <v>62</v>
      </c>
      <c r="AH45" t="s">
        <v>62</v>
      </c>
      <c r="AI45" t="s">
        <v>62</v>
      </c>
      <c r="AJ45" t="s">
        <v>75</v>
      </c>
      <c r="AK45" t="s">
        <v>62</v>
      </c>
      <c r="AL45" t="s">
        <v>62</v>
      </c>
      <c r="AM45" t="s">
        <v>62</v>
      </c>
      <c r="AN45" t="s">
        <v>76</v>
      </c>
      <c r="AO45" t="s">
        <v>99</v>
      </c>
    </row>
    <row r="46" spans="1:51" x14ac:dyDescent="0.25">
      <c r="A46" t="s">
        <v>241</v>
      </c>
      <c r="B46">
        <v>37</v>
      </c>
      <c r="C46">
        <v>2026</v>
      </c>
      <c r="D46">
        <v>2</v>
      </c>
      <c r="E46">
        <v>88</v>
      </c>
      <c r="F46" t="s">
        <v>62</v>
      </c>
      <c r="G46" t="s">
        <v>63</v>
      </c>
      <c r="H46" t="s">
        <v>79</v>
      </c>
      <c r="I46" t="s">
        <v>80</v>
      </c>
      <c r="J46" t="s">
        <v>81</v>
      </c>
      <c r="L46" t="s">
        <v>82</v>
      </c>
      <c r="M46" t="s">
        <v>83</v>
      </c>
      <c r="N46" t="s">
        <v>69</v>
      </c>
      <c r="O46" t="s">
        <v>248</v>
      </c>
      <c r="P46" t="s">
        <v>249</v>
      </c>
      <c r="Q46" t="s">
        <v>145</v>
      </c>
      <c r="R46" t="s">
        <v>73</v>
      </c>
      <c r="S46" t="s">
        <v>62</v>
      </c>
      <c r="T46" t="s">
        <v>62</v>
      </c>
      <c r="U46" t="s">
        <v>62</v>
      </c>
      <c r="V46" t="s">
        <v>62</v>
      </c>
      <c r="W46" t="s">
        <v>62</v>
      </c>
      <c r="X46" t="s">
        <v>62</v>
      </c>
      <c r="Y46" t="s">
        <v>62</v>
      </c>
      <c r="Z46" t="s">
        <v>62</v>
      </c>
      <c r="AA46" t="s">
        <v>74</v>
      </c>
      <c r="AB46" t="s">
        <v>62</v>
      </c>
      <c r="AC46" t="s">
        <v>62</v>
      </c>
      <c r="AD46" t="s">
        <v>62</v>
      </c>
      <c r="AE46" t="s">
        <v>62</v>
      </c>
      <c r="AF46" t="s">
        <v>62</v>
      </c>
      <c r="AG46" t="s">
        <v>62</v>
      </c>
      <c r="AH46" t="s">
        <v>62</v>
      </c>
      <c r="AI46" t="s">
        <v>62</v>
      </c>
      <c r="AJ46" t="s">
        <v>75</v>
      </c>
      <c r="AK46" t="s">
        <v>62</v>
      </c>
      <c r="AL46" t="s">
        <v>62</v>
      </c>
      <c r="AM46" t="s">
        <v>62</v>
      </c>
      <c r="AN46" t="s">
        <v>76</v>
      </c>
      <c r="AO46" t="s">
        <v>77</v>
      </c>
    </row>
    <row r="47" spans="1:51" x14ac:dyDescent="0.25">
      <c r="A47" t="s">
        <v>250</v>
      </c>
      <c r="B47">
        <v>38</v>
      </c>
      <c r="C47">
        <v>2026</v>
      </c>
      <c r="D47">
        <v>2</v>
      </c>
      <c r="E47">
        <v>7</v>
      </c>
      <c r="F47" t="s">
        <v>62</v>
      </c>
      <c r="G47" t="s">
        <v>63</v>
      </c>
      <c r="H47" t="s">
        <v>251</v>
      </c>
      <c r="I47" t="s">
        <v>252</v>
      </c>
      <c r="J47" t="s">
        <v>81</v>
      </c>
      <c r="L47" t="s">
        <v>67</v>
      </c>
      <c r="M47" t="s">
        <v>68</v>
      </c>
      <c r="N47" t="s">
        <v>244</v>
      </c>
      <c r="O47" t="s">
        <v>253</v>
      </c>
      <c r="P47" t="s">
        <v>254</v>
      </c>
      <c r="Q47" t="s">
        <v>255</v>
      </c>
      <c r="R47" t="s">
        <v>256</v>
      </c>
      <c r="S47" t="s">
        <v>62</v>
      </c>
      <c r="T47" t="s">
        <v>62</v>
      </c>
      <c r="U47" t="s">
        <v>74</v>
      </c>
      <c r="V47" t="s">
        <v>62</v>
      </c>
      <c r="W47" t="s">
        <v>62</v>
      </c>
      <c r="X47" t="s">
        <v>62</v>
      </c>
      <c r="Y47" t="s">
        <v>62</v>
      </c>
      <c r="Z47" t="s">
        <v>62</v>
      </c>
      <c r="AA47" t="s">
        <v>62</v>
      </c>
      <c r="AB47" t="s">
        <v>62</v>
      </c>
      <c r="AC47" t="s">
        <v>62</v>
      </c>
      <c r="AD47" t="s">
        <v>62</v>
      </c>
      <c r="AE47" t="s">
        <v>62</v>
      </c>
      <c r="AF47" t="s">
        <v>62</v>
      </c>
      <c r="AG47" t="s">
        <v>62</v>
      </c>
      <c r="AH47" t="s">
        <v>62</v>
      </c>
      <c r="AI47" t="s">
        <v>62</v>
      </c>
      <c r="AJ47" t="s">
        <v>75</v>
      </c>
      <c r="AK47" t="s">
        <v>62</v>
      </c>
      <c r="AL47" t="s">
        <v>62</v>
      </c>
      <c r="AM47" t="s">
        <v>62</v>
      </c>
      <c r="AN47" t="s">
        <v>76</v>
      </c>
      <c r="AO47" t="s">
        <v>99</v>
      </c>
    </row>
    <row r="48" spans="1:51" x14ac:dyDescent="0.25">
      <c r="A48" t="s">
        <v>250</v>
      </c>
      <c r="B48">
        <v>39</v>
      </c>
      <c r="C48">
        <v>2026</v>
      </c>
      <c r="D48">
        <v>2</v>
      </c>
      <c r="E48">
        <v>158</v>
      </c>
      <c r="F48" t="s">
        <v>62</v>
      </c>
      <c r="G48" t="s">
        <v>63</v>
      </c>
      <c r="H48" t="s">
        <v>257</v>
      </c>
      <c r="I48" t="s">
        <v>258</v>
      </c>
      <c r="J48" t="s">
        <v>66</v>
      </c>
      <c r="L48" t="s">
        <v>259</v>
      </c>
      <c r="M48" t="s">
        <v>68</v>
      </c>
      <c r="N48" t="s">
        <v>69</v>
      </c>
      <c r="O48" t="s">
        <v>128</v>
      </c>
      <c r="P48" t="s">
        <v>129</v>
      </c>
      <c r="Q48" t="s">
        <v>145</v>
      </c>
      <c r="R48" t="s">
        <v>130</v>
      </c>
      <c r="S48" t="s">
        <v>62</v>
      </c>
      <c r="T48" t="s">
        <v>62</v>
      </c>
      <c r="U48" t="s">
        <v>62</v>
      </c>
      <c r="V48" t="s">
        <v>62</v>
      </c>
      <c r="W48" t="s">
        <v>62</v>
      </c>
      <c r="X48" t="s">
        <v>62</v>
      </c>
      <c r="Y48" t="s">
        <v>62</v>
      </c>
      <c r="Z48" t="s">
        <v>62</v>
      </c>
      <c r="AA48" t="s">
        <v>74</v>
      </c>
      <c r="AB48" t="s">
        <v>62</v>
      </c>
      <c r="AC48" t="s">
        <v>62</v>
      </c>
      <c r="AD48" t="s">
        <v>62</v>
      </c>
      <c r="AE48" t="s">
        <v>62</v>
      </c>
      <c r="AF48" t="s">
        <v>62</v>
      </c>
      <c r="AG48" t="s">
        <v>62</v>
      </c>
      <c r="AH48" t="s">
        <v>62</v>
      </c>
      <c r="AI48" t="s">
        <v>62</v>
      </c>
      <c r="AJ48" t="s">
        <v>75</v>
      </c>
      <c r="AK48" t="s">
        <v>62</v>
      </c>
      <c r="AL48" t="s">
        <v>62</v>
      </c>
      <c r="AM48" t="s">
        <v>62</v>
      </c>
      <c r="AN48" t="s">
        <v>76</v>
      </c>
      <c r="AO48" t="s">
        <v>77</v>
      </c>
    </row>
    <row r="49" spans="1:51" x14ac:dyDescent="0.25">
      <c r="A49" t="s">
        <v>260</v>
      </c>
      <c r="B49">
        <v>40</v>
      </c>
      <c r="C49">
        <v>2026</v>
      </c>
      <c r="D49">
        <v>2</v>
      </c>
      <c r="E49">
        <v>10</v>
      </c>
      <c r="F49" t="s">
        <v>62</v>
      </c>
      <c r="G49" t="s">
        <v>63</v>
      </c>
      <c r="H49" t="s">
        <v>261</v>
      </c>
      <c r="I49" t="s">
        <v>262</v>
      </c>
      <c r="J49" t="s">
        <v>81</v>
      </c>
      <c r="L49" t="s">
        <v>67</v>
      </c>
      <c r="M49" t="s">
        <v>83</v>
      </c>
      <c r="N49" t="s">
        <v>69</v>
      </c>
      <c r="O49" t="s">
        <v>128</v>
      </c>
      <c r="P49" t="s">
        <v>129</v>
      </c>
      <c r="Q49" t="s">
        <v>145</v>
      </c>
      <c r="R49" t="s">
        <v>130</v>
      </c>
      <c r="S49" t="s">
        <v>62</v>
      </c>
      <c r="T49" t="s">
        <v>62</v>
      </c>
      <c r="U49" t="s">
        <v>62</v>
      </c>
      <c r="V49" t="s">
        <v>62</v>
      </c>
      <c r="W49" t="s">
        <v>62</v>
      </c>
      <c r="X49" t="s">
        <v>62</v>
      </c>
      <c r="Y49" t="s">
        <v>62</v>
      </c>
      <c r="Z49" t="s">
        <v>62</v>
      </c>
      <c r="AA49" t="s">
        <v>74</v>
      </c>
      <c r="AB49" t="s">
        <v>62</v>
      </c>
      <c r="AC49" t="s">
        <v>62</v>
      </c>
      <c r="AD49" t="s">
        <v>62</v>
      </c>
      <c r="AE49" t="s">
        <v>62</v>
      </c>
      <c r="AF49" t="s">
        <v>62</v>
      </c>
      <c r="AG49" t="s">
        <v>62</v>
      </c>
      <c r="AH49" t="s">
        <v>62</v>
      </c>
      <c r="AI49" t="s">
        <v>62</v>
      </c>
      <c r="AJ49" t="s">
        <v>75</v>
      </c>
      <c r="AK49" t="s">
        <v>62</v>
      </c>
      <c r="AL49" t="s">
        <v>62</v>
      </c>
      <c r="AM49" t="s">
        <v>62</v>
      </c>
      <c r="AN49" t="s">
        <v>76</v>
      </c>
      <c r="AO49" t="s">
        <v>77</v>
      </c>
    </row>
    <row r="50" spans="1:51" x14ac:dyDescent="0.25">
      <c r="A50" t="s">
        <v>263</v>
      </c>
      <c r="B50">
        <v>41</v>
      </c>
      <c r="C50">
        <v>2026</v>
      </c>
      <c r="D50">
        <v>2</v>
      </c>
      <c r="E50">
        <v>157</v>
      </c>
      <c r="F50" t="s">
        <v>62</v>
      </c>
      <c r="G50" t="s">
        <v>93</v>
      </c>
      <c r="H50" t="s">
        <v>143</v>
      </c>
      <c r="I50" t="s">
        <v>144</v>
      </c>
      <c r="J50" t="s">
        <v>66</v>
      </c>
      <c r="L50" t="s">
        <v>67</v>
      </c>
      <c r="M50" t="s">
        <v>68</v>
      </c>
      <c r="N50" t="s">
        <v>41</v>
      </c>
      <c r="O50" t="s">
        <v>264</v>
      </c>
      <c r="P50" t="s">
        <v>265</v>
      </c>
      <c r="Q50" t="s">
        <v>266</v>
      </c>
      <c r="R50" t="s">
        <v>267</v>
      </c>
      <c r="S50" t="s">
        <v>62</v>
      </c>
      <c r="T50" t="s">
        <v>62</v>
      </c>
      <c r="U50" t="s">
        <v>62</v>
      </c>
      <c r="V50" t="s">
        <v>74</v>
      </c>
      <c r="W50" t="s">
        <v>62</v>
      </c>
      <c r="X50" t="s">
        <v>62</v>
      </c>
      <c r="Y50" t="s">
        <v>62</v>
      </c>
      <c r="Z50" t="s">
        <v>62</v>
      </c>
      <c r="AA50" t="s">
        <v>62</v>
      </c>
      <c r="AB50" t="s">
        <v>62</v>
      </c>
      <c r="AC50" t="s">
        <v>62</v>
      </c>
      <c r="AD50" t="s">
        <v>62</v>
      </c>
      <c r="AE50" t="s">
        <v>62</v>
      </c>
      <c r="AF50" t="s">
        <v>62</v>
      </c>
      <c r="AG50" t="s">
        <v>62</v>
      </c>
      <c r="AH50" t="s">
        <v>62</v>
      </c>
      <c r="AI50" t="s">
        <v>62</v>
      </c>
      <c r="AJ50" t="s">
        <v>75</v>
      </c>
      <c r="AK50" t="s">
        <v>62</v>
      </c>
      <c r="AL50" t="s">
        <v>62</v>
      </c>
      <c r="AM50" t="s">
        <v>62</v>
      </c>
      <c r="AN50" t="s">
        <v>62</v>
      </c>
      <c r="AO50" t="s">
        <v>99</v>
      </c>
    </row>
    <row r="51" spans="1:51" x14ac:dyDescent="0.25">
      <c r="A51" t="s">
        <v>268</v>
      </c>
      <c r="B51">
        <v>42</v>
      </c>
      <c r="C51">
        <v>2026</v>
      </c>
      <c r="D51">
        <v>2</v>
      </c>
      <c r="E51">
        <v>12</v>
      </c>
      <c r="F51" t="s">
        <v>62</v>
      </c>
      <c r="G51" t="s">
        <v>63</v>
      </c>
      <c r="H51" t="s">
        <v>269</v>
      </c>
      <c r="I51" t="s">
        <v>270</v>
      </c>
      <c r="J51" t="s">
        <v>81</v>
      </c>
      <c r="L51" t="s">
        <v>82</v>
      </c>
      <c r="M51" t="s">
        <v>179</v>
      </c>
      <c r="N51" t="s">
        <v>117</v>
      </c>
      <c r="O51" t="s">
        <v>271</v>
      </c>
      <c r="P51" t="s">
        <v>272</v>
      </c>
      <c r="Q51" t="s">
        <v>273</v>
      </c>
      <c r="R51" t="s">
        <v>120</v>
      </c>
      <c r="S51" t="s">
        <v>62</v>
      </c>
      <c r="T51" t="s">
        <v>62</v>
      </c>
      <c r="U51" t="s">
        <v>62</v>
      </c>
      <c r="V51" t="s">
        <v>62</v>
      </c>
      <c r="W51" t="s">
        <v>62</v>
      </c>
      <c r="X51" t="s">
        <v>74</v>
      </c>
      <c r="Y51" t="s">
        <v>62</v>
      </c>
      <c r="Z51" t="s">
        <v>62</v>
      </c>
      <c r="AA51" t="s">
        <v>62</v>
      </c>
      <c r="AB51" t="s">
        <v>62</v>
      </c>
      <c r="AC51" t="s">
        <v>62</v>
      </c>
      <c r="AD51" t="s">
        <v>62</v>
      </c>
      <c r="AE51" t="s">
        <v>62</v>
      </c>
      <c r="AF51" t="s">
        <v>62</v>
      </c>
      <c r="AG51" t="s">
        <v>62</v>
      </c>
      <c r="AH51" t="s">
        <v>62</v>
      </c>
      <c r="AI51" t="s">
        <v>62</v>
      </c>
      <c r="AJ51" t="s">
        <v>121</v>
      </c>
      <c r="AK51" t="s">
        <v>62</v>
      </c>
      <c r="AL51" t="s">
        <v>62</v>
      </c>
      <c r="AM51" t="s">
        <v>62</v>
      </c>
      <c r="AN51" t="s">
        <v>76</v>
      </c>
      <c r="AO51" t="s">
        <v>77</v>
      </c>
    </row>
    <row r="52" spans="1:51" x14ac:dyDescent="0.25">
      <c r="A52" t="s">
        <v>268</v>
      </c>
      <c r="B52">
        <v>43</v>
      </c>
      <c r="C52">
        <v>2026</v>
      </c>
      <c r="D52">
        <v>2</v>
      </c>
      <c r="E52">
        <v>247</v>
      </c>
      <c r="F52" t="s">
        <v>62</v>
      </c>
      <c r="G52" t="s">
        <v>63</v>
      </c>
      <c r="H52" t="s">
        <v>274</v>
      </c>
      <c r="I52" t="s">
        <v>275</v>
      </c>
      <c r="J52" t="s">
        <v>66</v>
      </c>
      <c r="L52" t="s">
        <v>82</v>
      </c>
      <c r="M52" t="s">
        <v>83</v>
      </c>
      <c r="N52" t="s">
        <v>117</v>
      </c>
      <c r="O52" t="s">
        <v>124</v>
      </c>
      <c r="P52" t="s">
        <v>85</v>
      </c>
      <c r="Q52" t="s">
        <v>276</v>
      </c>
      <c r="R52" t="s">
        <v>73</v>
      </c>
      <c r="S52" t="s">
        <v>62</v>
      </c>
      <c r="T52" t="s">
        <v>62</v>
      </c>
      <c r="U52" t="s">
        <v>62</v>
      </c>
      <c r="V52" t="s">
        <v>62</v>
      </c>
      <c r="W52" t="s">
        <v>62</v>
      </c>
      <c r="X52" t="s">
        <v>74</v>
      </c>
      <c r="Y52" t="s">
        <v>62</v>
      </c>
      <c r="Z52" t="s">
        <v>62</v>
      </c>
      <c r="AA52" t="s">
        <v>62</v>
      </c>
      <c r="AB52" t="s">
        <v>62</v>
      </c>
      <c r="AC52" t="s">
        <v>62</v>
      </c>
      <c r="AD52" t="s">
        <v>62</v>
      </c>
      <c r="AE52" t="s">
        <v>62</v>
      </c>
      <c r="AF52" t="s">
        <v>62</v>
      </c>
      <c r="AG52" t="s">
        <v>62</v>
      </c>
      <c r="AH52" t="s">
        <v>62</v>
      </c>
      <c r="AI52" t="s">
        <v>62</v>
      </c>
      <c r="AJ52" t="s">
        <v>121</v>
      </c>
      <c r="AK52" t="s">
        <v>62</v>
      </c>
      <c r="AL52" t="s">
        <v>62</v>
      </c>
      <c r="AM52" t="s">
        <v>62</v>
      </c>
      <c r="AN52" t="s">
        <v>76</v>
      </c>
      <c r="AO52" t="s">
        <v>77</v>
      </c>
    </row>
    <row r="53" spans="1:51" x14ac:dyDescent="0.25">
      <c r="A53" t="s">
        <v>268</v>
      </c>
      <c r="B53">
        <v>44</v>
      </c>
      <c r="C53">
        <v>2026</v>
      </c>
      <c r="D53">
        <v>2</v>
      </c>
      <c r="E53">
        <v>14</v>
      </c>
      <c r="F53" t="s">
        <v>62</v>
      </c>
      <c r="G53" t="s">
        <v>63</v>
      </c>
      <c r="H53" t="s">
        <v>277</v>
      </c>
      <c r="I53" t="s">
        <v>278</v>
      </c>
      <c r="J53" t="s">
        <v>81</v>
      </c>
      <c r="L53" t="s">
        <v>82</v>
      </c>
      <c r="M53" t="s">
        <v>83</v>
      </c>
      <c r="N53" t="s">
        <v>117</v>
      </c>
      <c r="O53" t="s">
        <v>279</v>
      </c>
      <c r="P53" t="s">
        <v>280</v>
      </c>
      <c r="Q53" t="s">
        <v>281</v>
      </c>
      <c r="R53" t="s">
        <v>73</v>
      </c>
      <c r="S53" t="s">
        <v>62</v>
      </c>
      <c r="T53" t="s">
        <v>62</v>
      </c>
      <c r="U53" t="s">
        <v>62</v>
      </c>
      <c r="V53" t="s">
        <v>62</v>
      </c>
      <c r="W53" t="s">
        <v>62</v>
      </c>
      <c r="X53" t="s">
        <v>74</v>
      </c>
      <c r="Y53" t="s">
        <v>62</v>
      </c>
      <c r="Z53" t="s">
        <v>62</v>
      </c>
      <c r="AA53" t="s">
        <v>62</v>
      </c>
      <c r="AB53" t="s">
        <v>62</v>
      </c>
      <c r="AC53" t="s">
        <v>62</v>
      </c>
      <c r="AD53" t="s">
        <v>62</v>
      </c>
      <c r="AE53" t="s">
        <v>62</v>
      </c>
      <c r="AF53" t="s">
        <v>62</v>
      </c>
      <c r="AG53" t="s">
        <v>62</v>
      </c>
      <c r="AH53" t="s">
        <v>62</v>
      </c>
      <c r="AI53" t="s">
        <v>62</v>
      </c>
      <c r="AJ53" t="s">
        <v>121</v>
      </c>
      <c r="AK53" t="s">
        <v>62</v>
      </c>
      <c r="AL53" t="s">
        <v>62</v>
      </c>
      <c r="AM53" t="s">
        <v>62</v>
      </c>
      <c r="AN53" t="s">
        <v>76</v>
      </c>
      <c r="AO53" t="s">
        <v>77</v>
      </c>
    </row>
    <row r="54" spans="1:51" x14ac:dyDescent="0.25">
      <c r="A54" t="s">
        <v>282</v>
      </c>
      <c r="B54">
        <v>45</v>
      </c>
      <c r="C54">
        <v>2026</v>
      </c>
      <c r="D54">
        <v>2</v>
      </c>
      <c r="E54">
        <v>243</v>
      </c>
      <c r="F54" t="s">
        <v>62</v>
      </c>
      <c r="G54" t="s">
        <v>93</v>
      </c>
      <c r="H54" t="s">
        <v>283</v>
      </c>
      <c r="I54" t="s">
        <v>284</v>
      </c>
      <c r="J54" t="s">
        <v>66</v>
      </c>
      <c r="L54" t="s">
        <v>285</v>
      </c>
      <c r="M54" t="s">
        <v>286</v>
      </c>
      <c r="N54" t="s">
        <v>41</v>
      </c>
      <c r="O54" t="s">
        <v>287</v>
      </c>
      <c r="P54" t="s">
        <v>288</v>
      </c>
      <c r="Q54" t="s">
        <v>289</v>
      </c>
      <c r="R54" t="s">
        <v>290</v>
      </c>
      <c r="S54" t="s">
        <v>62</v>
      </c>
      <c r="T54" t="s">
        <v>62</v>
      </c>
      <c r="U54" t="s">
        <v>62</v>
      </c>
      <c r="V54" t="s">
        <v>74</v>
      </c>
      <c r="W54" t="s">
        <v>62</v>
      </c>
      <c r="X54" t="s">
        <v>62</v>
      </c>
      <c r="Y54" t="s">
        <v>62</v>
      </c>
      <c r="Z54" t="s">
        <v>62</v>
      </c>
      <c r="AA54" t="s">
        <v>62</v>
      </c>
      <c r="AB54" t="s">
        <v>62</v>
      </c>
      <c r="AC54" t="s">
        <v>62</v>
      </c>
      <c r="AD54" t="s">
        <v>62</v>
      </c>
      <c r="AE54" t="s">
        <v>62</v>
      </c>
      <c r="AF54" t="s">
        <v>62</v>
      </c>
      <c r="AG54" t="s">
        <v>62</v>
      </c>
      <c r="AH54" t="s">
        <v>62</v>
      </c>
      <c r="AI54" t="s">
        <v>62</v>
      </c>
      <c r="AJ54" t="s">
        <v>75</v>
      </c>
      <c r="AK54" t="s">
        <v>62</v>
      </c>
      <c r="AL54" t="s">
        <v>62</v>
      </c>
      <c r="AM54" t="s">
        <v>62</v>
      </c>
      <c r="AN54" t="s">
        <v>62</v>
      </c>
      <c r="AO54" t="s">
        <v>99</v>
      </c>
    </row>
    <row r="55" spans="1:51" x14ac:dyDescent="0.25">
      <c r="A55" t="s">
        <v>291</v>
      </c>
      <c r="B55">
        <v>46</v>
      </c>
      <c r="C55">
        <v>2026</v>
      </c>
      <c r="D55">
        <v>2</v>
      </c>
      <c r="E55">
        <v>12</v>
      </c>
      <c r="F55" t="s">
        <v>62</v>
      </c>
      <c r="G55" t="s">
        <v>93</v>
      </c>
      <c r="H55" t="s">
        <v>292</v>
      </c>
      <c r="I55" t="s">
        <v>293</v>
      </c>
      <c r="J55" t="s">
        <v>81</v>
      </c>
      <c r="L55" t="s">
        <v>67</v>
      </c>
      <c r="M55" t="s">
        <v>171</v>
      </c>
      <c r="N55" t="s">
        <v>41</v>
      </c>
      <c r="O55" t="s">
        <v>134</v>
      </c>
      <c r="P55" t="s">
        <v>135</v>
      </c>
      <c r="Q55" t="s">
        <v>136</v>
      </c>
      <c r="R55" t="s">
        <v>91</v>
      </c>
      <c r="S55" t="s">
        <v>62</v>
      </c>
      <c r="T55" t="s">
        <v>62</v>
      </c>
      <c r="U55" t="s">
        <v>62</v>
      </c>
      <c r="V55" t="s">
        <v>74</v>
      </c>
      <c r="W55" t="s">
        <v>62</v>
      </c>
      <c r="X55" t="s">
        <v>62</v>
      </c>
      <c r="Y55" t="s">
        <v>62</v>
      </c>
      <c r="Z55" t="s">
        <v>62</v>
      </c>
      <c r="AA55" t="s">
        <v>62</v>
      </c>
      <c r="AB55" t="s">
        <v>62</v>
      </c>
      <c r="AC55" t="s">
        <v>62</v>
      </c>
      <c r="AD55" t="s">
        <v>62</v>
      </c>
      <c r="AE55" t="s">
        <v>62</v>
      </c>
      <c r="AF55" t="s">
        <v>62</v>
      </c>
      <c r="AG55" t="s">
        <v>62</v>
      </c>
      <c r="AH55" t="s">
        <v>62</v>
      </c>
      <c r="AI55" t="s">
        <v>62</v>
      </c>
      <c r="AJ55" t="s">
        <v>75</v>
      </c>
      <c r="AK55" t="s">
        <v>62</v>
      </c>
      <c r="AL55" t="s">
        <v>62</v>
      </c>
      <c r="AM55" t="s">
        <v>62</v>
      </c>
      <c r="AN55" t="s">
        <v>62</v>
      </c>
      <c r="AO55" t="s">
        <v>99</v>
      </c>
    </row>
    <row r="56" spans="1:51" x14ac:dyDescent="0.25">
      <c r="A56" t="s">
        <v>294</v>
      </c>
      <c r="B56">
        <v>47</v>
      </c>
      <c r="C56">
        <v>2026</v>
      </c>
      <c r="D56">
        <v>3</v>
      </c>
      <c r="E56">
        <v>13</v>
      </c>
      <c r="F56" t="s">
        <v>62</v>
      </c>
      <c r="G56" t="s">
        <v>63</v>
      </c>
      <c r="H56" t="s">
        <v>295</v>
      </c>
      <c r="I56" t="s">
        <v>296</v>
      </c>
      <c r="J56" t="s">
        <v>66</v>
      </c>
      <c r="L56" t="s">
        <v>67</v>
      </c>
      <c r="M56" t="s">
        <v>68</v>
      </c>
      <c r="N56" t="s">
        <v>244</v>
      </c>
      <c r="O56" t="s">
        <v>254</v>
      </c>
      <c r="P56" t="s">
        <v>254</v>
      </c>
      <c r="Q56" t="s">
        <v>297</v>
      </c>
      <c r="R56" t="s">
        <v>189</v>
      </c>
      <c r="S56" t="s">
        <v>62</v>
      </c>
      <c r="T56" t="s">
        <v>62</v>
      </c>
      <c r="U56" t="s">
        <v>74</v>
      </c>
      <c r="V56" t="s">
        <v>62</v>
      </c>
      <c r="W56" t="s">
        <v>62</v>
      </c>
      <c r="X56" t="s">
        <v>62</v>
      </c>
      <c r="Y56" t="s">
        <v>62</v>
      </c>
      <c r="Z56" t="s">
        <v>62</v>
      </c>
      <c r="AA56" t="s">
        <v>62</v>
      </c>
      <c r="AB56" t="s">
        <v>62</v>
      </c>
      <c r="AC56" t="s">
        <v>62</v>
      </c>
      <c r="AD56" t="s">
        <v>62</v>
      </c>
      <c r="AE56" t="s">
        <v>62</v>
      </c>
      <c r="AF56" t="s">
        <v>62</v>
      </c>
      <c r="AG56" t="s">
        <v>62</v>
      </c>
      <c r="AH56" t="s">
        <v>62</v>
      </c>
      <c r="AI56" t="s">
        <v>62</v>
      </c>
      <c r="AJ56" t="s">
        <v>75</v>
      </c>
      <c r="AK56" t="s">
        <v>62</v>
      </c>
      <c r="AL56" t="s">
        <v>62</v>
      </c>
      <c r="AM56" t="s">
        <v>62</v>
      </c>
      <c r="AN56" t="s">
        <v>76</v>
      </c>
      <c r="AO56" t="s">
        <v>99</v>
      </c>
    </row>
    <row r="57" spans="1:51" x14ac:dyDescent="0.25">
      <c r="A57" t="s">
        <v>294</v>
      </c>
      <c r="B57">
        <v>48</v>
      </c>
      <c r="C57">
        <v>2026</v>
      </c>
      <c r="D57">
        <v>3</v>
      </c>
      <c r="E57">
        <v>33</v>
      </c>
      <c r="F57" t="s">
        <v>62</v>
      </c>
      <c r="G57" t="s">
        <v>93</v>
      </c>
      <c r="H57" t="s">
        <v>298</v>
      </c>
      <c r="I57" t="s">
        <v>299</v>
      </c>
      <c r="J57" t="s">
        <v>66</v>
      </c>
      <c r="L57" t="s">
        <v>67</v>
      </c>
      <c r="M57" t="s">
        <v>68</v>
      </c>
      <c r="N57" t="s">
        <v>108</v>
      </c>
      <c r="O57" t="s">
        <v>111</v>
      </c>
      <c r="P57" t="s">
        <v>110</v>
      </c>
      <c r="Q57" t="s">
        <v>111</v>
      </c>
      <c r="R57" t="s">
        <v>91</v>
      </c>
      <c r="S57" t="s">
        <v>62</v>
      </c>
      <c r="T57" t="s">
        <v>62</v>
      </c>
      <c r="U57" t="s">
        <v>62</v>
      </c>
      <c r="V57" t="s">
        <v>62</v>
      </c>
      <c r="W57" t="s">
        <v>74</v>
      </c>
      <c r="X57" t="s">
        <v>62</v>
      </c>
      <c r="Y57" t="s">
        <v>62</v>
      </c>
      <c r="Z57" t="s">
        <v>62</v>
      </c>
      <c r="AA57" t="s">
        <v>62</v>
      </c>
      <c r="AB57" t="s">
        <v>62</v>
      </c>
      <c r="AC57" t="s">
        <v>62</v>
      </c>
      <c r="AD57" t="s">
        <v>62</v>
      </c>
      <c r="AE57" t="s">
        <v>62</v>
      </c>
      <c r="AF57" t="s">
        <v>62</v>
      </c>
      <c r="AG57" t="s">
        <v>62</v>
      </c>
      <c r="AH57" t="s">
        <v>62</v>
      </c>
      <c r="AI57" t="s">
        <v>62</v>
      </c>
      <c r="AJ57" t="s">
        <v>75</v>
      </c>
      <c r="AK57" t="s">
        <v>62</v>
      </c>
      <c r="AL57" t="s">
        <v>62</v>
      </c>
      <c r="AM57" t="s">
        <v>62</v>
      </c>
      <c r="AN57" t="s">
        <v>62</v>
      </c>
      <c r="AO57" t="s">
        <v>112</v>
      </c>
    </row>
    <row r="58" spans="1:51" x14ac:dyDescent="0.25">
      <c r="A58" t="s">
        <v>300</v>
      </c>
      <c r="B58">
        <v>49</v>
      </c>
      <c r="C58">
        <v>2026</v>
      </c>
      <c r="D58">
        <v>3</v>
      </c>
      <c r="E58">
        <v>83</v>
      </c>
      <c r="F58" t="s">
        <v>62</v>
      </c>
      <c r="G58" t="s">
        <v>63</v>
      </c>
      <c r="H58" t="s">
        <v>301</v>
      </c>
      <c r="I58" t="s">
        <v>302</v>
      </c>
      <c r="J58" t="s">
        <v>81</v>
      </c>
      <c r="L58" t="s">
        <v>82</v>
      </c>
      <c r="M58" t="s">
        <v>68</v>
      </c>
      <c r="N58" t="s">
        <v>117</v>
      </c>
      <c r="O58" t="s">
        <v>303</v>
      </c>
      <c r="P58" t="s">
        <v>97</v>
      </c>
      <c r="Q58" t="s">
        <v>304</v>
      </c>
      <c r="R58" t="s">
        <v>73</v>
      </c>
      <c r="S58" t="s">
        <v>62</v>
      </c>
      <c r="T58" t="s">
        <v>62</v>
      </c>
      <c r="U58" t="s">
        <v>62</v>
      </c>
      <c r="V58" t="s">
        <v>62</v>
      </c>
      <c r="W58" t="s">
        <v>62</v>
      </c>
      <c r="X58" t="s">
        <v>74</v>
      </c>
      <c r="Y58" t="s">
        <v>62</v>
      </c>
      <c r="Z58" t="s">
        <v>62</v>
      </c>
      <c r="AA58" t="s">
        <v>62</v>
      </c>
      <c r="AB58" t="s">
        <v>62</v>
      </c>
      <c r="AC58" t="s">
        <v>62</v>
      </c>
      <c r="AD58" t="s">
        <v>62</v>
      </c>
      <c r="AE58" t="s">
        <v>62</v>
      </c>
      <c r="AF58" t="s">
        <v>62</v>
      </c>
      <c r="AG58" t="s">
        <v>62</v>
      </c>
      <c r="AH58" t="s">
        <v>62</v>
      </c>
      <c r="AI58" t="s">
        <v>62</v>
      </c>
      <c r="AJ58" t="s">
        <v>121</v>
      </c>
      <c r="AK58" t="s">
        <v>62</v>
      </c>
      <c r="AL58" t="s">
        <v>62</v>
      </c>
      <c r="AM58" t="s">
        <v>62</v>
      </c>
      <c r="AN58" t="s">
        <v>76</v>
      </c>
      <c r="AO58" t="s">
        <v>112</v>
      </c>
    </row>
    <row r="59" spans="1:51" x14ac:dyDescent="0.25">
      <c r="A59" t="s">
        <v>305</v>
      </c>
      <c r="B59">
        <v>50</v>
      </c>
      <c r="C59">
        <v>2026</v>
      </c>
      <c r="D59">
        <v>3</v>
      </c>
      <c r="E59">
        <v>96</v>
      </c>
      <c r="F59" t="s">
        <v>62</v>
      </c>
      <c r="G59" t="s">
        <v>63</v>
      </c>
      <c r="H59" t="s">
        <v>306</v>
      </c>
      <c r="I59" t="s">
        <v>307</v>
      </c>
      <c r="J59" t="s">
        <v>81</v>
      </c>
      <c r="L59" t="s">
        <v>82</v>
      </c>
      <c r="M59" t="s">
        <v>179</v>
      </c>
      <c r="N59" t="s">
        <v>117</v>
      </c>
      <c r="O59" t="s">
        <v>180</v>
      </c>
      <c r="P59" t="s">
        <v>181</v>
      </c>
      <c r="Q59" t="s">
        <v>182</v>
      </c>
      <c r="R59" t="s">
        <v>183</v>
      </c>
      <c r="S59" t="s">
        <v>62</v>
      </c>
      <c r="T59" t="s">
        <v>62</v>
      </c>
      <c r="U59" t="s">
        <v>62</v>
      </c>
      <c r="V59" t="s">
        <v>62</v>
      </c>
      <c r="W59" t="s">
        <v>62</v>
      </c>
      <c r="X59" t="s">
        <v>74</v>
      </c>
      <c r="Y59" t="s">
        <v>62</v>
      </c>
      <c r="Z59" t="s">
        <v>62</v>
      </c>
      <c r="AA59" t="s">
        <v>62</v>
      </c>
      <c r="AB59" t="s">
        <v>62</v>
      </c>
      <c r="AC59" t="s">
        <v>62</v>
      </c>
      <c r="AD59" t="s">
        <v>62</v>
      </c>
      <c r="AE59" t="s">
        <v>62</v>
      </c>
      <c r="AF59" t="s">
        <v>62</v>
      </c>
      <c r="AG59" t="s">
        <v>62</v>
      </c>
      <c r="AH59" t="s">
        <v>62</v>
      </c>
      <c r="AI59" t="s">
        <v>62</v>
      </c>
      <c r="AJ59" t="s">
        <v>121</v>
      </c>
      <c r="AK59" t="s">
        <v>62</v>
      </c>
      <c r="AL59" t="s">
        <v>62</v>
      </c>
      <c r="AM59" t="s">
        <v>62</v>
      </c>
      <c r="AN59" t="s">
        <v>76</v>
      </c>
      <c r="AO59" t="s">
        <v>99</v>
      </c>
    </row>
    <row r="60" spans="1:51" x14ac:dyDescent="0.25">
      <c r="A60" t="s">
        <v>308</v>
      </c>
      <c r="B60">
        <v>51</v>
      </c>
      <c r="C60">
        <v>2026</v>
      </c>
      <c r="D60">
        <v>3</v>
      </c>
      <c r="E60">
        <v>244</v>
      </c>
      <c r="F60" t="s">
        <v>62</v>
      </c>
      <c r="G60" t="s">
        <v>63</v>
      </c>
      <c r="H60" t="s">
        <v>309</v>
      </c>
      <c r="I60" t="s">
        <v>310</v>
      </c>
      <c r="J60" t="s">
        <v>66</v>
      </c>
      <c r="L60" t="s">
        <v>311</v>
      </c>
      <c r="M60" t="s">
        <v>179</v>
      </c>
      <c r="N60" t="s">
        <v>69</v>
      </c>
      <c r="O60" t="s">
        <v>312</v>
      </c>
      <c r="P60" t="s">
        <v>313</v>
      </c>
      <c r="Q60" t="s">
        <v>314</v>
      </c>
      <c r="R60" t="s">
        <v>120</v>
      </c>
      <c r="S60" t="s">
        <v>62</v>
      </c>
      <c r="T60" t="s">
        <v>62</v>
      </c>
      <c r="U60" t="s">
        <v>62</v>
      </c>
      <c r="V60" t="s">
        <v>62</v>
      </c>
      <c r="W60" t="s">
        <v>62</v>
      </c>
      <c r="X60" t="s">
        <v>62</v>
      </c>
      <c r="Y60" t="s">
        <v>62</v>
      </c>
      <c r="Z60" t="s">
        <v>62</v>
      </c>
      <c r="AA60" t="s">
        <v>74</v>
      </c>
      <c r="AB60" t="s">
        <v>62</v>
      </c>
      <c r="AC60" t="s">
        <v>62</v>
      </c>
      <c r="AD60" t="s">
        <v>62</v>
      </c>
      <c r="AE60" t="s">
        <v>62</v>
      </c>
      <c r="AF60" t="s">
        <v>62</v>
      </c>
      <c r="AG60" t="s">
        <v>62</v>
      </c>
      <c r="AH60" t="s">
        <v>62</v>
      </c>
      <c r="AI60" t="s">
        <v>62</v>
      </c>
      <c r="AJ60" t="s">
        <v>75</v>
      </c>
      <c r="AK60" t="s">
        <v>62</v>
      </c>
      <c r="AL60" t="s">
        <v>62</v>
      </c>
      <c r="AM60" t="s">
        <v>62</v>
      </c>
      <c r="AN60" t="s">
        <v>76</v>
      </c>
      <c r="AO60" t="s">
        <v>99</v>
      </c>
    </row>
    <row r="61" spans="1:51" x14ac:dyDescent="0.25">
      <c r="A61" t="s">
        <v>308</v>
      </c>
      <c r="B61">
        <v>52</v>
      </c>
      <c r="C61">
        <v>2026</v>
      </c>
      <c r="D61">
        <v>3</v>
      </c>
      <c r="E61">
        <v>17</v>
      </c>
      <c r="F61" t="s">
        <v>62</v>
      </c>
      <c r="G61" t="s">
        <v>63</v>
      </c>
      <c r="H61" t="s">
        <v>315</v>
      </c>
      <c r="I61" t="s">
        <v>316</v>
      </c>
      <c r="J61" t="s">
        <v>66</v>
      </c>
      <c r="L61" t="s">
        <v>82</v>
      </c>
      <c r="M61" t="s">
        <v>68</v>
      </c>
      <c r="N61" t="s">
        <v>117</v>
      </c>
      <c r="O61" t="s">
        <v>317</v>
      </c>
      <c r="P61" t="s">
        <v>85</v>
      </c>
      <c r="Q61" t="s">
        <v>318</v>
      </c>
      <c r="R61" t="s">
        <v>73</v>
      </c>
      <c r="S61" t="s">
        <v>62</v>
      </c>
      <c r="T61" t="s">
        <v>62</v>
      </c>
      <c r="U61" t="s">
        <v>62</v>
      </c>
      <c r="V61" t="s">
        <v>62</v>
      </c>
      <c r="W61" t="s">
        <v>62</v>
      </c>
      <c r="X61" t="s">
        <v>74</v>
      </c>
      <c r="Y61" t="s">
        <v>62</v>
      </c>
      <c r="Z61" t="s">
        <v>62</v>
      </c>
      <c r="AA61" t="s">
        <v>62</v>
      </c>
      <c r="AB61" t="s">
        <v>62</v>
      </c>
      <c r="AC61" t="s">
        <v>62</v>
      </c>
      <c r="AD61" t="s">
        <v>62</v>
      </c>
      <c r="AE61" t="s">
        <v>62</v>
      </c>
      <c r="AF61" t="s">
        <v>62</v>
      </c>
      <c r="AG61" t="s">
        <v>62</v>
      </c>
      <c r="AH61" t="s">
        <v>62</v>
      </c>
      <c r="AI61" t="s">
        <v>62</v>
      </c>
      <c r="AJ61" t="s">
        <v>121</v>
      </c>
      <c r="AK61" t="s">
        <v>62</v>
      </c>
      <c r="AL61" t="s">
        <v>62</v>
      </c>
      <c r="AM61" t="s">
        <v>62</v>
      </c>
      <c r="AN61" t="s">
        <v>76</v>
      </c>
      <c r="AO61" t="s">
        <v>77</v>
      </c>
    </row>
    <row r="62" spans="1:51" x14ac:dyDescent="0.25">
      <c r="A62" t="s">
        <v>308</v>
      </c>
      <c r="B62">
        <v>53</v>
      </c>
      <c r="C62">
        <v>2026</v>
      </c>
      <c r="D62">
        <v>3</v>
      </c>
      <c r="E62">
        <v>34</v>
      </c>
      <c r="F62" t="s">
        <v>62</v>
      </c>
      <c r="G62" t="s">
        <v>63</v>
      </c>
      <c r="H62" t="s">
        <v>319</v>
      </c>
      <c r="I62" t="s">
        <v>320</v>
      </c>
      <c r="J62" t="s">
        <v>66</v>
      </c>
      <c r="L62" t="s">
        <v>82</v>
      </c>
      <c r="M62" t="s">
        <v>68</v>
      </c>
      <c r="N62" t="s">
        <v>117</v>
      </c>
      <c r="O62" t="s">
        <v>321</v>
      </c>
      <c r="P62" t="s">
        <v>322</v>
      </c>
      <c r="Q62" t="s">
        <v>323</v>
      </c>
      <c r="R62" t="s">
        <v>256</v>
      </c>
      <c r="S62" t="s">
        <v>62</v>
      </c>
      <c r="T62" t="s">
        <v>62</v>
      </c>
      <c r="U62" t="s">
        <v>62</v>
      </c>
      <c r="V62" t="s">
        <v>62</v>
      </c>
      <c r="W62" t="s">
        <v>62</v>
      </c>
      <c r="X62" t="s">
        <v>74</v>
      </c>
      <c r="Y62" t="s">
        <v>62</v>
      </c>
      <c r="Z62" t="s">
        <v>62</v>
      </c>
      <c r="AA62" t="s">
        <v>62</v>
      </c>
      <c r="AB62" t="s">
        <v>62</v>
      </c>
      <c r="AC62" t="s">
        <v>62</v>
      </c>
      <c r="AD62" t="s">
        <v>62</v>
      </c>
      <c r="AE62" t="s">
        <v>62</v>
      </c>
      <c r="AF62" t="s">
        <v>62</v>
      </c>
      <c r="AG62" t="s">
        <v>62</v>
      </c>
      <c r="AH62" t="s">
        <v>62</v>
      </c>
      <c r="AI62" t="s">
        <v>62</v>
      </c>
      <c r="AJ62" t="s">
        <v>121</v>
      </c>
      <c r="AK62" t="s">
        <v>62</v>
      </c>
      <c r="AL62" t="s">
        <v>62</v>
      </c>
      <c r="AM62" t="s">
        <v>62</v>
      </c>
      <c r="AN62" t="s">
        <v>76</v>
      </c>
      <c r="AO62" t="s">
        <v>77</v>
      </c>
    </row>
    <row r="63" spans="1:51" x14ac:dyDescent="0.25">
      <c r="A63" t="s">
        <v>308</v>
      </c>
      <c r="B63">
        <v>54</v>
      </c>
      <c r="C63">
        <v>2026</v>
      </c>
      <c r="D63">
        <v>3</v>
      </c>
      <c r="E63">
        <v>322</v>
      </c>
      <c r="F63" t="s">
        <v>62</v>
      </c>
      <c r="G63" t="s">
        <v>63</v>
      </c>
      <c r="H63" t="s">
        <v>324</v>
      </c>
      <c r="I63" t="s">
        <v>325</v>
      </c>
      <c r="J63" t="s">
        <v>81</v>
      </c>
      <c r="L63" t="s">
        <v>82</v>
      </c>
      <c r="M63" t="s">
        <v>68</v>
      </c>
      <c r="N63" t="s">
        <v>117</v>
      </c>
      <c r="O63" t="s">
        <v>326</v>
      </c>
      <c r="P63" t="s">
        <v>327</v>
      </c>
      <c r="Q63" t="s">
        <v>328</v>
      </c>
      <c r="R63" t="s">
        <v>91</v>
      </c>
      <c r="S63" t="s">
        <v>62</v>
      </c>
      <c r="T63" t="s">
        <v>62</v>
      </c>
      <c r="U63" t="s">
        <v>62</v>
      </c>
      <c r="V63" t="s">
        <v>62</v>
      </c>
      <c r="W63" t="s">
        <v>62</v>
      </c>
      <c r="X63" t="s">
        <v>74</v>
      </c>
      <c r="Y63" t="s">
        <v>62</v>
      </c>
      <c r="Z63" t="s">
        <v>62</v>
      </c>
      <c r="AA63" t="s">
        <v>62</v>
      </c>
      <c r="AB63" t="s">
        <v>62</v>
      </c>
      <c r="AC63" t="s">
        <v>62</v>
      </c>
      <c r="AD63" t="s">
        <v>62</v>
      </c>
      <c r="AE63" t="s">
        <v>62</v>
      </c>
      <c r="AF63" t="s">
        <v>62</v>
      </c>
      <c r="AG63" t="s">
        <v>62</v>
      </c>
      <c r="AH63" t="s">
        <v>62</v>
      </c>
      <c r="AI63" t="s">
        <v>62</v>
      </c>
      <c r="AJ63" t="s">
        <v>121</v>
      </c>
      <c r="AK63" t="s">
        <v>62</v>
      </c>
      <c r="AL63" t="s">
        <v>62</v>
      </c>
      <c r="AM63" t="s">
        <v>62</v>
      </c>
      <c r="AN63" t="s">
        <v>76</v>
      </c>
      <c r="AO63" t="s">
        <v>77</v>
      </c>
    </row>
    <row r="64" spans="1:51" x14ac:dyDescent="0.25">
      <c r="A64" t="s">
        <v>329</v>
      </c>
      <c r="B64">
        <v>55</v>
      </c>
      <c r="C64">
        <v>2026</v>
      </c>
      <c r="D64">
        <v>3</v>
      </c>
      <c r="E64">
        <v>18</v>
      </c>
      <c r="F64" t="s">
        <v>62</v>
      </c>
      <c r="G64" t="s">
        <v>63</v>
      </c>
      <c r="H64" t="s">
        <v>330</v>
      </c>
      <c r="I64" t="s">
        <v>331</v>
      </c>
      <c r="J64" t="s">
        <v>66</v>
      </c>
      <c r="L64" t="s">
        <v>82</v>
      </c>
      <c r="M64" t="s">
        <v>83</v>
      </c>
      <c r="N64" t="s">
        <v>117</v>
      </c>
      <c r="O64" t="s">
        <v>332</v>
      </c>
      <c r="P64" t="s">
        <v>265</v>
      </c>
      <c r="Q64" t="s">
        <v>333</v>
      </c>
      <c r="R64" t="s">
        <v>267</v>
      </c>
      <c r="S64" t="s">
        <v>62</v>
      </c>
      <c r="T64" t="s">
        <v>62</v>
      </c>
      <c r="U64" t="s">
        <v>62</v>
      </c>
      <c r="V64" t="s">
        <v>62</v>
      </c>
      <c r="W64" t="s">
        <v>62</v>
      </c>
      <c r="X64" t="s">
        <v>74</v>
      </c>
      <c r="Y64" t="s">
        <v>62</v>
      </c>
      <c r="Z64" t="s">
        <v>62</v>
      </c>
      <c r="AA64" t="s">
        <v>62</v>
      </c>
      <c r="AB64" t="s">
        <v>62</v>
      </c>
      <c r="AC64" t="s">
        <v>62</v>
      </c>
      <c r="AD64" t="s">
        <v>62</v>
      </c>
      <c r="AE64" t="s">
        <v>62</v>
      </c>
      <c r="AF64" t="s">
        <v>62</v>
      </c>
      <c r="AG64" t="s">
        <v>62</v>
      </c>
      <c r="AH64" t="s">
        <v>62</v>
      </c>
      <c r="AI64" t="s">
        <v>62</v>
      </c>
      <c r="AJ64" t="s">
        <v>121</v>
      </c>
      <c r="AK64" t="s">
        <v>62</v>
      </c>
      <c r="AL64" t="s">
        <v>62</v>
      </c>
      <c r="AM64" t="s">
        <v>62</v>
      </c>
      <c r="AN64" t="s">
        <v>76</v>
      </c>
      <c r="AO64" t="s">
        <v>77</v>
      </c>
    </row>
    <row r="65" spans="1:51" x14ac:dyDescent="0.25">
      <c r="A65" t="s">
        <v>329</v>
      </c>
      <c r="B65">
        <v>56</v>
      </c>
      <c r="C65">
        <v>2026</v>
      </c>
      <c r="D65">
        <v>3</v>
      </c>
      <c r="E65">
        <v>19</v>
      </c>
      <c r="F65" t="s">
        <v>62</v>
      </c>
      <c r="G65" t="s">
        <v>63</v>
      </c>
      <c r="H65" t="s">
        <v>334</v>
      </c>
      <c r="I65" t="s">
        <v>335</v>
      </c>
      <c r="J65" t="s">
        <v>66</v>
      </c>
      <c r="L65" t="s">
        <v>82</v>
      </c>
      <c r="M65" t="s">
        <v>68</v>
      </c>
      <c r="N65" t="s">
        <v>117</v>
      </c>
      <c r="O65" t="s">
        <v>336</v>
      </c>
      <c r="P65" t="s">
        <v>337</v>
      </c>
      <c r="Q65" t="s">
        <v>338</v>
      </c>
      <c r="R65" t="s">
        <v>73</v>
      </c>
      <c r="S65" t="s">
        <v>62</v>
      </c>
      <c r="T65" t="s">
        <v>62</v>
      </c>
      <c r="U65" t="s">
        <v>62</v>
      </c>
      <c r="V65" t="s">
        <v>62</v>
      </c>
      <c r="W65" t="s">
        <v>62</v>
      </c>
      <c r="X65" t="s">
        <v>74</v>
      </c>
      <c r="Y65" t="s">
        <v>62</v>
      </c>
      <c r="Z65" t="s">
        <v>62</v>
      </c>
      <c r="AA65" t="s">
        <v>62</v>
      </c>
      <c r="AB65" t="s">
        <v>62</v>
      </c>
      <c r="AC65" t="s">
        <v>62</v>
      </c>
      <c r="AD65" t="s">
        <v>62</v>
      </c>
      <c r="AE65" t="s">
        <v>62</v>
      </c>
      <c r="AF65" t="s">
        <v>62</v>
      </c>
      <c r="AG65" t="s">
        <v>62</v>
      </c>
      <c r="AH65" t="s">
        <v>62</v>
      </c>
      <c r="AI65" t="s">
        <v>62</v>
      </c>
      <c r="AJ65" t="s">
        <v>121</v>
      </c>
      <c r="AK65" t="s">
        <v>62</v>
      </c>
      <c r="AL65" t="s">
        <v>62</v>
      </c>
      <c r="AM65" t="s">
        <v>62</v>
      </c>
      <c r="AN65" t="s">
        <v>76</v>
      </c>
      <c r="AO65" t="s">
        <v>77</v>
      </c>
    </row>
    <row r="66" spans="1:51" x14ac:dyDescent="0.25">
      <c r="A66" t="s">
        <v>329</v>
      </c>
      <c r="B66">
        <v>57</v>
      </c>
      <c r="C66">
        <v>2026</v>
      </c>
      <c r="D66">
        <v>3</v>
      </c>
      <c r="E66">
        <v>193</v>
      </c>
      <c r="F66" t="s">
        <v>62</v>
      </c>
      <c r="G66" t="s">
        <v>63</v>
      </c>
      <c r="H66" t="s">
        <v>339</v>
      </c>
      <c r="I66" t="s">
        <v>340</v>
      </c>
      <c r="J66" t="s">
        <v>66</v>
      </c>
      <c r="L66" t="s">
        <v>82</v>
      </c>
      <c r="M66" t="s">
        <v>68</v>
      </c>
      <c r="N66" t="s">
        <v>117</v>
      </c>
      <c r="O66" t="s">
        <v>341</v>
      </c>
      <c r="P66" t="s">
        <v>342</v>
      </c>
      <c r="Q66" t="s">
        <v>323</v>
      </c>
      <c r="R66" t="s">
        <v>73</v>
      </c>
      <c r="S66" t="s">
        <v>62</v>
      </c>
      <c r="T66" t="s">
        <v>62</v>
      </c>
      <c r="U66" t="s">
        <v>62</v>
      </c>
      <c r="V66" t="s">
        <v>62</v>
      </c>
      <c r="W66" t="s">
        <v>62</v>
      </c>
      <c r="X66" t="s">
        <v>74</v>
      </c>
      <c r="Y66" t="s">
        <v>62</v>
      </c>
      <c r="Z66" t="s">
        <v>62</v>
      </c>
      <c r="AA66" t="s">
        <v>62</v>
      </c>
      <c r="AB66" t="s">
        <v>62</v>
      </c>
      <c r="AC66" t="s">
        <v>62</v>
      </c>
      <c r="AD66" t="s">
        <v>62</v>
      </c>
      <c r="AE66" t="s">
        <v>62</v>
      </c>
      <c r="AF66" t="s">
        <v>62</v>
      </c>
      <c r="AG66" t="s">
        <v>62</v>
      </c>
      <c r="AH66" t="s">
        <v>62</v>
      </c>
      <c r="AI66" t="s">
        <v>62</v>
      </c>
      <c r="AJ66" t="s">
        <v>121</v>
      </c>
      <c r="AK66" t="s">
        <v>62</v>
      </c>
      <c r="AL66" t="s">
        <v>62</v>
      </c>
      <c r="AM66" t="s">
        <v>62</v>
      </c>
      <c r="AN66" t="s">
        <v>76</v>
      </c>
      <c r="AO66" t="s">
        <v>343</v>
      </c>
    </row>
    <row r="67" spans="1:51" x14ac:dyDescent="0.25">
      <c r="A67" t="s">
        <v>329</v>
      </c>
      <c r="B67">
        <v>58</v>
      </c>
      <c r="C67">
        <v>2026</v>
      </c>
      <c r="D67">
        <v>3</v>
      </c>
      <c r="E67">
        <v>205</v>
      </c>
      <c r="F67" t="s">
        <v>62</v>
      </c>
      <c r="G67" t="s">
        <v>63</v>
      </c>
      <c r="H67" t="s">
        <v>344</v>
      </c>
      <c r="I67" t="s">
        <v>345</v>
      </c>
      <c r="J67" t="s">
        <v>81</v>
      </c>
      <c r="L67" t="s">
        <v>82</v>
      </c>
      <c r="M67" t="s">
        <v>68</v>
      </c>
      <c r="N67" t="s">
        <v>117</v>
      </c>
      <c r="O67" t="s">
        <v>346</v>
      </c>
      <c r="P67" t="s">
        <v>90</v>
      </c>
      <c r="Q67" t="s">
        <v>323</v>
      </c>
      <c r="R67" t="s">
        <v>91</v>
      </c>
      <c r="S67" t="s">
        <v>62</v>
      </c>
      <c r="T67" t="s">
        <v>62</v>
      </c>
      <c r="U67" t="s">
        <v>62</v>
      </c>
      <c r="V67" t="s">
        <v>62</v>
      </c>
      <c r="W67" t="s">
        <v>62</v>
      </c>
      <c r="X67" t="s">
        <v>74</v>
      </c>
      <c r="Y67" t="s">
        <v>62</v>
      </c>
      <c r="Z67" t="s">
        <v>62</v>
      </c>
      <c r="AA67" t="s">
        <v>62</v>
      </c>
      <c r="AB67" t="s">
        <v>62</v>
      </c>
      <c r="AC67" t="s">
        <v>62</v>
      </c>
      <c r="AD67" t="s">
        <v>62</v>
      </c>
      <c r="AE67" t="s">
        <v>62</v>
      </c>
      <c r="AF67" t="s">
        <v>62</v>
      </c>
      <c r="AG67" t="s">
        <v>62</v>
      </c>
      <c r="AH67" t="s">
        <v>62</v>
      </c>
      <c r="AI67" t="s">
        <v>62</v>
      </c>
      <c r="AJ67" t="s">
        <v>121</v>
      </c>
      <c r="AK67" t="s">
        <v>62</v>
      </c>
      <c r="AL67" t="s">
        <v>62</v>
      </c>
      <c r="AM67" t="s">
        <v>62</v>
      </c>
      <c r="AN67" t="s">
        <v>76</v>
      </c>
      <c r="AO67" t="s">
        <v>77</v>
      </c>
    </row>
    <row r="68" spans="1:51" x14ac:dyDescent="0.25">
      <c r="A68" t="s">
        <v>329</v>
      </c>
      <c r="B68">
        <v>59</v>
      </c>
      <c r="C68">
        <v>2026</v>
      </c>
      <c r="D68">
        <v>3</v>
      </c>
      <c r="E68">
        <v>87</v>
      </c>
      <c r="F68" t="s">
        <v>62</v>
      </c>
      <c r="G68" t="s">
        <v>63</v>
      </c>
      <c r="H68" t="s">
        <v>347</v>
      </c>
      <c r="I68" t="s">
        <v>348</v>
      </c>
      <c r="J68" t="s">
        <v>66</v>
      </c>
      <c r="L68" t="s">
        <v>82</v>
      </c>
      <c r="M68" t="s">
        <v>68</v>
      </c>
      <c r="N68" t="s">
        <v>41</v>
      </c>
      <c r="O68" t="s">
        <v>349</v>
      </c>
      <c r="P68" t="s">
        <v>322</v>
      </c>
      <c r="Q68" t="s">
        <v>350</v>
      </c>
      <c r="S68" t="s">
        <v>62</v>
      </c>
      <c r="T68" t="s">
        <v>62</v>
      </c>
      <c r="U68" t="s">
        <v>62</v>
      </c>
      <c r="V68" t="s">
        <v>74</v>
      </c>
      <c r="W68" t="s">
        <v>62</v>
      </c>
      <c r="X68" t="s">
        <v>62</v>
      </c>
      <c r="Y68" t="s">
        <v>62</v>
      </c>
      <c r="Z68" t="s">
        <v>62</v>
      </c>
      <c r="AA68" t="s">
        <v>62</v>
      </c>
      <c r="AB68" t="s">
        <v>62</v>
      </c>
      <c r="AC68" t="s">
        <v>62</v>
      </c>
      <c r="AD68" t="s">
        <v>62</v>
      </c>
      <c r="AE68" t="s">
        <v>62</v>
      </c>
      <c r="AF68" t="s">
        <v>62</v>
      </c>
      <c r="AG68" t="s">
        <v>62</v>
      </c>
      <c r="AH68" t="s">
        <v>62</v>
      </c>
      <c r="AI68" t="s">
        <v>62</v>
      </c>
      <c r="AJ68" t="s">
        <v>75</v>
      </c>
      <c r="AK68" t="s">
        <v>62</v>
      </c>
      <c r="AL68" t="s">
        <v>62</v>
      </c>
      <c r="AM68" t="s">
        <v>62</v>
      </c>
      <c r="AN68" t="s">
        <v>76</v>
      </c>
      <c r="AO68" t="s">
        <v>77</v>
      </c>
    </row>
    <row r="69" spans="1:51" x14ac:dyDescent="0.25">
      <c r="A69" t="s">
        <v>351</v>
      </c>
      <c r="B69">
        <v>60</v>
      </c>
      <c r="C69">
        <v>2026</v>
      </c>
      <c r="D69">
        <v>3</v>
      </c>
      <c r="E69">
        <v>47</v>
      </c>
      <c r="F69" t="s">
        <v>62</v>
      </c>
      <c r="G69" t="s">
        <v>63</v>
      </c>
      <c r="H69" t="s">
        <v>143</v>
      </c>
      <c r="I69" t="s">
        <v>144</v>
      </c>
      <c r="J69" t="s">
        <v>66</v>
      </c>
      <c r="L69" t="s">
        <v>67</v>
      </c>
      <c r="M69" t="s">
        <v>68</v>
      </c>
      <c r="N69" t="s">
        <v>117</v>
      </c>
      <c r="O69" t="s">
        <v>352</v>
      </c>
      <c r="P69" t="s">
        <v>353</v>
      </c>
      <c r="Q69" t="s">
        <v>354</v>
      </c>
      <c r="R69" t="s">
        <v>73</v>
      </c>
      <c r="S69" t="s">
        <v>62</v>
      </c>
      <c r="T69" t="s">
        <v>62</v>
      </c>
      <c r="U69" t="s">
        <v>62</v>
      </c>
      <c r="V69" t="s">
        <v>62</v>
      </c>
      <c r="W69" t="s">
        <v>62</v>
      </c>
      <c r="X69" t="s">
        <v>74</v>
      </c>
      <c r="Y69" t="s">
        <v>62</v>
      </c>
      <c r="Z69" t="s">
        <v>62</v>
      </c>
      <c r="AA69" t="s">
        <v>62</v>
      </c>
      <c r="AB69" t="s">
        <v>62</v>
      </c>
      <c r="AC69" t="s">
        <v>62</v>
      </c>
      <c r="AD69" t="s">
        <v>62</v>
      </c>
      <c r="AE69" t="s">
        <v>62</v>
      </c>
      <c r="AF69" t="s">
        <v>62</v>
      </c>
      <c r="AG69" t="s">
        <v>62</v>
      </c>
      <c r="AH69" t="s">
        <v>62</v>
      </c>
      <c r="AI69" t="s">
        <v>62</v>
      </c>
      <c r="AJ69" t="s">
        <v>121</v>
      </c>
      <c r="AK69" t="s">
        <v>62</v>
      </c>
      <c r="AL69" t="s">
        <v>62</v>
      </c>
      <c r="AM69" t="s">
        <v>62</v>
      </c>
      <c r="AN69" t="s">
        <v>76</v>
      </c>
      <c r="AO69" t="s">
        <v>99</v>
      </c>
    </row>
    <row r="70" spans="1:51" x14ac:dyDescent="0.25">
      <c r="A70" t="s">
        <v>351</v>
      </c>
      <c r="B70">
        <v>61</v>
      </c>
      <c r="C70">
        <v>2026</v>
      </c>
      <c r="D70">
        <v>3</v>
      </c>
      <c r="E70">
        <v>16</v>
      </c>
      <c r="F70" t="s">
        <v>62</v>
      </c>
      <c r="G70" t="s">
        <v>63</v>
      </c>
      <c r="H70" t="s">
        <v>355</v>
      </c>
      <c r="I70" t="s">
        <v>356</v>
      </c>
      <c r="J70" t="s">
        <v>81</v>
      </c>
      <c r="L70" t="s">
        <v>67</v>
      </c>
      <c r="M70" t="s">
        <v>68</v>
      </c>
      <c r="N70" t="s">
        <v>117</v>
      </c>
      <c r="O70" t="s">
        <v>166</v>
      </c>
      <c r="P70" t="s">
        <v>90</v>
      </c>
      <c r="Q70" t="s">
        <v>323</v>
      </c>
      <c r="R70" t="s">
        <v>91</v>
      </c>
      <c r="S70" t="s">
        <v>62</v>
      </c>
      <c r="T70" t="s">
        <v>62</v>
      </c>
      <c r="U70" t="s">
        <v>62</v>
      </c>
      <c r="V70" t="s">
        <v>62</v>
      </c>
      <c r="W70" t="s">
        <v>62</v>
      </c>
      <c r="X70" t="s">
        <v>74</v>
      </c>
      <c r="Y70" t="s">
        <v>62</v>
      </c>
      <c r="Z70" t="s">
        <v>62</v>
      </c>
      <c r="AA70" t="s">
        <v>62</v>
      </c>
      <c r="AB70" t="s">
        <v>62</v>
      </c>
      <c r="AC70" t="s">
        <v>62</v>
      </c>
      <c r="AD70" t="s">
        <v>62</v>
      </c>
      <c r="AE70" t="s">
        <v>62</v>
      </c>
      <c r="AF70" t="s">
        <v>62</v>
      </c>
      <c r="AG70" t="s">
        <v>62</v>
      </c>
      <c r="AH70" t="s">
        <v>62</v>
      </c>
      <c r="AI70" t="s">
        <v>62</v>
      </c>
      <c r="AJ70" t="s">
        <v>121</v>
      </c>
      <c r="AK70" t="s">
        <v>62</v>
      </c>
      <c r="AL70" t="s">
        <v>62</v>
      </c>
      <c r="AM70" t="s">
        <v>62</v>
      </c>
      <c r="AN70" t="s">
        <v>76</v>
      </c>
      <c r="AO70" t="s">
        <v>99</v>
      </c>
    </row>
    <row r="71" spans="1:51" x14ac:dyDescent="0.25">
      <c r="A71" t="s">
        <v>351</v>
      </c>
      <c r="B71">
        <v>62</v>
      </c>
      <c r="C71">
        <v>2026</v>
      </c>
      <c r="D71">
        <v>3</v>
      </c>
      <c r="E71">
        <v>23</v>
      </c>
      <c r="F71" t="s">
        <v>62</v>
      </c>
      <c r="G71" t="s">
        <v>63</v>
      </c>
      <c r="H71" t="s">
        <v>357</v>
      </c>
      <c r="I71" t="s">
        <v>358</v>
      </c>
      <c r="J71" t="s">
        <v>66</v>
      </c>
      <c r="L71" t="s">
        <v>67</v>
      </c>
      <c r="M71" t="s">
        <v>179</v>
      </c>
      <c r="N71" t="s">
        <v>117</v>
      </c>
      <c r="O71" t="s">
        <v>359</v>
      </c>
      <c r="P71" t="s">
        <v>360</v>
      </c>
      <c r="Q71" t="s">
        <v>361</v>
      </c>
      <c r="R71" t="s">
        <v>120</v>
      </c>
      <c r="S71" t="s">
        <v>62</v>
      </c>
      <c r="T71" t="s">
        <v>62</v>
      </c>
      <c r="U71" t="s">
        <v>62</v>
      </c>
      <c r="V71" t="s">
        <v>62</v>
      </c>
      <c r="W71" t="s">
        <v>62</v>
      </c>
      <c r="X71" t="s">
        <v>74</v>
      </c>
      <c r="Y71" t="s">
        <v>62</v>
      </c>
      <c r="Z71" t="s">
        <v>62</v>
      </c>
      <c r="AA71" t="s">
        <v>62</v>
      </c>
      <c r="AB71" t="s">
        <v>62</v>
      </c>
      <c r="AC71" t="s">
        <v>62</v>
      </c>
      <c r="AD71" t="s">
        <v>62</v>
      </c>
      <c r="AE71" t="s">
        <v>62</v>
      </c>
      <c r="AF71" t="s">
        <v>62</v>
      </c>
      <c r="AG71" t="s">
        <v>62</v>
      </c>
      <c r="AH71" t="s">
        <v>62</v>
      </c>
      <c r="AI71" t="s">
        <v>62</v>
      </c>
      <c r="AJ71" t="s">
        <v>121</v>
      </c>
      <c r="AK71" t="s">
        <v>62</v>
      </c>
      <c r="AL71" t="s">
        <v>62</v>
      </c>
      <c r="AM71" t="s">
        <v>62</v>
      </c>
      <c r="AN71" t="s">
        <v>76</v>
      </c>
      <c r="AO71" t="s">
        <v>99</v>
      </c>
    </row>
    <row r="72" spans="1:51" x14ac:dyDescent="0.25">
      <c r="A72" t="s">
        <v>362</v>
      </c>
      <c r="B72">
        <v>63</v>
      </c>
      <c r="C72">
        <v>2026</v>
      </c>
      <c r="D72">
        <v>3</v>
      </c>
      <c r="E72">
        <v>84</v>
      </c>
      <c r="F72" t="s">
        <v>62</v>
      </c>
      <c r="G72" t="s">
        <v>63</v>
      </c>
      <c r="H72" t="s">
        <v>363</v>
      </c>
      <c r="I72" t="s">
        <v>364</v>
      </c>
      <c r="J72" t="s">
        <v>66</v>
      </c>
      <c r="L72" t="s">
        <v>178</v>
      </c>
      <c r="M72" t="s">
        <v>179</v>
      </c>
      <c r="N72" t="s">
        <v>117</v>
      </c>
      <c r="O72" t="s">
        <v>365</v>
      </c>
      <c r="P72" t="s">
        <v>360</v>
      </c>
      <c r="Q72" t="s">
        <v>366</v>
      </c>
      <c r="R72" t="s">
        <v>120</v>
      </c>
      <c r="S72" t="s">
        <v>62</v>
      </c>
      <c r="T72" t="s">
        <v>62</v>
      </c>
      <c r="U72" t="s">
        <v>62</v>
      </c>
      <c r="V72" t="s">
        <v>62</v>
      </c>
      <c r="W72" t="s">
        <v>62</v>
      </c>
      <c r="X72" t="s">
        <v>74</v>
      </c>
      <c r="Y72" t="s">
        <v>62</v>
      </c>
      <c r="Z72" t="s">
        <v>62</v>
      </c>
      <c r="AA72" t="s">
        <v>62</v>
      </c>
      <c r="AB72" t="s">
        <v>62</v>
      </c>
      <c r="AC72" t="s">
        <v>62</v>
      </c>
      <c r="AD72" t="s">
        <v>62</v>
      </c>
      <c r="AE72" t="s">
        <v>62</v>
      </c>
      <c r="AF72" t="s">
        <v>62</v>
      </c>
      <c r="AG72" t="s">
        <v>62</v>
      </c>
      <c r="AH72" t="s">
        <v>62</v>
      </c>
      <c r="AI72" t="s">
        <v>62</v>
      </c>
      <c r="AJ72" t="s">
        <v>121</v>
      </c>
      <c r="AK72" t="s">
        <v>62</v>
      </c>
      <c r="AL72" t="s">
        <v>62</v>
      </c>
      <c r="AM72" t="s">
        <v>62</v>
      </c>
      <c r="AN72" t="s">
        <v>76</v>
      </c>
      <c r="AO72" t="s">
        <v>112</v>
      </c>
    </row>
    <row r="73" spans="1:51" x14ac:dyDescent="0.25">
      <c r="A73" t="s">
        <v>362</v>
      </c>
      <c r="B73">
        <v>64</v>
      </c>
      <c r="C73">
        <v>2026</v>
      </c>
      <c r="D73">
        <v>3</v>
      </c>
      <c r="E73">
        <v>245</v>
      </c>
      <c r="F73" t="s">
        <v>62</v>
      </c>
      <c r="G73" t="s">
        <v>63</v>
      </c>
      <c r="H73" t="s">
        <v>367</v>
      </c>
      <c r="I73" t="s">
        <v>368</v>
      </c>
      <c r="J73" t="s">
        <v>81</v>
      </c>
      <c r="L73" t="s">
        <v>178</v>
      </c>
      <c r="M73" t="s">
        <v>83</v>
      </c>
      <c r="N73" t="s">
        <v>244</v>
      </c>
      <c r="O73" t="s">
        <v>369</v>
      </c>
      <c r="P73" t="s">
        <v>370</v>
      </c>
      <c r="Q73" t="s">
        <v>371</v>
      </c>
      <c r="R73" t="s">
        <v>73</v>
      </c>
      <c r="S73" t="s">
        <v>62</v>
      </c>
      <c r="T73" t="s">
        <v>62</v>
      </c>
      <c r="U73" t="s">
        <v>74</v>
      </c>
      <c r="V73" t="s">
        <v>62</v>
      </c>
      <c r="W73" t="s">
        <v>62</v>
      </c>
      <c r="X73" t="s">
        <v>62</v>
      </c>
      <c r="Y73" t="s">
        <v>62</v>
      </c>
      <c r="Z73" t="s">
        <v>62</v>
      </c>
      <c r="AA73" t="s">
        <v>62</v>
      </c>
      <c r="AB73" t="s">
        <v>62</v>
      </c>
      <c r="AC73" t="s">
        <v>62</v>
      </c>
      <c r="AD73" t="s">
        <v>62</v>
      </c>
      <c r="AE73" t="s">
        <v>62</v>
      </c>
      <c r="AF73" t="s">
        <v>62</v>
      </c>
      <c r="AG73" t="s">
        <v>62</v>
      </c>
      <c r="AH73" t="s">
        <v>62</v>
      </c>
      <c r="AI73" t="s">
        <v>62</v>
      </c>
      <c r="AJ73" t="s">
        <v>75</v>
      </c>
      <c r="AK73" t="s">
        <v>62</v>
      </c>
      <c r="AL73" t="s">
        <v>62</v>
      </c>
      <c r="AM73" t="s">
        <v>62</v>
      </c>
      <c r="AN73" t="s">
        <v>76</v>
      </c>
      <c r="AO73" t="s">
        <v>112</v>
      </c>
    </row>
    <row r="74" spans="1:51" x14ac:dyDescent="0.25">
      <c r="A74" t="s">
        <v>362</v>
      </c>
      <c r="B74">
        <v>65</v>
      </c>
      <c r="C74">
        <v>2026</v>
      </c>
      <c r="D74">
        <v>3</v>
      </c>
      <c r="E74">
        <v>15</v>
      </c>
      <c r="F74" t="s">
        <v>62</v>
      </c>
      <c r="G74" t="s">
        <v>63</v>
      </c>
      <c r="H74" t="s">
        <v>372</v>
      </c>
      <c r="I74" t="s">
        <v>373</v>
      </c>
      <c r="J74" t="s">
        <v>66</v>
      </c>
      <c r="L74" t="s">
        <v>178</v>
      </c>
      <c r="M74" t="s">
        <v>83</v>
      </c>
      <c r="N74" t="s">
        <v>117</v>
      </c>
      <c r="O74" t="s">
        <v>374</v>
      </c>
      <c r="P74" t="s">
        <v>280</v>
      </c>
      <c r="Q74" t="s">
        <v>375</v>
      </c>
      <c r="R74" t="s">
        <v>73</v>
      </c>
      <c r="S74" t="s">
        <v>62</v>
      </c>
      <c r="T74" t="s">
        <v>62</v>
      </c>
      <c r="U74" t="s">
        <v>62</v>
      </c>
      <c r="V74" t="s">
        <v>62</v>
      </c>
      <c r="W74" t="s">
        <v>62</v>
      </c>
      <c r="X74" t="s">
        <v>74</v>
      </c>
      <c r="Y74" t="s">
        <v>62</v>
      </c>
      <c r="Z74" t="s">
        <v>62</v>
      </c>
      <c r="AA74" t="s">
        <v>62</v>
      </c>
      <c r="AB74" t="s">
        <v>62</v>
      </c>
      <c r="AC74" t="s">
        <v>62</v>
      </c>
      <c r="AD74" t="s">
        <v>62</v>
      </c>
      <c r="AE74" t="s">
        <v>62</v>
      </c>
      <c r="AF74" t="s">
        <v>62</v>
      </c>
      <c r="AG74" t="s">
        <v>62</v>
      </c>
      <c r="AH74" t="s">
        <v>62</v>
      </c>
      <c r="AI74" t="s">
        <v>62</v>
      </c>
      <c r="AJ74" t="s">
        <v>121</v>
      </c>
      <c r="AK74" t="s">
        <v>62</v>
      </c>
      <c r="AL74" t="s">
        <v>62</v>
      </c>
      <c r="AM74" t="s">
        <v>62</v>
      </c>
      <c r="AN74" t="s">
        <v>76</v>
      </c>
      <c r="AO74" t="s">
        <v>112</v>
      </c>
    </row>
    <row r="75" spans="1:51" x14ac:dyDescent="0.25">
      <c r="A75" t="s">
        <v>362</v>
      </c>
      <c r="B75">
        <v>66</v>
      </c>
      <c r="C75">
        <v>2026</v>
      </c>
      <c r="D75">
        <v>3</v>
      </c>
      <c r="E75">
        <v>16</v>
      </c>
      <c r="F75" t="s">
        <v>62</v>
      </c>
      <c r="G75" t="s">
        <v>63</v>
      </c>
      <c r="H75" t="s">
        <v>376</v>
      </c>
      <c r="I75" t="s">
        <v>377</v>
      </c>
      <c r="J75" t="s">
        <v>66</v>
      </c>
      <c r="L75" t="s">
        <v>178</v>
      </c>
      <c r="M75" t="s">
        <v>68</v>
      </c>
      <c r="N75" t="s">
        <v>117</v>
      </c>
      <c r="O75" t="s">
        <v>374</v>
      </c>
      <c r="P75" t="s">
        <v>280</v>
      </c>
      <c r="Q75" t="s">
        <v>366</v>
      </c>
      <c r="R75" t="s">
        <v>73</v>
      </c>
      <c r="S75" t="s">
        <v>62</v>
      </c>
      <c r="T75" t="s">
        <v>62</v>
      </c>
      <c r="U75" t="s">
        <v>62</v>
      </c>
      <c r="V75" t="s">
        <v>62</v>
      </c>
      <c r="W75" t="s">
        <v>62</v>
      </c>
      <c r="X75" t="s">
        <v>74</v>
      </c>
      <c r="Y75" t="s">
        <v>62</v>
      </c>
      <c r="Z75" t="s">
        <v>62</v>
      </c>
      <c r="AA75" t="s">
        <v>62</v>
      </c>
      <c r="AB75" t="s">
        <v>62</v>
      </c>
      <c r="AC75" t="s">
        <v>62</v>
      </c>
      <c r="AD75" t="s">
        <v>62</v>
      </c>
      <c r="AE75" t="s">
        <v>62</v>
      </c>
      <c r="AF75" t="s">
        <v>62</v>
      </c>
      <c r="AG75" t="s">
        <v>62</v>
      </c>
      <c r="AH75" t="s">
        <v>62</v>
      </c>
      <c r="AI75" t="s">
        <v>62</v>
      </c>
      <c r="AJ75" t="s">
        <v>121</v>
      </c>
      <c r="AK75" t="s">
        <v>62</v>
      </c>
      <c r="AL75" t="s">
        <v>62</v>
      </c>
      <c r="AM75" t="s">
        <v>62</v>
      </c>
      <c r="AN75" t="s">
        <v>76</v>
      </c>
      <c r="AO75" t="s">
        <v>112</v>
      </c>
    </row>
    <row r="76" spans="1:51" x14ac:dyDescent="0.25">
      <c r="A76" t="s">
        <v>378</v>
      </c>
      <c r="B76">
        <v>67</v>
      </c>
      <c r="C76">
        <v>2026</v>
      </c>
      <c r="D76">
        <v>3</v>
      </c>
      <c r="E76">
        <v>20</v>
      </c>
      <c r="F76" t="s">
        <v>62</v>
      </c>
      <c r="G76" t="s">
        <v>63</v>
      </c>
      <c r="H76" t="s">
        <v>379</v>
      </c>
      <c r="I76" t="s">
        <v>380</v>
      </c>
      <c r="J76" t="s">
        <v>66</v>
      </c>
      <c r="L76" t="s">
        <v>149</v>
      </c>
      <c r="M76" t="s">
        <v>179</v>
      </c>
      <c r="N76" t="s">
        <v>117</v>
      </c>
      <c r="O76" t="s">
        <v>381</v>
      </c>
      <c r="P76" t="s">
        <v>272</v>
      </c>
      <c r="Q76" t="s">
        <v>273</v>
      </c>
      <c r="R76" t="s">
        <v>120</v>
      </c>
      <c r="S76" t="s">
        <v>62</v>
      </c>
      <c r="T76" t="s">
        <v>62</v>
      </c>
      <c r="U76" t="s">
        <v>62</v>
      </c>
      <c r="V76" t="s">
        <v>62</v>
      </c>
      <c r="W76" t="s">
        <v>62</v>
      </c>
      <c r="X76" t="s">
        <v>74</v>
      </c>
      <c r="Y76" t="s">
        <v>62</v>
      </c>
      <c r="Z76" t="s">
        <v>62</v>
      </c>
      <c r="AA76" t="s">
        <v>62</v>
      </c>
      <c r="AB76" t="s">
        <v>62</v>
      </c>
      <c r="AC76" t="s">
        <v>62</v>
      </c>
      <c r="AD76" t="s">
        <v>62</v>
      </c>
      <c r="AE76" t="s">
        <v>62</v>
      </c>
      <c r="AF76" t="s">
        <v>62</v>
      </c>
      <c r="AG76" t="s">
        <v>62</v>
      </c>
      <c r="AH76" t="s">
        <v>62</v>
      </c>
      <c r="AI76" t="s">
        <v>62</v>
      </c>
      <c r="AJ76" t="s">
        <v>121</v>
      </c>
      <c r="AK76" t="s">
        <v>62</v>
      </c>
      <c r="AL76" t="s">
        <v>62</v>
      </c>
      <c r="AM76" t="s">
        <v>62</v>
      </c>
      <c r="AN76" t="s">
        <v>76</v>
      </c>
      <c r="AO76" t="s">
        <v>77</v>
      </c>
    </row>
    <row r="77" spans="1:51" x14ac:dyDescent="0.25">
      <c r="A77" t="s">
        <v>378</v>
      </c>
      <c r="B77">
        <v>68</v>
      </c>
      <c r="C77">
        <v>2026</v>
      </c>
      <c r="D77">
        <v>3</v>
      </c>
      <c r="E77">
        <v>21</v>
      </c>
      <c r="F77" t="s">
        <v>62</v>
      </c>
      <c r="G77" t="s">
        <v>63</v>
      </c>
      <c r="H77" t="s">
        <v>382</v>
      </c>
      <c r="I77" t="s">
        <v>383</v>
      </c>
      <c r="J77" t="s">
        <v>66</v>
      </c>
      <c r="L77" t="s">
        <v>149</v>
      </c>
      <c r="M77" t="s">
        <v>68</v>
      </c>
      <c r="N77" t="s">
        <v>117</v>
      </c>
      <c r="O77" t="s">
        <v>317</v>
      </c>
      <c r="P77" t="s">
        <v>85</v>
      </c>
      <c r="Q77" t="s">
        <v>240</v>
      </c>
      <c r="R77" t="s">
        <v>73</v>
      </c>
      <c r="S77" t="s">
        <v>62</v>
      </c>
      <c r="T77" t="s">
        <v>62</v>
      </c>
      <c r="U77" t="s">
        <v>62</v>
      </c>
      <c r="V77" t="s">
        <v>62</v>
      </c>
      <c r="W77" t="s">
        <v>62</v>
      </c>
      <c r="X77" t="s">
        <v>74</v>
      </c>
      <c r="Y77" t="s">
        <v>62</v>
      </c>
      <c r="Z77" t="s">
        <v>62</v>
      </c>
      <c r="AA77" t="s">
        <v>62</v>
      </c>
      <c r="AB77" t="s">
        <v>62</v>
      </c>
      <c r="AC77" t="s">
        <v>62</v>
      </c>
      <c r="AD77" t="s">
        <v>62</v>
      </c>
      <c r="AE77" t="s">
        <v>62</v>
      </c>
      <c r="AF77" t="s">
        <v>62</v>
      </c>
      <c r="AG77" t="s">
        <v>62</v>
      </c>
      <c r="AH77" t="s">
        <v>62</v>
      </c>
      <c r="AI77" t="s">
        <v>62</v>
      </c>
      <c r="AJ77" t="s">
        <v>121</v>
      </c>
      <c r="AK77" t="s">
        <v>62</v>
      </c>
      <c r="AL77" t="s">
        <v>62</v>
      </c>
      <c r="AM77" t="s">
        <v>62</v>
      </c>
      <c r="AN77" t="s">
        <v>76</v>
      </c>
      <c r="AO77" t="s">
        <v>77</v>
      </c>
    </row>
    <row r="78" spans="1:51" x14ac:dyDescent="0.25">
      <c r="A78" t="s">
        <v>384</v>
      </c>
      <c r="B78">
        <v>69</v>
      </c>
      <c r="C78">
        <v>2026</v>
      </c>
      <c r="D78">
        <v>3</v>
      </c>
      <c r="E78">
        <v>203</v>
      </c>
      <c r="F78" t="s">
        <v>62</v>
      </c>
      <c r="G78" t="s">
        <v>93</v>
      </c>
      <c r="H78" t="s">
        <v>385</v>
      </c>
      <c r="I78" t="s">
        <v>386</v>
      </c>
      <c r="J78" t="s">
        <v>81</v>
      </c>
      <c r="L78" t="s">
        <v>387</v>
      </c>
      <c r="M78" t="s">
        <v>83</v>
      </c>
      <c r="N78" t="s">
        <v>108</v>
      </c>
      <c r="O78" t="s">
        <v>388</v>
      </c>
      <c r="P78" t="s">
        <v>389</v>
      </c>
      <c r="Q78" t="s">
        <v>390</v>
      </c>
      <c r="R78" t="s">
        <v>91</v>
      </c>
      <c r="S78" t="s">
        <v>62</v>
      </c>
      <c r="T78" t="s">
        <v>62</v>
      </c>
      <c r="U78" t="s">
        <v>62</v>
      </c>
      <c r="V78" t="s">
        <v>62</v>
      </c>
      <c r="W78" t="s">
        <v>74</v>
      </c>
      <c r="X78" t="s">
        <v>62</v>
      </c>
      <c r="Y78" t="s">
        <v>62</v>
      </c>
      <c r="Z78" t="s">
        <v>62</v>
      </c>
      <c r="AA78" t="s">
        <v>62</v>
      </c>
      <c r="AB78" t="s">
        <v>62</v>
      </c>
      <c r="AC78" t="s">
        <v>62</v>
      </c>
      <c r="AD78" t="s">
        <v>62</v>
      </c>
      <c r="AE78" t="s">
        <v>62</v>
      </c>
      <c r="AF78" t="s">
        <v>62</v>
      </c>
      <c r="AG78" t="s">
        <v>62</v>
      </c>
      <c r="AH78" t="s">
        <v>62</v>
      </c>
      <c r="AI78" t="s">
        <v>62</v>
      </c>
      <c r="AJ78" t="s">
        <v>121</v>
      </c>
      <c r="AK78" t="s">
        <v>62</v>
      </c>
      <c r="AL78" t="s">
        <v>62</v>
      </c>
      <c r="AM78" t="s">
        <v>62</v>
      </c>
      <c r="AN78" t="s">
        <v>62</v>
      </c>
      <c r="AO78" t="s">
        <v>112</v>
      </c>
    </row>
    <row r="79" spans="1:51" x14ac:dyDescent="0.25">
      <c r="A79" t="s">
        <v>384</v>
      </c>
      <c r="B79">
        <v>70</v>
      </c>
      <c r="C79">
        <v>2026</v>
      </c>
      <c r="D79">
        <v>3</v>
      </c>
      <c r="E79">
        <v>193</v>
      </c>
      <c r="F79" t="s">
        <v>62</v>
      </c>
      <c r="G79" t="s">
        <v>93</v>
      </c>
      <c r="H79" t="s">
        <v>391</v>
      </c>
      <c r="I79" t="s">
        <v>392</v>
      </c>
      <c r="J79" t="s">
        <v>66</v>
      </c>
      <c r="L79" t="s">
        <v>387</v>
      </c>
      <c r="M79" t="s">
        <v>68</v>
      </c>
      <c r="N79" t="s">
        <v>108</v>
      </c>
      <c r="O79" t="s">
        <v>393</v>
      </c>
      <c r="P79" t="s">
        <v>394</v>
      </c>
      <c r="Q79" t="s">
        <v>393</v>
      </c>
      <c r="R79" t="s">
        <v>73</v>
      </c>
      <c r="S79" t="s">
        <v>62</v>
      </c>
      <c r="T79" t="s">
        <v>62</v>
      </c>
      <c r="U79" t="s">
        <v>62</v>
      </c>
      <c r="V79" t="s">
        <v>62</v>
      </c>
      <c r="W79" t="s">
        <v>74</v>
      </c>
      <c r="X79" t="s">
        <v>62</v>
      </c>
      <c r="Y79" t="s">
        <v>62</v>
      </c>
      <c r="Z79" t="s">
        <v>62</v>
      </c>
      <c r="AA79" t="s">
        <v>62</v>
      </c>
      <c r="AB79" t="s">
        <v>62</v>
      </c>
      <c r="AC79" t="s">
        <v>62</v>
      </c>
      <c r="AD79" t="s">
        <v>62</v>
      </c>
      <c r="AE79" t="s">
        <v>62</v>
      </c>
      <c r="AF79" t="s">
        <v>62</v>
      </c>
      <c r="AG79" t="s">
        <v>62</v>
      </c>
      <c r="AH79" t="s">
        <v>62</v>
      </c>
      <c r="AI79" t="s">
        <v>62</v>
      </c>
      <c r="AJ79" t="s">
        <v>121</v>
      </c>
      <c r="AK79" t="s">
        <v>62</v>
      </c>
      <c r="AL79" t="s">
        <v>62</v>
      </c>
      <c r="AM79" t="s">
        <v>62</v>
      </c>
      <c r="AN79" t="s">
        <v>62</v>
      </c>
      <c r="AO79" t="s">
        <v>112</v>
      </c>
    </row>
    <row r="80" spans="1:51" x14ac:dyDescent="0.25">
      <c r="A80" t="s">
        <v>395</v>
      </c>
      <c r="B80">
        <v>71</v>
      </c>
      <c r="C80">
        <v>2026</v>
      </c>
      <c r="D80">
        <v>3</v>
      </c>
      <c r="E80">
        <v>24</v>
      </c>
      <c r="F80" t="s">
        <v>62</v>
      </c>
      <c r="G80" t="s">
        <v>63</v>
      </c>
      <c r="H80" t="s">
        <v>396</v>
      </c>
      <c r="I80" t="s">
        <v>397</v>
      </c>
      <c r="J80" t="s">
        <v>66</v>
      </c>
      <c r="L80" t="s">
        <v>398</v>
      </c>
      <c r="M80" t="s">
        <v>179</v>
      </c>
      <c r="N80" t="s">
        <v>117</v>
      </c>
      <c r="O80" t="s">
        <v>365</v>
      </c>
      <c r="P80" t="s">
        <v>313</v>
      </c>
      <c r="Q80" t="s">
        <v>399</v>
      </c>
      <c r="R80" t="s">
        <v>120</v>
      </c>
      <c r="S80" t="s">
        <v>62</v>
      </c>
      <c r="T80" t="s">
        <v>62</v>
      </c>
      <c r="U80" t="s">
        <v>62</v>
      </c>
      <c r="V80" t="s">
        <v>62</v>
      </c>
      <c r="W80" t="s">
        <v>62</v>
      </c>
      <c r="X80" t="s">
        <v>74</v>
      </c>
      <c r="Y80" t="s">
        <v>62</v>
      </c>
      <c r="Z80" t="s">
        <v>62</v>
      </c>
      <c r="AA80" t="s">
        <v>62</v>
      </c>
      <c r="AB80" t="s">
        <v>62</v>
      </c>
      <c r="AC80" t="s">
        <v>62</v>
      </c>
      <c r="AD80" t="s">
        <v>62</v>
      </c>
      <c r="AE80" t="s">
        <v>62</v>
      </c>
      <c r="AF80" t="s">
        <v>62</v>
      </c>
      <c r="AG80" t="s">
        <v>62</v>
      </c>
      <c r="AH80" t="s">
        <v>62</v>
      </c>
      <c r="AI80" t="s">
        <v>62</v>
      </c>
      <c r="AJ80" t="s">
        <v>121</v>
      </c>
      <c r="AK80" t="s">
        <v>62</v>
      </c>
      <c r="AL80" t="s">
        <v>62</v>
      </c>
      <c r="AM80" t="s">
        <v>62</v>
      </c>
      <c r="AN80" t="s">
        <v>76</v>
      </c>
      <c r="AO80" t="s">
        <v>99</v>
      </c>
    </row>
    <row r="81" spans="1:51" x14ac:dyDescent="0.25">
      <c r="A81" t="s">
        <v>395</v>
      </c>
      <c r="B81">
        <v>72</v>
      </c>
      <c r="C81">
        <v>2026</v>
      </c>
      <c r="D81">
        <v>3</v>
      </c>
      <c r="E81">
        <v>104</v>
      </c>
      <c r="F81" t="s">
        <v>62</v>
      </c>
      <c r="G81" t="s">
        <v>63</v>
      </c>
      <c r="H81" t="s">
        <v>400</v>
      </c>
      <c r="I81" t="s">
        <v>401</v>
      </c>
      <c r="J81" t="s">
        <v>81</v>
      </c>
      <c r="L81" t="s">
        <v>398</v>
      </c>
      <c r="M81" t="s">
        <v>83</v>
      </c>
      <c r="N81" t="s">
        <v>117</v>
      </c>
      <c r="O81" t="s">
        <v>402</v>
      </c>
      <c r="P81" t="s">
        <v>327</v>
      </c>
      <c r="Q81" t="s">
        <v>403</v>
      </c>
      <c r="R81" t="s">
        <v>91</v>
      </c>
      <c r="S81" t="s">
        <v>62</v>
      </c>
      <c r="T81" t="s">
        <v>62</v>
      </c>
      <c r="U81" t="s">
        <v>62</v>
      </c>
      <c r="V81" t="s">
        <v>62</v>
      </c>
      <c r="W81" t="s">
        <v>62</v>
      </c>
      <c r="X81" t="s">
        <v>74</v>
      </c>
      <c r="Y81" t="s">
        <v>62</v>
      </c>
      <c r="Z81" t="s">
        <v>62</v>
      </c>
      <c r="AA81" t="s">
        <v>62</v>
      </c>
      <c r="AB81" t="s">
        <v>62</v>
      </c>
      <c r="AC81" t="s">
        <v>62</v>
      </c>
      <c r="AD81" t="s">
        <v>62</v>
      </c>
      <c r="AE81" t="s">
        <v>62</v>
      </c>
      <c r="AF81" t="s">
        <v>62</v>
      </c>
      <c r="AG81" t="s">
        <v>62</v>
      </c>
      <c r="AH81" t="s">
        <v>62</v>
      </c>
      <c r="AI81" t="s">
        <v>62</v>
      </c>
      <c r="AJ81" t="s">
        <v>121</v>
      </c>
      <c r="AK81" t="s">
        <v>62</v>
      </c>
      <c r="AL81" t="s">
        <v>62</v>
      </c>
      <c r="AM81" t="s">
        <v>62</v>
      </c>
      <c r="AN81" t="s">
        <v>76</v>
      </c>
      <c r="AO81" t="s">
        <v>343</v>
      </c>
    </row>
    <row r="82" spans="1:51" x14ac:dyDescent="0.25">
      <c r="A82" t="s">
        <v>395</v>
      </c>
      <c r="B82">
        <v>73</v>
      </c>
      <c r="C82">
        <v>2026</v>
      </c>
      <c r="D82">
        <v>3</v>
      </c>
      <c r="E82">
        <v>25</v>
      </c>
      <c r="F82" t="s">
        <v>62</v>
      </c>
      <c r="G82" t="s">
        <v>63</v>
      </c>
      <c r="H82" t="s">
        <v>404</v>
      </c>
      <c r="I82" t="s">
        <v>405</v>
      </c>
      <c r="J82" t="s">
        <v>66</v>
      </c>
      <c r="L82" t="s">
        <v>398</v>
      </c>
      <c r="M82" t="s">
        <v>68</v>
      </c>
      <c r="N82" t="s">
        <v>117</v>
      </c>
      <c r="O82" t="s">
        <v>317</v>
      </c>
      <c r="P82" t="s">
        <v>85</v>
      </c>
      <c r="Q82" t="s">
        <v>240</v>
      </c>
      <c r="R82" t="s">
        <v>73</v>
      </c>
      <c r="S82" t="s">
        <v>62</v>
      </c>
      <c r="T82" t="s">
        <v>62</v>
      </c>
      <c r="U82" t="s">
        <v>62</v>
      </c>
      <c r="V82" t="s">
        <v>62</v>
      </c>
      <c r="W82" t="s">
        <v>62</v>
      </c>
      <c r="X82" t="s">
        <v>74</v>
      </c>
      <c r="Y82" t="s">
        <v>62</v>
      </c>
      <c r="Z82" t="s">
        <v>62</v>
      </c>
      <c r="AA82" t="s">
        <v>62</v>
      </c>
      <c r="AB82" t="s">
        <v>62</v>
      </c>
      <c r="AC82" t="s">
        <v>62</v>
      </c>
      <c r="AD82" t="s">
        <v>62</v>
      </c>
      <c r="AE82" t="s">
        <v>62</v>
      </c>
      <c r="AF82" t="s">
        <v>62</v>
      </c>
      <c r="AG82" t="s">
        <v>62</v>
      </c>
      <c r="AH82" t="s">
        <v>62</v>
      </c>
      <c r="AI82" t="s">
        <v>62</v>
      </c>
      <c r="AJ82" t="s">
        <v>121</v>
      </c>
      <c r="AK82" t="s">
        <v>62</v>
      </c>
      <c r="AL82" t="s">
        <v>62</v>
      </c>
      <c r="AM82" t="s">
        <v>62</v>
      </c>
      <c r="AN82" t="s">
        <v>76</v>
      </c>
      <c r="AO82" t="s">
        <v>99</v>
      </c>
    </row>
    <row r="83" spans="1:51" x14ac:dyDescent="0.25">
      <c r="A83" t="s">
        <v>406</v>
      </c>
      <c r="B83">
        <v>74</v>
      </c>
      <c r="C83">
        <v>2026</v>
      </c>
      <c r="D83">
        <v>3</v>
      </c>
      <c r="E83">
        <v>22</v>
      </c>
      <c r="F83" t="s">
        <v>62</v>
      </c>
      <c r="G83" t="s">
        <v>93</v>
      </c>
      <c r="H83" t="s">
        <v>407</v>
      </c>
      <c r="I83" t="s">
        <v>408</v>
      </c>
      <c r="J83" t="s">
        <v>66</v>
      </c>
      <c r="L83" t="s">
        <v>205</v>
      </c>
      <c r="M83" t="s">
        <v>68</v>
      </c>
      <c r="N83" t="s">
        <v>108</v>
      </c>
      <c r="O83" t="s">
        <v>409</v>
      </c>
      <c r="P83" t="s">
        <v>410</v>
      </c>
      <c r="Q83" t="s">
        <v>411</v>
      </c>
      <c r="S83" t="s">
        <v>62</v>
      </c>
      <c r="T83" t="s">
        <v>62</v>
      </c>
      <c r="U83" t="s">
        <v>62</v>
      </c>
      <c r="V83" t="s">
        <v>62</v>
      </c>
      <c r="W83" t="s">
        <v>74</v>
      </c>
      <c r="X83" t="s">
        <v>62</v>
      </c>
      <c r="Y83" t="s">
        <v>62</v>
      </c>
      <c r="Z83" t="s">
        <v>62</v>
      </c>
      <c r="AA83" t="s">
        <v>62</v>
      </c>
      <c r="AB83" t="s">
        <v>62</v>
      </c>
      <c r="AC83" t="s">
        <v>62</v>
      </c>
      <c r="AD83" t="s">
        <v>62</v>
      </c>
      <c r="AE83" t="s">
        <v>62</v>
      </c>
      <c r="AF83" t="s">
        <v>62</v>
      </c>
      <c r="AG83" t="s">
        <v>62</v>
      </c>
      <c r="AH83" t="s">
        <v>62</v>
      </c>
      <c r="AI83" t="s">
        <v>62</v>
      </c>
      <c r="AJ83" t="s">
        <v>75</v>
      </c>
      <c r="AK83" t="s">
        <v>62</v>
      </c>
      <c r="AL83" t="s">
        <v>62</v>
      </c>
      <c r="AM83" t="s">
        <v>62</v>
      </c>
      <c r="AN83" t="s">
        <v>62</v>
      </c>
      <c r="AO83" t="s">
        <v>112</v>
      </c>
    </row>
    <row r="84" spans="1:51" x14ac:dyDescent="0.25">
      <c r="A84" t="s">
        <v>406</v>
      </c>
      <c r="B84">
        <v>75</v>
      </c>
      <c r="C84">
        <v>2026</v>
      </c>
      <c r="D84">
        <v>3</v>
      </c>
      <c r="E84">
        <v>220</v>
      </c>
      <c r="F84" t="s">
        <v>62</v>
      </c>
      <c r="G84" t="s">
        <v>63</v>
      </c>
      <c r="H84" t="s">
        <v>412</v>
      </c>
      <c r="I84" t="s">
        <v>413</v>
      </c>
      <c r="J84" t="s">
        <v>66</v>
      </c>
      <c r="L84" t="s">
        <v>259</v>
      </c>
      <c r="M84" t="s">
        <v>83</v>
      </c>
      <c r="N84" t="s">
        <v>117</v>
      </c>
      <c r="O84" t="s">
        <v>414</v>
      </c>
      <c r="P84" t="s">
        <v>254</v>
      </c>
      <c r="Q84" t="s">
        <v>415</v>
      </c>
      <c r="R84" t="s">
        <v>256</v>
      </c>
      <c r="S84" t="s">
        <v>62</v>
      </c>
      <c r="T84" t="s">
        <v>62</v>
      </c>
      <c r="U84" t="s">
        <v>62</v>
      </c>
      <c r="V84" t="s">
        <v>62</v>
      </c>
      <c r="W84" t="s">
        <v>62</v>
      </c>
      <c r="X84" t="s">
        <v>74</v>
      </c>
      <c r="Y84" t="s">
        <v>62</v>
      </c>
      <c r="Z84" t="s">
        <v>62</v>
      </c>
      <c r="AA84" t="s">
        <v>62</v>
      </c>
      <c r="AB84" t="s">
        <v>62</v>
      </c>
      <c r="AC84" t="s">
        <v>62</v>
      </c>
      <c r="AD84" t="s">
        <v>62</v>
      </c>
      <c r="AE84" t="s">
        <v>62</v>
      </c>
      <c r="AF84" t="s">
        <v>62</v>
      </c>
      <c r="AG84" t="s">
        <v>62</v>
      </c>
      <c r="AH84" t="s">
        <v>62</v>
      </c>
      <c r="AI84" t="s">
        <v>62</v>
      </c>
      <c r="AJ84" t="s">
        <v>121</v>
      </c>
      <c r="AK84" t="s">
        <v>62</v>
      </c>
      <c r="AL84" t="s">
        <v>62</v>
      </c>
      <c r="AM84" t="s">
        <v>62</v>
      </c>
      <c r="AN84" t="s">
        <v>76</v>
      </c>
      <c r="AO84" t="s">
        <v>112</v>
      </c>
    </row>
    <row r="85" spans="1:51" x14ac:dyDescent="0.25">
      <c r="A85" t="s">
        <v>406</v>
      </c>
      <c r="B85">
        <v>76</v>
      </c>
      <c r="C85">
        <v>2026</v>
      </c>
      <c r="D85">
        <v>3</v>
      </c>
      <c r="E85">
        <v>212</v>
      </c>
      <c r="F85" t="s">
        <v>62</v>
      </c>
      <c r="G85" t="s">
        <v>63</v>
      </c>
      <c r="H85" t="s">
        <v>416</v>
      </c>
      <c r="I85" t="s">
        <v>417</v>
      </c>
      <c r="J85" t="s">
        <v>81</v>
      </c>
      <c r="L85" t="s">
        <v>67</v>
      </c>
      <c r="M85" t="s">
        <v>83</v>
      </c>
      <c r="N85" t="s">
        <v>108</v>
      </c>
      <c r="O85" t="s">
        <v>186</v>
      </c>
      <c r="P85" t="s">
        <v>187</v>
      </c>
      <c r="Q85" t="s">
        <v>186</v>
      </c>
      <c r="R85" t="s">
        <v>189</v>
      </c>
      <c r="S85" t="s">
        <v>62</v>
      </c>
      <c r="T85" t="s">
        <v>62</v>
      </c>
      <c r="U85" t="s">
        <v>62</v>
      </c>
      <c r="V85" t="s">
        <v>62</v>
      </c>
      <c r="W85" t="s">
        <v>74</v>
      </c>
      <c r="X85" t="s">
        <v>62</v>
      </c>
      <c r="Y85" t="s">
        <v>62</v>
      </c>
      <c r="Z85" t="s">
        <v>62</v>
      </c>
      <c r="AA85" t="s">
        <v>62</v>
      </c>
      <c r="AB85" t="s">
        <v>62</v>
      </c>
      <c r="AC85" t="s">
        <v>62</v>
      </c>
      <c r="AD85" t="s">
        <v>62</v>
      </c>
      <c r="AE85" t="s">
        <v>62</v>
      </c>
      <c r="AF85" t="s">
        <v>62</v>
      </c>
      <c r="AG85" t="s">
        <v>62</v>
      </c>
      <c r="AH85" t="s">
        <v>62</v>
      </c>
      <c r="AI85" t="s">
        <v>62</v>
      </c>
      <c r="AK85" t="s">
        <v>62</v>
      </c>
      <c r="AL85" t="s">
        <v>62</v>
      </c>
      <c r="AM85" t="s">
        <v>62</v>
      </c>
      <c r="AN85" t="s">
        <v>76</v>
      </c>
      <c r="AO85" t="s">
        <v>112</v>
      </c>
    </row>
    <row r="86" spans="1:51" x14ac:dyDescent="0.25">
      <c r="A86" t="s">
        <v>406</v>
      </c>
      <c r="B86">
        <v>77</v>
      </c>
      <c r="C86">
        <v>2026</v>
      </c>
      <c r="D86">
        <v>3</v>
      </c>
      <c r="E86">
        <v>22</v>
      </c>
      <c r="F86" t="s">
        <v>62</v>
      </c>
      <c r="G86" t="s">
        <v>63</v>
      </c>
      <c r="H86" t="s">
        <v>418</v>
      </c>
      <c r="I86" t="s">
        <v>419</v>
      </c>
      <c r="J86" t="s">
        <v>81</v>
      </c>
      <c r="L86" t="s">
        <v>205</v>
      </c>
      <c r="M86" t="s">
        <v>68</v>
      </c>
      <c r="N86" t="s">
        <v>117</v>
      </c>
      <c r="O86" t="s">
        <v>317</v>
      </c>
      <c r="P86" t="s">
        <v>85</v>
      </c>
      <c r="Q86" t="s">
        <v>420</v>
      </c>
      <c r="R86" t="s">
        <v>73</v>
      </c>
      <c r="S86" t="s">
        <v>62</v>
      </c>
      <c r="T86" t="s">
        <v>62</v>
      </c>
      <c r="U86" t="s">
        <v>62</v>
      </c>
      <c r="V86" t="s">
        <v>62</v>
      </c>
      <c r="W86" t="s">
        <v>62</v>
      </c>
      <c r="X86" t="s">
        <v>74</v>
      </c>
      <c r="Y86" t="s">
        <v>62</v>
      </c>
      <c r="Z86" t="s">
        <v>62</v>
      </c>
      <c r="AA86" t="s">
        <v>62</v>
      </c>
      <c r="AB86" t="s">
        <v>62</v>
      </c>
      <c r="AC86" t="s">
        <v>62</v>
      </c>
      <c r="AD86" t="s">
        <v>62</v>
      </c>
      <c r="AE86" t="s">
        <v>62</v>
      </c>
      <c r="AF86" t="s">
        <v>62</v>
      </c>
      <c r="AG86" t="s">
        <v>62</v>
      </c>
      <c r="AH86" t="s">
        <v>62</v>
      </c>
      <c r="AI86" t="s">
        <v>62</v>
      </c>
      <c r="AJ86" t="s">
        <v>121</v>
      </c>
      <c r="AK86" t="s">
        <v>62</v>
      </c>
      <c r="AL86" t="s">
        <v>62</v>
      </c>
      <c r="AM86" t="s">
        <v>62</v>
      </c>
      <c r="AN86" t="s">
        <v>76</v>
      </c>
      <c r="AO86" t="s">
        <v>99</v>
      </c>
    </row>
    <row r="87" spans="1:51" x14ac:dyDescent="0.25">
      <c r="A87" t="s">
        <v>406</v>
      </c>
      <c r="B87">
        <v>78</v>
      </c>
      <c r="C87">
        <v>2026</v>
      </c>
      <c r="D87">
        <v>3</v>
      </c>
      <c r="E87">
        <v>26</v>
      </c>
      <c r="F87" t="s">
        <v>62</v>
      </c>
      <c r="G87" t="s">
        <v>63</v>
      </c>
      <c r="H87" t="s">
        <v>421</v>
      </c>
      <c r="I87" t="s">
        <v>422</v>
      </c>
      <c r="J87" t="s">
        <v>66</v>
      </c>
      <c r="L87" t="s">
        <v>205</v>
      </c>
      <c r="M87" t="s">
        <v>83</v>
      </c>
      <c r="N87" t="s">
        <v>117</v>
      </c>
      <c r="O87" t="s">
        <v>423</v>
      </c>
      <c r="P87" t="s">
        <v>97</v>
      </c>
      <c r="Q87" t="s">
        <v>424</v>
      </c>
      <c r="R87" t="s">
        <v>73</v>
      </c>
      <c r="S87" t="s">
        <v>62</v>
      </c>
      <c r="T87" t="s">
        <v>62</v>
      </c>
      <c r="U87" t="s">
        <v>62</v>
      </c>
      <c r="V87" t="s">
        <v>62</v>
      </c>
      <c r="W87" t="s">
        <v>62</v>
      </c>
      <c r="X87" t="s">
        <v>74</v>
      </c>
      <c r="Y87" t="s">
        <v>62</v>
      </c>
      <c r="Z87" t="s">
        <v>62</v>
      </c>
      <c r="AA87" t="s">
        <v>62</v>
      </c>
      <c r="AB87" t="s">
        <v>62</v>
      </c>
      <c r="AC87" t="s">
        <v>62</v>
      </c>
      <c r="AD87" t="s">
        <v>62</v>
      </c>
      <c r="AE87" t="s">
        <v>62</v>
      </c>
      <c r="AF87" t="s">
        <v>62</v>
      </c>
      <c r="AG87" t="s">
        <v>62</v>
      </c>
      <c r="AH87" t="s">
        <v>62</v>
      </c>
      <c r="AI87" t="s">
        <v>62</v>
      </c>
      <c r="AJ87" t="s">
        <v>121</v>
      </c>
      <c r="AK87" t="s">
        <v>62</v>
      </c>
      <c r="AL87" t="s">
        <v>62</v>
      </c>
      <c r="AM87" t="s">
        <v>62</v>
      </c>
      <c r="AN87" t="s">
        <v>76</v>
      </c>
      <c r="AO87" t="s">
        <v>112</v>
      </c>
    </row>
    <row r="88" spans="1:51" x14ac:dyDescent="0.25">
      <c r="A88" t="s">
        <v>406</v>
      </c>
      <c r="B88">
        <v>79</v>
      </c>
      <c r="C88">
        <v>2026</v>
      </c>
      <c r="D88">
        <v>3</v>
      </c>
      <c r="E88">
        <v>205</v>
      </c>
      <c r="F88" t="s">
        <v>62</v>
      </c>
      <c r="G88" t="s">
        <v>63</v>
      </c>
      <c r="H88" t="s">
        <v>344</v>
      </c>
      <c r="I88" t="s">
        <v>345</v>
      </c>
      <c r="J88" t="s">
        <v>81</v>
      </c>
      <c r="L88" t="s">
        <v>82</v>
      </c>
      <c r="M88" t="s">
        <v>68</v>
      </c>
      <c r="N88" t="s">
        <v>41</v>
      </c>
      <c r="O88" t="s">
        <v>425</v>
      </c>
      <c r="P88" t="s">
        <v>90</v>
      </c>
      <c r="Q88" t="s">
        <v>426</v>
      </c>
      <c r="R88" t="s">
        <v>91</v>
      </c>
      <c r="S88" t="s">
        <v>62</v>
      </c>
      <c r="T88" t="s">
        <v>62</v>
      </c>
      <c r="U88" t="s">
        <v>62</v>
      </c>
      <c r="V88" t="s">
        <v>74</v>
      </c>
      <c r="W88" t="s">
        <v>62</v>
      </c>
      <c r="X88" t="s">
        <v>62</v>
      </c>
      <c r="Y88" t="s">
        <v>62</v>
      </c>
      <c r="Z88" t="s">
        <v>62</v>
      </c>
      <c r="AA88" t="s">
        <v>62</v>
      </c>
      <c r="AB88" t="s">
        <v>62</v>
      </c>
      <c r="AC88" t="s">
        <v>62</v>
      </c>
      <c r="AD88" t="s">
        <v>62</v>
      </c>
      <c r="AE88" t="s">
        <v>62</v>
      </c>
      <c r="AF88" t="s">
        <v>62</v>
      </c>
      <c r="AG88" t="s">
        <v>62</v>
      </c>
      <c r="AH88" t="s">
        <v>62</v>
      </c>
      <c r="AI88" t="s">
        <v>62</v>
      </c>
      <c r="AJ88" t="s">
        <v>75</v>
      </c>
      <c r="AK88" t="s">
        <v>62</v>
      </c>
      <c r="AL88" t="s">
        <v>62</v>
      </c>
      <c r="AM88" t="s">
        <v>62</v>
      </c>
      <c r="AN88" t="s">
        <v>76</v>
      </c>
      <c r="AO88" t="s">
        <v>77</v>
      </c>
    </row>
    <row r="89" spans="1:51" x14ac:dyDescent="0.25">
      <c r="A89" t="s">
        <v>427</v>
      </c>
      <c r="B89">
        <v>80</v>
      </c>
      <c r="C89">
        <v>2026</v>
      </c>
      <c r="D89">
        <v>3</v>
      </c>
      <c r="E89">
        <v>251</v>
      </c>
      <c r="F89" t="s">
        <v>62</v>
      </c>
      <c r="G89" t="s">
        <v>63</v>
      </c>
      <c r="H89" t="s">
        <v>428</v>
      </c>
      <c r="I89" t="s">
        <v>429</v>
      </c>
      <c r="J89" t="s">
        <v>66</v>
      </c>
      <c r="L89" t="s">
        <v>82</v>
      </c>
      <c r="M89" t="s">
        <v>68</v>
      </c>
      <c r="N89" t="s">
        <v>41</v>
      </c>
      <c r="O89" t="s">
        <v>430</v>
      </c>
      <c r="P89" t="s">
        <v>254</v>
      </c>
      <c r="Q89" t="s">
        <v>431</v>
      </c>
      <c r="R89" t="s">
        <v>256</v>
      </c>
      <c r="S89" t="s">
        <v>62</v>
      </c>
      <c r="T89" t="s">
        <v>62</v>
      </c>
      <c r="U89" t="s">
        <v>62</v>
      </c>
      <c r="V89" t="s">
        <v>74</v>
      </c>
      <c r="W89" t="s">
        <v>62</v>
      </c>
      <c r="X89" t="s">
        <v>62</v>
      </c>
      <c r="Y89" t="s">
        <v>62</v>
      </c>
      <c r="Z89" t="s">
        <v>62</v>
      </c>
      <c r="AA89" t="s">
        <v>62</v>
      </c>
      <c r="AB89" t="s">
        <v>62</v>
      </c>
      <c r="AC89" t="s">
        <v>62</v>
      </c>
      <c r="AD89" t="s">
        <v>62</v>
      </c>
      <c r="AE89" t="s">
        <v>62</v>
      </c>
      <c r="AF89" t="s">
        <v>62</v>
      </c>
      <c r="AG89" t="s">
        <v>62</v>
      </c>
      <c r="AH89" t="s">
        <v>62</v>
      </c>
      <c r="AI89" t="s">
        <v>62</v>
      </c>
      <c r="AJ89" t="s">
        <v>75</v>
      </c>
      <c r="AK89" t="s">
        <v>62</v>
      </c>
      <c r="AL89" t="s">
        <v>62</v>
      </c>
      <c r="AM89" t="s">
        <v>62</v>
      </c>
      <c r="AN89" t="s">
        <v>76</v>
      </c>
      <c r="AO89" t="s">
        <v>77</v>
      </c>
    </row>
    <row r="90" spans="1:51" x14ac:dyDescent="0.25">
      <c r="A90" t="s">
        <v>427</v>
      </c>
      <c r="B90">
        <v>81</v>
      </c>
      <c r="C90">
        <v>2026</v>
      </c>
      <c r="D90">
        <v>3</v>
      </c>
      <c r="E90">
        <v>27</v>
      </c>
      <c r="F90" t="s">
        <v>62</v>
      </c>
      <c r="G90" t="s">
        <v>63</v>
      </c>
      <c r="H90" t="s">
        <v>432</v>
      </c>
      <c r="I90" t="s">
        <v>433</v>
      </c>
      <c r="J90" t="s">
        <v>81</v>
      </c>
      <c r="L90" t="s">
        <v>82</v>
      </c>
      <c r="M90" t="s">
        <v>68</v>
      </c>
      <c r="N90" t="s">
        <v>69</v>
      </c>
      <c r="O90" t="s">
        <v>434</v>
      </c>
      <c r="P90" t="s">
        <v>435</v>
      </c>
      <c r="Q90" t="s">
        <v>436</v>
      </c>
      <c r="R90" t="s">
        <v>91</v>
      </c>
      <c r="S90" t="s">
        <v>62</v>
      </c>
      <c r="T90" t="s">
        <v>62</v>
      </c>
      <c r="U90" t="s">
        <v>62</v>
      </c>
      <c r="V90" t="s">
        <v>62</v>
      </c>
      <c r="W90" t="s">
        <v>62</v>
      </c>
      <c r="X90" t="s">
        <v>62</v>
      </c>
      <c r="Y90" t="s">
        <v>62</v>
      </c>
      <c r="Z90" t="s">
        <v>62</v>
      </c>
      <c r="AA90" t="s">
        <v>74</v>
      </c>
      <c r="AB90" t="s">
        <v>62</v>
      </c>
      <c r="AC90" t="s">
        <v>62</v>
      </c>
      <c r="AD90" t="s">
        <v>62</v>
      </c>
      <c r="AE90" t="s">
        <v>62</v>
      </c>
      <c r="AF90" t="s">
        <v>62</v>
      </c>
      <c r="AG90" t="s">
        <v>62</v>
      </c>
      <c r="AH90" t="s">
        <v>62</v>
      </c>
      <c r="AI90" t="s">
        <v>62</v>
      </c>
      <c r="AJ90" t="s">
        <v>121</v>
      </c>
      <c r="AK90" t="s">
        <v>62</v>
      </c>
      <c r="AL90" t="s">
        <v>62</v>
      </c>
      <c r="AM90" t="s">
        <v>62</v>
      </c>
      <c r="AN90" t="s">
        <v>76</v>
      </c>
      <c r="AO90" t="s">
        <v>77</v>
      </c>
    </row>
    <row r="91" spans="1:51" x14ac:dyDescent="0.25">
      <c r="A91" t="s">
        <v>427</v>
      </c>
      <c r="B91">
        <v>82</v>
      </c>
      <c r="C91">
        <v>2026</v>
      </c>
      <c r="D91">
        <v>3</v>
      </c>
      <c r="E91">
        <v>152</v>
      </c>
      <c r="F91" t="s">
        <v>62</v>
      </c>
      <c r="G91" t="s">
        <v>63</v>
      </c>
      <c r="H91" t="s">
        <v>437</v>
      </c>
      <c r="I91" t="s">
        <v>438</v>
      </c>
      <c r="J91" t="s">
        <v>81</v>
      </c>
      <c r="L91" t="s">
        <v>82</v>
      </c>
      <c r="M91" t="s">
        <v>179</v>
      </c>
      <c r="N91" t="s">
        <v>41</v>
      </c>
      <c r="O91" t="s">
        <v>439</v>
      </c>
      <c r="P91" t="s">
        <v>327</v>
      </c>
      <c r="Q91" t="s">
        <v>440</v>
      </c>
      <c r="R91" t="s">
        <v>91</v>
      </c>
      <c r="S91" t="s">
        <v>62</v>
      </c>
      <c r="T91" t="s">
        <v>62</v>
      </c>
      <c r="U91" t="s">
        <v>62</v>
      </c>
      <c r="V91" t="s">
        <v>74</v>
      </c>
      <c r="W91" t="s">
        <v>62</v>
      </c>
      <c r="X91" t="s">
        <v>62</v>
      </c>
      <c r="Y91" t="s">
        <v>62</v>
      </c>
      <c r="Z91" t="s">
        <v>62</v>
      </c>
      <c r="AA91" t="s">
        <v>62</v>
      </c>
      <c r="AB91" t="s">
        <v>62</v>
      </c>
      <c r="AC91" t="s">
        <v>62</v>
      </c>
      <c r="AD91" t="s">
        <v>62</v>
      </c>
      <c r="AE91" t="s">
        <v>62</v>
      </c>
      <c r="AF91" t="s">
        <v>62</v>
      </c>
      <c r="AG91" t="s">
        <v>62</v>
      </c>
      <c r="AH91" t="s">
        <v>62</v>
      </c>
      <c r="AI91" t="s">
        <v>62</v>
      </c>
      <c r="AJ91" t="s">
        <v>75</v>
      </c>
      <c r="AK91" t="s">
        <v>62</v>
      </c>
      <c r="AL91" t="s">
        <v>62</v>
      </c>
      <c r="AM91" t="s">
        <v>62</v>
      </c>
      <c r="AN91" t="s">
        <v>76</v>
      </c>
      <c r="AO91" t="s">
        <v>77</v>
      </c>
    </row>
    <row r="92" spans="1:51" x14ac:dyDescent="0.25">
      <c r="A92" t="s">
        <v>427</v>
      </c>
      <c r="B92">
        <v>83</v>
      </c>
      <c r="C92">
        <v>2026</v>
      </c>
      <c r="D92">
        <v>3</v>
      </c>
      <c r="E92">
        <v>13</v>
      </c>
      <c r="F92" t="s">
        <v>62</v>
      </c>
      <c r="G92" t="s">
        <v>63</v>
      </c>
      <c r="H92" t="s">
        <v>295</v>
      </c>
      <c r="I92" t="s">
        <v>296</v>
      </c>
      <c r="J92" t="s">
        <v>66</v>
      </c>
      <c r="L92" t="s">
        <v>67</v>
      </c>
      <c r="M92" t="s">
        <v>68</v>
      </c>
      <c r="N92" t="s">
        <v>69</v>
      </c>
      <c r="O92" t="s">
        <v>441</v>
      </c>
      <c r="P92" t="s">
        <v>90</v>
      </c>
      <c r="Q92" t="s">
        <v>442</v>
      </c>
      <c r="R92" t="s">
        <v>91</v>
      </c>
      <c r="S92" t="s">
        <v>62</v>
      </c>
      <c r="T92" t="s">
        <v>62</v>
      </c>
      <c r="U92" t="s">
        <v>62</v>
      </c>
      <c r="V92" t="s">
        <v>62</v>
      </c>
      <c r="W92" t="s">
        <v>62</v>
      </c>
      <c r="X92" t="s">
        <v>62</v>
      </c>
      <c r="Y92" t="s">
        <v>62</v>
      </c>
      <c r="Z92" t="s">
        <v>62</v>
      </c>
      <c r="AA92" t="s">
        <v>74</v>
      </c>
      <c r="AB92" t="s">
        <v>62</v>
      </c>
      <c r="AC92" t="s">
        <v>62</v>
      </c>
      <c r="AD92" t="s">
        <v>62</v>
      </c>
      <c r="AE92" t="s">
        <v>62</v>
      </c>
      <c r="AF92" t="s">
        <v>62</v>
      </c>
      <c r="AG92" t="s">
        <v>62</v>
      </c>
      <c r="AH92" t="s">
        <v>62</v>
      </c>
      <c r="AI92" t="s">
        <v>62</v>
      </c>
      <c r="AJ92" t="s">
        <v>75</v>
      </c>
      <c r="AK92" t="s">
        <v>62</v>
      </c>
      <c r="AL92" t="s">
        <v>62</v>
      </c>
      <c r="AM92" t="s">
        <v>62</v>
      </c>
      <c r="AN92" t="s">
        <v>76</v>
      </c>
      <c r="AO92" t="s">
        <v>77</v>
      </c>
    </row>
    <row r="93" spans="1:51" x14ac:dyDescent="0.25">
      <c r="A93" t="s">
        <v>443</v>
      </c>
      <c r="B93">
        <v>84</v>
      </c>
      <c r="C93">
        <v>2026</v>
      </c>
      <c r="D93">
        <v>3</v>
      </c>
      <c r="E93">
        <v>87</v>
      </c>
      <c r="F93" t="s">
        <v>62</v>
      </c>
      <c r="G93" t="s">
        <v>63</v>
      </c>
      <c r="H93" t="s">
        <v>347</v>
      </c>
      <c r="I93" t="s">
        <v>348</v>
      </c>
      <c r="J93" t="s">
        <v>66</v>
      </c>
      <c r="L93" t="s">
        <v>82</v>
      </c>
      <c r="M93" t="s">
        <v>68</v>
      </c>
      <c r="N93" t="s">
        <v>69</v>
      </c>
      <c r="O93" t="s">
        <v>425</v>
      </c>
      <c r="P93" t="s">
        <v>90</v>
      </c>
      <c r="Q93" t="s">
        <v>442</v>
      </c>
      <c r="R93" t="s">
        <v>91</v>
      </c>
      <c r="S93" t="s">
        <v>62</v>
      </c>
      <c r="T93" t="s">
        <v>62</v>
      </c>
      <c r="U93" t="s">
        <v>62</v>
      </c>
      <c r="V93" t="s">
        <v>62</v>
      </c>
      <c r="W93" t="s">
        <v>62</v>
      </c>
      <c r="X93" t="s">
        <v>62</v>
      </c>
      <c r="Y93" t="s">
        <v>62</v>
      </c>
      <c r="Z93" t="s">
        <v>62</v>
      </c>
      <c r="AA93" t="s">
        <v>74</v>
      </c>
      <c r="AB93" t="s">
        <v>62</v>
      </c>
      <c r="AC93" t="s">
        <v>62</v>
      </c>
      <c r="AD93" t="s">
        <v>62</v>
      </c>
      <c r="AE93" t="s">
        <v>62</v>
      </c>
      <c r="AF93" t="s">
        <v>62</v>
      </c>
      <c r="AG93" t="s">
        <v>62</v>
      </c>
      <c r="AH93" t="s">
        <v>62</v>
      </c>
      <c r="AI93" t="s">
        <v>62</v>
      </c>
      <c r="AJ93" t="s">
        <v>75</v>
      </c>
      <c r="AK93" t="s">
        <v>62</v>
      </c>
      <c r="AL93" t="s">
        <v>62</v>
      </c>
      <c r="AM93" t="s">
        <v>62</v>
      </c>
      <c r="AN93" t="s">
        <v>76</v>
      </c>
      <c r="AO93" t="s">
        <v>77</v>
      </c>
    </row>
    <row r="94" spans="1:51" x14ac:dyDescent="0.25">
      <c r="A94" t="s">
        <v>443</v>
      </c>
      <c r="B94">
        <v>85</v>
      </c>
      <c r="C94">
        <v>2026</v>
      </c>
      <c r="D94">
        <v>3</v>
      </c>
      <c r="E94">
        <v>28</v>
      </c>
      <c r="F94" t="s">
        <v>62</v>
      </c>
      <c r="G94" t="s">
        <v>63</v>
      </c>
      <c r="H94" t="s">
        <v>444</v>
      </c>
      <c r="I94" t="s">
        <v>445</v>
      </c>
      <c r="J94" t="s">
        <v>81</v>
      </c>
      <c r="L94" t="s">
        <v>149</v>
      </c>
      <c r="M94" t="s">
        <v>68</v>
      </c>
      <c r="N94" t="s">
        <v>69</v>
      </c>
      <c r="O94" t="s">
        <v>446</v>
      </c>
      <c r="P94" t="s">
        <v>254</v>
      </c>
      <c r="Q94" t="s">
        <v>442</v>
      </c>
      <c r="R94" t="s">
        <v>256</v>
      </c>
      <c r="S94" t="s">
        <v>62</v>
      </c>
      <c r="T94" t="s">
        <v>62</v>
      </c>
      <c r="U94" t="s">
        <v>62</v>
      </c>
      <c r="V94" t="s">
        <v>62</v>
      </c>
      <c r="W94" t="s">
        <v>62</v>
      </c>
      <c r="X94" t="s">
        <v>62</v>
      </c>
      <c r="Y94" t="s">
        <v>62</v>
      </c>
      <c r="Z94" t="s">
        <v>62</v>
      </c>
      <c r="AA94" t="s">
        <v>74</v>
      </c>
      <c r="AB94" t="s">
        <v>62</v>
      </c>
      <c r="AC94" t="s">
        <v>62</v>
      </c>
      <c r="AD94" t="s">
        <v>62</v>
      </c>
      <c r="AE94" t="s">
        <v>62</v>
      </c>
      <c r="AF94" t="s">
        <v>62</v>
      </c>
      <c r="AG94" t="s">
        <v>62</v>
      </c>
      <c r="AH94" t="s">
        <v>62</v>
      </c>
      <c r="AI94" t="s">
        <v>62</v>
      </c>
      <c r="AJ94" t="s">
        <v>75</v>
      </c>
      <c r="AK94" t="s">
        <v>62</v>
      </c>
      <c r="AL94" t="s">
        <v>62</v>
      </c>
      <c r="AM94" t="s">
        <v>62</v>
      </c>
      <c r="AN94" t="s">
        <v>76</v>
      </c>
      <c r="AO94" t="s">
        <v>77</v>
      </c>
    </row>
    <row r="95" spans="1:51" x14ac:dyDescent="0.25">
      <c r="A95" t="s">
        <v>443</v>
      </c>
      <c r="B95">
        <v>86</v>
      </c>
      <c r="C95">
        <v>2026</v>
      </c>
      <c r="D95">
        <v>3</v>
      </c>
      <c r="E95">
        <v>6</v>
      </c>
      <c r="F95" t="s">
        <v>62</v>
      </c>
      <c r="G95" t="s">
        <v>63</v>
      </c>
      <c r="H95" t="s">
        <v>447</v>
      </c>
      <c r="I95" t="s">
        <v>448</v>
      </c>
      <c r="J95" t="s">
        <v>81</v>
      </c>
      <c r="L95" t="s">
        <v>82</v>
      </c>
      <c r="M95" t="s">
        <v>68</v>
      </c>
      <c r="N95" t="s">
        <v>69</v>
      </c>
      <c r="O95" t="s">
        <v>449</v>
      </c>
      <c r="P95" t="s">
        <v>353</v>
      </c>
      <c r="Q95" t="s">
        <v>442</v>
      </c>
      <c r="R95" t="s">
        <v>73</v>
      </c>
      <c r="S95" t="s">
        <v>62</v>
      </c>
      <c r="T95" t="s">
        <v>62</v>
      </c>
      <c r="U95" t="s">
        <v>62</v>
      </c>
      <c r="V95" t="s">
        <v>62</v>
      </c>
      <c r="W95" t="s">
        <v>62</v>
      </c>
      <c r="X95" t="s">
        <v>62</v>
      </c>
      <c r="Y95" t="s">
        <v>62</v>
      </c>
      <c r="Z95" t="s">
        <v>62</v>
      </c>
      <c r="AA95" t="s">
        <v>74</v>
      </c>
      <c r="AB95" t="s">
        <v>62</v>
      </c>
      <c r="AC95" t="s">
        <v>62</v>
      </c>
      <c r="AD95" t="s">
        <v>62</v>
      </c>
      <c r="AE95" t="s">
        <v>62</v>
      </c>
      <c r="AF95" t="s">
        <v>62</v>
      </c>
      <c r="AG95" t="s">
        <v>62</v>
      </c>
      <c r="AH95" t="s">
        <v>62</v>
      </c>
      <c r="AI95" t="s">
        <v>62</v>
      </c>
      <c r="AJ95" t="s">
        <v>75</v>
      </c>
      <c r="AK95" t="s">
        <v>62</v>
      </c>
      <c r="AL95" t="s">
        <v>62</v>
      </c>
      <c r="AM95" t="s">
        <v>62</v>
      </c>
      <c r="AN95" t="s">
        <v>76</v>
      </c>
      <c r="AO95" t="s">
        <v>77</v>
      </c>
    </row>
    <row r="96" spans="1:51" x14ac:dyDescent="0.25">
      <c r="A96" t="s">
        <v>443</v>
      </c>
      <c r="B96">
        <v>87</v>
      </c>
      <c r="C96">
        <v>2026</v>
      </c>
      <c r="D96">
        <v>3</v>
      </c>
      <c r="E96">
        <v>29</v>
      </c>
      <c r="F96" t="s">
        <v>62</v>
      </c>
      <c r="G96" t="s">
        <v>63</v>
      </c>
      <c r="H96" t="s">
        <v>450</v>
      </c>
      <c r="I96" t="s">
        <v>451</v>
      </c>
      <c r="J96" t="s">
        <v>81</v>
      </c>
      <c r="L96" t="s">
        <v>149</v>
      </c>
      <c r="M96" t="s">
        <v>68</v>
      </c>
      <c r="N96" t="s">
        <v>69</v>
      </c>
      <c r="O96" t="s">
        <v>452</v>
      </c>
      <c r="P96" t="s">
        <v>254</v>
      </c>
      <c r="Q96" t="s">
        <v>442</v>
      </c>
      <c r="R96" t="s">
        <v>256</v>
      </c>
      <c r="S96" t="s">
        <v>62</v>
      </c>
      <c r="T96" t="s">
        <v>62</v>
      </c>
      <c r="U96" t="s">
        <v>62</v>
      </c>
      <c r="V96" t="s">
        <v>62</v>
      </c>
      <c r="W96" t="s">
        <v>62</v>
      </c>
      <c r="X96" t="s">
        <v>62</v>
      </c>
      <c r="Y96" t="s">
        <v>62</v>
      </c>
      <c r="Z96" t="s">
        <v>62</v>
      </c>
      <c r="AA96" t="s">
        <v>74</v>
      </c>
      <c r="AB96" t="s">
        <v>62</v>
      </c>
      <c r="AC96" t="s">
        <v>62</v>
      </c>
      <c r="AD96" t="s">
        <v>62</v>
      </c>
      <c r="AE96" t="s">
        <v>62</v>
      </c>
      <c r="AF96" t="s">
        <v>62</v>
      </c>
      <c r="AG96" t="s">
        <v>62</v>
      </c>
      <c r="AH96" t="s">
        <v>62</v>
      </c>
      <c r="AI96" t="s">
        <v>62</v>
      </c>
      <c r="AJ96" t="s">
        <v>75</v>
      </c>
      <c r="AK96" t="s">
        <v>62</v>
      </c>
      <c r="AL96" t="s">
        <v>62</v>
      </c>
      <c r="AM96" t="s">
        <v>62</v>
      </c>
      <c r="AN96" t="s">
        <v>76</v>
      </c>
      <c r="AO96" t="s">
        <v>77</v>
      </c>
    </row>
    <row r="97" spans="1:51" x14ac:dyDescent="0.25">
      <c r="A97" t="s">
        <v>443</v>
      </c>
      <c r="B97">
        <v>88</v>
      </c>
      <c r="C97">
        <v>2026</v>
      </c>
      <c r="D97">
        <v>3</v>
      </c>
      <c r="E97">
        <v>8</v>
      </c>
      <c r="F97" t="s">
        <v>62</v>
      </c>
      <c r="G97" t="s">
        <v>63</v>
      </c>
      <c r="H97" t="s">
        <v>453</v>
      </c>
      <c r="I97" t="s">
        <v>454</v>
      </c>
      <c r="J97" t="s">
        <v>66</v>
      </c>
      <c r="L97" t="s">
        <v>67</v>
      </c>
      <c r="M97" t="s">
        <v>68</v>
      </c>
      <c r="N97" t="s">
        <v>69</v>
      </c>
      <c r="O97" t="s">
        <v>455</v>
      </c>
      <c r="P97" t="s">
        <v>90</v>
      </c>
      <c r="Q97" t="s">
        <v>442</v>
      </c>
      <c r="R97" t="s">
        <v>91</v>
      </c>
      <c r="S97" t="s">
        <v>62</v>
      </c>
      <c r="T97" t="s">
        <v>62</v>
      </c>
      <c r="U97" t="s">
        <v>62</v>
      </c>
      <c r="V97" t="s">
        <v>62</v>
      </c>
      <c r="W97" t="s">
        <v>62</v>
      </c>
      <c r="X97" t="s">
        <v>62</v>
      </c>
      <c r="Y97" t="s">
        <v>62</v>
      </c>
      <c r="Z97" t="s">
        <v>62</v>
      </c>
      <c r="AA97" t="s">
        <v>74</v>
      </c>
      <c r="AB97" t="s">
        <v>62</v>
      </c>
      <c r="AC97" t="s">
        <v>62</v>
      </c>
      <c r="AD97" t="s">
        <v>62</v>
      </c>
      <c r="AE97" t="s">
        <v>62</v>
      </c>
      <c r="AF97" t="s">
        <v>62</v>
      </c>
      <c r="AG97" t="s">
        <v>62</v>
      </c>
      <c r="AH97" t="s">
        <v>62</v>
      </c>
      <c r="AI97" t="s">
        <v>62</v>
      </c>
      <c r="AJ97" t="s">
        <v>75</v>
      </c>
      <c r="AK97" t="s">
        <v>62</v>
      </c>
      <c r="AL97" t="s">
        <v>62</v>
      </c>
      <c r="AM97" t="s">
        <v>62</v>
      </c>
      <c r="AN97" t="s">
        <v>76</v>
      </c>
      <c r="AO97" t="s">
        <v>77</v>
      </c>
    </row>
    <row r="98" spans="1:51" x14ac:dyDescent="0.25">
      <c r="A98" t="s">
        <v>443</v>
      </c>
      <c r="B98">
        <v>89</v>
      </c>
      <c r="C98">
        <v>2026</v>
      </c>
      <c r="D98">
        <v>3</v>
      </c>
      <c r="E98">
        <v>68</v>
      </c>
      <c r="F98" t="s">
        <v>62</v>
      </c>
      <c r="G98" t="s">
        <v>63</v>
      </c>
      <c r="H98" t="s">
        <v>456</v>
      </c>
      <c r="I98" t="s">
        <v>457</v>
      </c>
      <c r="J98" t="s">
        <v>66</v>
      </c>
      <c r="L98" t="s">
        <v>67</v>
      </c>
      <c r="M98" t="s">
        <v>68</v>
      </c>
      <c r="N98" t="s">
        <v>69</v>
      </c>
      <c r="O98" t="s">
        <v>458</v>
      </c>
      <c r="P98" t="s">
        <v>246</v>
      </c>
      <c r="Q98" t="s">
        <v>442</v>
      </c>
      <c r="R98" t="s">
        <v>189</v>
      </c>
      <c r="S98" t="s">
        <v>62</v>
      </c>
      <c r="T98" t="s">
        <v>62</v>
      </c>
      <c r="U98" t="s">
        <v>62</v>
      </c>
      <c r="V98" t="s">
        <v>62</v>
      </c>
      <c r="W98" t="s">
        <v>62</v>
      </c>
      <c r="X98" t="s">
        <v>62</v>
      </c>
      <c r="Y98" t="s">
        <v>62</v>
      </c>
      <c r="Z98" t="s">
        <v>62</v>
      </c>
      <c r="AA98" t="s">
        <v>74</v>
      </c>
      <c r="AB98" t="s">
        <v>62</v>
      </c>
      <c r="AC98" t="s">
        <v>62</v>
      </c>
      <c r="AD98" t="s">
        <v>62</v>
      </c>
      <c r="AE98" t="s">
        <v>62</v>
      </c>
      <c r="AF98" t="s">
        <v>62</v>
      </c>
      <c r="AG98" t="s">
        <v>62</v>
      </c>
      <c r="AH98" t="s">
        <v>62</v>
      </c>
      <c r="AI98" t="s">
        <v>62</v>
      </c>
      <c r="AJ98" t="s">
        <v>75</v>
      </c>
      <c r="AK98" t="s">
        <v>62</v>
      </c>
      <c r="AL98" t="s">
        <v>62</v>
      </c>
      <c r="AM98" t="s">
        <v>62</v>
      </c>
      <c r="AN98" t="s">
        <v>76</v>
      </c>
      <c r="AO98" t="s">
        <v>77</v>
      </c>
    </row>
    <row r="99" spans="1:51" x14ac:dyDescent="0.25">
      <c r="A99" t="s">
        <v>443</v>
      </c>
      <c r="B99">
        <v>90</v>
      </c>
      <c r="C99">
        <v>2026</v>
      </c>
      <c r="D99">
        <v>3</v>
      </c>
      <c r="E99">
        <v>254</v>
      </c>
      <c r="F99" t="s">
        <v>62</v>
      </c>
      <c r="G99" t="s">
        <v>63</v>
      </c>
      <c r="H99" t="s">
        <v>459</v>
      </c>
      <c r="I99" t="s">
        <v>460</v>
      </c>
      <c r="J99" t="s">
        <v>81</v>
      </c>
      <c r="L99" t="s">
        <v>82</v>
      </c>
      <c r="M99" t="s">
        <v>68</v>
      </c>
      <c r="N99" t="s">
        <v>69</v>
      </c>
      <c r="O99" t="s">
        <v>461</v>
      </c>
      <c r="P99" t="s">
        <v>85</v>
      </c>
      <c r="Q99" t="s">
        <v>442</v>
      </c>
      <c r="R99" t="s">
        <v>73</v>
      </c>
      <c r="S99" t="s">
        <v>62</v>
      </c>
      <c r="T99" t="s">
        <v>62</v>
      </c>
      <c r="U99" t="s">
        <v>62</v>
      </c>
      <c r="V99" t="s">
        <v>62</v>
      </c>
      <c r="W99" t="s">
        <v>62</v>
      </c>
      <c r="X99" t="s">
        <v>62</v>
      </c>
      <c r="Y99" t="s">
        <v>62</v>
      </c>
      <c r="Z99" t="s">
        <v>62</v>
      </c>
      <c r="AA99" t="s">
        <v>74</v>
      </c>
      <c r="AB99" t="s">
        <v>62</v>
      </c>
      <c r="AC99" t="s">
        <v>62</v>
      </c>
      <c r="AD99" t="s">
        <v>62</v>
      </c>
      <c r="AE99" t="s">
        <v>62</v>
      </c>
      <c r="AF99" t="s">
        <v>62</v>
      </c>
      <c r="AG99" t="s">
        <v>62</v>
      </c>
      <c r="AH99" t="s">
        <v>62</v>
      </c>
      <c r="AI99" t="s">
        <v>62</v>
      </c>
      <c r="AJ99" t="s">
        <v>75</v>
      </c>
      <c r="AK99" t="s">
        <v>62</v>
      </c>
      <c r="AL99" t="s">
        <v>62</v>
      </c>
      <c r="AM99" t="s">
        <v>62</v>
      </c>
      <c r="AN99" t="s">
        <v>76</v>
      </c>
      <c r="AO99" t="s">
        <v>77</v>
      </c>
    </row>
    <row r="100" spans="1:51" x14ac:dyDescent="0.25">
      <c r="A100" t="s">
        <v>443</v>
      </c>
      <c r="B100">
        <v>91</v>
      </c>
      <c r="C100">
        <v>2026</v>
      </c>
      <c r="D100">
        <v>3</v>
      </c>
      <c r="E100">
        <v>30</v>
      </c>
      <c r="F100" t="s">
        <v>62</v>
      </c>
      <c r="G100" t="s">
        <v>63</v>
      </c>
      <c r="H100" t="s">
        <v>462</v>
      </c>
      <c r="I100" t="s">
        <v>463</v>
      </c>
      <c r="J100" t="s">
        <v>66</v>
      </c>
      <c r="L100" t="s">
        <v>82</v>
      </c>
      <c r="M100" t="s">
        <v>83</v>
      </c>
      <c r="N100" t="s">
        <v>117</v>
      </c>
      <c r="O100" t="s">
        <v>464</v>
      </c>
      <c r="P100" t="s">
        <v>85</v>
      </c>
      <c r="Q100" t="s">
        <v>465</v>
      </c>
      <c r="R100" t="s">
        <v>73</v>
      </c>
      <c r="S100" t="s">
        <v>62</v>
      </c>
      <c r="T100" t="s">
        <v>62</v>
      </c>
      <c r="U100" t="s">
        <v>62</v>
      </c>
      <c r="V100" t="s">
        <v>62</v>
      </c>
      <c r="W100" t="s">
        <v>62</v>
      </c>
      <c r="X100" t="s">
        <v>74</v>
      </c>
      <c r="Y100" t="s">
        <v>62</v>
      </c>
      <c r="Z100" t="s">
        <v>62</v>
      </c>
      <c r="AA100" t="s">
        <v>62</v>
      </c>
      <c r="AB100" t="s">
        <v>62</v>
      </c>
      <c r="AC100" t="s">
        <v>62</v>
      </c>
      <c r="AD100" t="s">
        <v>62</v>
      </c>
      <c r="AE100" t="s">
        <v>62</v>
      </c>
      <c r="AF100" t="s">
        <v>62</v>
      </c>
      <c r="AG100" t="s">
        <v>62</v>
      </c>
      <c r="AH100" t="s">
        <v>62</v>
      </c>
      <c r="AI100" t="s">
        <v>62</v>
      </c>
      <c r="AJ100" t="s">
        <v>121</v>
      </c>
      <c r="AK100" t="s">
        <v>62</v>
      </c>
      <c r="AL100" t="s">
        <v>62</v>
      </c>
      <c r="AM100" t="s">
        <v>62</v>
      </c>
      <c r="AN100" t="s">
        <v>76</v>
      </c>
      <c r="AO100" t="s">
        <v>112</v>
      </c>
    </row>
    <row r="101" spans="1:51" x14ac:dyDescent="0.25">
      <c r="A101" t="s">
        <v>466</v>
      </c>
      <c r="B101">
        <v>92</v>
      </c>
      <c r="C101">
        <v>2026</v>
      </c>
      <c r="D101">
        <v>4</v>
      </c>
      <c r="E101">
        <v>27</v>
      </c>
      <c r="F101" t="s">
        <v>62</v>
      </c>
      <c r="G101" t="s">
        <v>63</v>
      </c>
      <c r="H101" t="s">
        <v>432</v>
      </c>
      <c r="I101" t="s">
        <v>433</v>
      </c>
      <c r="J101" t="s">
        <v>81</v>
      </c>
      <c r="L101" t="s">
        <v>82</v>
      </c>
      <c r="M101" t="s">
        <v>68</v>
      </c>
      <c r="N101" t="s">
        <v>108</v>
      </c>
      <c r="O101" t="s">
        <v>467</v>
      </c>
      <c r="P101" t="s">
        <v>435</v>
      </c>
      <c r="Q101" t="s">
        <v>434</v>
      </c>
      <c r="R101" t="s">
        <v>91</v>
      </c>
      <c r="S101" t="s">
        <v>62</v>
      </c>
      <c r="T101" t="s">
        <v>62</v>
      </c>
      <c r="U101" t="s">
        <v>62</v>
      </c>
      <c r="V101" t="s">
        <v>62</v>
      </c>
      <c r="W101" t="s">
        <v>74</v>
      </c>
      <c r="X101" t="s">
        <v>62</v>
      </c>
      <c r="Y101" t="s">
        <v>62</v>
      </c>
      <c r="Z101" t="s">
        <v>62</v>
      </c>
      <c r="AA101" t="s">
        <v>62</v>
      </c>
      <c r="AB101" t="s">
        <v>62</v>
      </c>
      <c r="AC101" t="s">
        <v>62</v>
      </c>
      <c r="AD101" t="s">
        <v>62</v>
      </c>
      <c r="AE101" t="s">
        <v>62</v>
      </c>
      <c r="AF101" t="s">
        <v>62</v>
      </c>
      <c r="AG101" t="s">
        <v>62</v>
      </c>
      <c r="AH101" t="s">
        <v>62</v>
      </c>
      <c r="AI101" t="s">
        <v>62</v>
      </c>
      <c r="AJ101" t="s">
        <v>121</v>
      </c>
      <c r="AK101" t="s">
        <v>62</v>
      </c>
      <c r="AL101" t="s">
        <v>62</v>
      </c>
      <c r="AM101" t="s">
        <v>62</v>
      </c>
      <c r="AN101" t="s">
        <v>76</v>
      </c>
      <c r="AO101" t="s">
        <v>77</v>
      </c>
    </row>
    <row r="102" spans="1:51" x14ac:dyDescent="0.25">
      <c r="A102" t="s">
        <v>468</v>
      </c>
      <c r="B102">
        <v>93</v>
      </c>
      <c r="C102">
        <v>2026</v>
      </c>
      <c r="D102">
        <v>4</v>
      </c>
      <c r="E102">
        <v>31</v>
      </c>
      <c r="F102" t="s">
        <v>62</v>
      </c>
      <c r="G102" t="s">
        <v>63</v>
      </c>
      <c r="H102" t="s">
        <v>469</v>
      </c>
      <c r="I102" t="s">
        <v>383</v>
      </c>
      <c r="J102" t="s">
        <v>81</v>
      </c>
      <c r="L102" t="s">
        <v>149</v>
      </c>
      <c r="M102" t="s">
        <v>68</v>
      </c>
      <c r="N102" t="s">
        <v>117</v>
      </c>
      <c r="O102" t="s">
        <v>470</v>
      </c>
      <c r="P102" t="s">
        <v>232</v>
      </c>
      <c r="Q102" t="s">
        <v>465</v>
      </c>
      <c r="R102" t="s">
        <v>73</v>
      </c>
      <c r="S102" t="s">
        <v>62</v>
      </c>
      <c r="T102" t="s">
        <v>62</v>
      </c>
      <c r="U102" t="s">
        <v>62</v>
      </c>
      <c r="V102" t="s">
        <v>62</v>
      </c>
      <c r="W102" t="s">
        <v>62</v>
      </c>
      <c r="X102" t="s">
        <v>74</v>
      </c>
      <c r="Y102" t="s">
        <v>62</v>
      </c>
      <c r="Z102" t="s">
        <v>62</v>
      </c>
      <c r="AA102" t="s">
        <v>62</v>
      </c>
      <c r="AB102" t="s">
        <v>62</v>
      </c>
      <c r="AC102" t="s">
        <v>62</v>
      </c>
      <c r="AD102" t="s">
        <v>62</v>
      </c>
      <c r="AE102" t="s">
        <v>62</v>
      </c>
      <c r="AF102" t="s">
        <v>62</v>
      </c>
      <c r="AG102" t="s">
        <v>62</v>
      </c>
      <c r="AH102" t="s">
        <v>62</v>
      </c>
      <c r="AI102" t="s">
        <v>62</v>
      </c>
      <c r="AJ102" t="s">
        <v>121</v>
      </c>
      <c r="AK102" t="s">
        <v>62</v>
      </c>
      <c r="AL102" t="s">
        <v>62</v>
      </c>
      <c r="AM102" t="s">
        <v>62</v>
      </c>
      <c r="AN102" t="s">
        <v>76</v>
      </c>
      <c r="AO102" t="s">
        <v>112</v>
      </c>
    </row>
    <row r="103" spans="1:51" x14ac:dyDescent="0.25">
      <c r="A103" t="s">
        <v>468</v>
      </c>
      <c r="B103">
        <v>94</v>
      </c>
      <c r="C103">
        <v>2026</v>
      </c>
      <c r="D103">
        <v>4</v>
      </c>
      <c r="E103">
        <v>32</v>
      </c>
      <c r="F103" t="s">
        <v>62</v>
      </c>
      <c r="G103" t="s">
        <v>63</v>
      </c>
      <c r="H103" t="s">
        <v>471</v>
      </c>
      <c r="I103" t="s">
        <v>472</v>
      </c>
      <c r="J103" t="s">
        <v>81</v>
      </c>
      <c r="L103" t="s">
        <v>149</v>
      </c>
      <c r="M103" t="s">
        <v>83</v>
      </c>
      <c r="N103" t="s">
        <v>117</v>
      </c>
      <c r="O103" t="s">
        <v>439</v>
      </c>
      <c r="P103" t="s">
        <v>327</v>
      </c>
      <c r="Q103" t="s">
        <v>465</v>
      </c>
      <c r="R103" t="s">
        <v>91</v>
      </c>
      <c r="S103" t="s">
        <v>62</v>
      </c>
      <c r="T103" t="s">
        <v>62</v>
      </c>
      <c r="U103" t="s">
        <v>62</v>
      </c>
      <c r="V103" t="s">
        <v>62</v>
      </c>
      <c r="W103" t="s">
        <v>62</v>
      </c>
      <c r="X103" t="s">
        <v>74</v>
      </c>
      <c r="Y103" t="s">
        <v>62</v>
      </c>
      <c r="Z103" t="s">
        <v>62</v>
      </c>
      <c r="AA103" t="s">
        <v>62</v>
      </c>
      <c r="AB103" t="s">
        <v>62</v>
      </c>
      <c r="AC103" t="s">
        <v>62</v>
      </c>
      <c r="AD103" t="s">
        <v>62</v>
      </c>
      <c r="AE103" t="s">
        <v>62</v>
      </c>
      <c r="AF103" t="s">
        <v>62</v>
      </c>
      <c r="AG103" t="s">
        <v>62</v>
      </c>
      <c r="AH103" t="s">
        <v>62</v>
      </c>
      <c r="AI103" t="s">
        <v>62</v>
      </c>
      <c r="AJ103" t="s">
        <v>121</v>
      </c>
      <c r="AK103" t="s">
        <v>62</v>
      </c>
      <c r="AL103" t="s">
        <v>62</v>
      </c>
      <c r="AM103" t="s">
        <v>62</v>
      </c>
      <c r="AN103" t="s">
        <v>76</v>
      </c>
      <c r="AO103" t="s">
        <v>112</v>
      </c>
    </row>
    <row r="104" spans="1:51" x14ac:dyDescent="0.25">
      <c r="A104" t="s">
        <v>468</v>
      </c>
      <c r="B104">
        <v>95</v>
      </c>
      <c r="C104">
        <v>2026</v>
      </c>
      <c r="D104">
        <v>4</v>
      </c>
      <c r="E104">
        <v>163</v>
      </c>
      <c r="F104" t="s">
        <v>62</v>
      </c>
      <c r="G104" t="s">
        <v>93</v>
      </c>
      <c r="H104" t="s">
        <v>213</v>
      </c>
      <c r="I104" t="s">
        <v>214</v>
      </c>
      <c r="J104" t="s">
        <v>66</v>
      </c>
      <c r="L104" t="s">
        <v>149</v>
      </c>
      <c r="M104" t="s">
        <v>68</v>
      </c>
      <c r="N104" t="s">
        <v>108</v>
      </c>
      <c r="O104" t="s">
        <v>473</v>
      </c>
      <c r="P104" t="s">
        <v>410</v>
      </c>
      <c r="Q104" t="s">
        <v>474</v>
      </c>
      <c r="S104" t="s">
        <v>62</v>
      </c>
      <c r="T104" t="s">
        <v>62</v>
      </c>
      <c r="U104" t="s">
        <v>62</v>
      </c>
      <c r="V104" t="s">
        <v>62</v>
      </c>
      <c r="W104" t="s">
        <v>74</v>
      </c>
      <c r="X104" t="s">
        <v>62</v>
      </c>
      <c r="Y104" t="s">
        <v>62</v>
      </c>
      <c r="Z104" t="s">
        <v>62</v>
      </c>
      <c r="AA104" t="s">
        <v>62</v>
      </c>
      <c r="AB104" t="s">
        <v>62</v>
      </c>
      <c r="AC104" t="s">
        <v>62</v>
      </c>
      <c r="AD104" t="s">
        <v>62</v>
      </c>
      <c r="AE104" t="s">
        <v>62</v>
      </c>
      <c r="AF104" t="s">
        <v>62</v>
      </c>
      <c r="AG104" t="s">
        <v>62</v>
      </c>
      <c r="AH104" t="s">
        <v>62</v>
      </c>
      <c r="AI104" t="s">
        <v>62</v>
      </c>
      <c r="AJ104" t="s">
        <v>75</v>
      </c>
      <c r="AK104" t="s">
        <v>62</v>
      </c>
      <c r="AL104" t="s">
        <v>62</v>
      </c>
      <c r="AM104" t="s">
        <v>62</v>
      </c>
      <c r="AN104" t="s">
        <v>62</v>
      </c>
      <c r="AO104" t="s">
        <v>112</v>
      </c>
    </row>
    <row r="105" spans="1:51" x14ac:dyDescent="0.25">
      <c r="A105" t="s">
        <v>468</v>
      </c>
      <c r="B105">
        <v>96</v>
      </c>
      <c r="C105">
        <v>2026</v>
      </c>
      <c r="D105">
        <v>4</v>
      </c>
      <c r="E105">
        <v>30</v>
      </c>
      <c r="F105" t="s">
        <v>62</v>
      </c>
      <c r="G105" t="s">
        <v>63</v>
      </c>
      <c r="H105" t="s">
        <v>475</v>
      </c>
      <c r="I105" t="s">
        <v>476</v>
      </c>
      <c r="J105" t="s">
        <v>81</v>
      </c>
      <c r="L105" t="s">
        <v>82</v>
      </c>
      <c r="M105" t="s">
        <v>83</v>
      </c>
      <c r="N105" t="s">
        <v>117</v>
      </c>
      <c r="O105" t="s">
        <v>477</v>
      </c>
      <c r="P105" t="s">
        <v>97</v>
      </c>
      <c r="Q105" t="s">
        <v>478</v>
      </c>
      <c r="R105" t="s">
        <v>73</v>
      </c>
      <c r="S105" t="s">
        <v>62</v>
      </c>
      <c r="T105" t="s">
        <v>62</v>
      </c>
      <c r="U105" t="s">
        <v>62</v>
      </c>
      <c r="V105" t="s">
        <v>62</v>
      </c>
      <c r="W105" t="s">
        <v>62</v>
      </c>
      <c r="X105" t="s">
        <v>74</v>
      </c>
      <c r="Y105" t="s">
        <v>62</v>
      </c>
      <c r="Z105" t="s">
        <v>62</v>
      </c>
      <c r="AA105" t="s">
        <v>62</v>
      </c>
      <c r="AB105" t="s">
        <v>62</v>
      </c>
      <c r="AC105" t="s">
        <v>62</v>
      </c>
      <c r="AD105" t="s">
        <v>62</v>
      </c>
      <c r="AE105" t="s">
        <v>62</v>
      </c>
      <c r="AF105" t="s">
        <v>62</v>
      </c>
      <c r="AG105" t="s">
        <v>62</v>
      </c>
      <c r="AH105" t="s">
        <v>62</v>
      </c>
      <c r="AI105" t="s">
        <v>62</v>
      </c>
      <c r="AJ105" t="s">
        <v>121</v>
      </c>
      <c r="AK105" t="s">
        <v>62</v>
      </c>
      <c r="AL105" t="s">
        <v>62</v>
      </c>
      <c r="AM105" t="s">
        <v>62</v>
      </c>
      <c r="AN105" t="s">
        <v>76</v>
      </c>
      <c r="AO105" t="s">
        <v>77</v>
      </c>
    </row>
    <row r="106" spans="1:51" x14ac:dyDescent="0.25">
      <c r="A106" t="s">
        <v>468</v>
      </c>
      <c r="B106">
        <v>97</v>
      </c>
      <c r="C106">
        <v>2026</v>
      </c>
      <c r="D106">
        <v>4</v>
      </c>
      <c r="E106">
        <v>31</v>
      </c>
      <c r="F106" t="s">
        <v>62</v>
      </c>
      <c r="G106" t="s">
        <v>63</v>
      </c>
      <c r="H106" t="s">
        <v>479</v>
      </c>
      <c r="I106" t="s">
        <v>480</v>
      </c>
      <c r="J106" t="s">
        <v>66</v>
      </c>
      <c r="L106" t="s">
        <v>82</v>
      </c>
      <c r="M106" t="s">
        <v>83</v>
      </c>
      <c r="N106" t="s">
        <v>117</v>
      </c>
      <c r="O106" t="s">
        <v>481</v>
      </c>
      <c r="P106" t="s">
        <v>110</v>
      </c>
      <c r="Q106" t="s">
        <v>482</v>
      </c>
      <c r="R106" t="s">
        <v>91</v>
      </c>
      <c r="S106" t="s">
        <v>62</v>
      </c>
      <c r="T106" t="s">
        <v>62</v>
      </c>
      <c r="U106" t="s">
        <v>62</v>
      </c>
      <c r="V106" t="s">
        <v>62</v>
      </c>
      <c r="W106" t="s">
        <v>62</v>
      </c>
      <c r="X106" t="s">
        <v>74</v>
      </c>
      <c r="Y106" t="s">
        <v>62</v>
      </c>
      <c r="Z106" t="s">
        <v>62</v>
      </c>
      <c r="AA106" t="s">
        <v>62</v>
      </c>
      <c r="AB106" t="s">
        <v>62</v>
      </c>
      <c r="AC106" t="s">
        <v>62</v>
      </c>
      <c r="AD106" t="s">
        <v>62</v>
      </c>
      <c r="AE106" t="s">
        <v>62</v>
      </c>
      <c r="AF106" t="s">
        <v>62</v>
      </c>
      <c r="AG106" t="s">
        <v>62</v>
      </c>
      <c r="AH106" t="s">
        <v>62</v>
      </c>
      <c r="AI106" t="s">
        <v>62</v>
      </c>
      <c r="AJ106" t="s">
        <v>121</v>
      </c>
      <c r="AK106" t="s">
        <v>62</v>
      </c>
      <c r="AL106" t="s">
        <v>62</v>
      </c>
      <c r="AM106" t="s">
        <v>62</v>
      </c>
      <c r="AN106" t="s">
        <v>76</v>
      </c>
      <c r="AO106" t="s">
        <v>77</v>
      </c>
    </row>
    <row r="107" spans="1:51" x14ac:dyDescent="0.25">
      <c r="A107" t="s">
        <v>468</v>
      </c>
      <c r="B107">
        <v>98</v>
      </c>
      <c r="C107">
        <v>2026</v>
      </c>
      <c r="D107">
        <v>4</v>
      </c>
      <c r="E107">
        <v>32</v>
      </c>
      <c r="F107" t="s">
        <v>62</v>
      </c>
      <c r="G107" t="s">
        <v>63</v>
      </c>
      <c r="H107" t="s">
        <v>483</v>
      </c>
      <c r="I107" t="s">
        <v>484</v>
      </c>
      <c r="J107" t="s">
        <v>66</v>
      </c>
      <c r="L107" t="s">
        <v>82</v>
      </c>
      <c r="M107" t="s">
        <v>83</v>
      </c>
      <c r="N107" t="s">
        <v>117</v>
      </c>
      <c r="O107" t="s">
        <v>485</v>
      </c>
      <c r="P107" t="s">
        <v>370</v>
      </c>
      <c r="Q107" t="s">
        <v>486</v>
      </c>
      <c r="R107" t="s">
        <v>73</v>
      </c>
      <c r="S107" t="s">
        <v>62</v>
      </c>
      <c r="T107" t="s">
        <v>62</v>
      </c>
      <c r="U107" t="s">
        <v>62</v>
      </c>
      <c r="V107" t="s">
        <v>62</v>
      </c>
      <c r="W107" t="s">
        <v>62</v>
      </c>
      <c r="X107" t="s">
        <v>74</v>
      </c>
      <c r="Y107" t="s">
        <v>62</v>
      </c>
      <c r="Z107" t="s">
        <v>62</v>
      </c>
      <c r="AA107" t="s">
        <v>62</v>
      </c>
      <c r="AB107" t="s">
        <v>62</v>
      </c>
      <c r="AC107" t="s">
        <v>62</v>
      </c>
      <c r="AD107" t="s">
        <v>62</v>
      </c>
      <c r="AE107" t="s">
        <v>62</v>
      </c>
      <c r="AF107" t="s">
        <v>62</v>
      </c>
      <c r="AG107" t="s">
        <v>62</v>
      </c>
      <c r="AH107" t="s">
        <v>62</v>
      </c>
      <c r="AI107" t="s">
        <v>62</v>
      </c>
      <c r="AJ107" t="s">
        <v>121</v>
      </c>
      <c r="AK107" t="s">
        <v>62</v>
      </c>
      <c r="AL107" t="s">
        <v>62</v>
      </c>
      <c r="AM107" t="s">
        <v>62</v>
      </c>
      <c r="AN107" t="s">
        <v>76</v>
      </c>
      <c r="AO107" t="s">
        <v>77</v>
      </c>
    </row>
    <row r="108" spans="1:51" x14ac:dyDescent="0.25">
      <c r="A108" t="s">
        <v>468</v>
      </c>
      <c r="B108">
        <v>99</v>
      </c>
      <c r="C108">
        <v>2026</v>
      </c>
      <c r="D108">
        <v>4</v>
      </c>
      <c r="E108">
        <v>190</v>
      </c>
      <c r="F108" t="s">
        <v>62</v>
      </c>
      <c r="G108" t="s">
        <v>63</v>
      </c>
      <c r="H108" t="s">
        <v>487</v>
      </c>
      <c r="I108" t="s">
        <v>488</v>
      </c>
      <c r="J108" t="s">
        <v>81</v>
      </c>
      <c r="L108" t="s">
        <v>82</v>
      </c>
      <c r="M108" t="s">
        <v>83</v>
      </c>
      <c r="N108" t="s">
        <v>117</v>
      </c>
      <c r="O108" t="s">
        <v>206</v>
      </c>
      <c r="P108" t="s">
        <v>173</v>
      </c>
      <c r="Q108" t="s">
        <v>323</v>
      </c>
      <c r="R108" t="s">
        <v>73</v>
      </c>
      <c r="S108" t="s">
        <v>62</v>
      </c>
      <c r="T108" t="s">
        <v>62</v>
      </c>
      <c r="U108" t="s">
        <v>62</v>
      </c>
      <c r="V108" t="s">
        <v>62</v>
      </c>
      <c r="W108" t="s">
        <v>62</v>
      </c>
      <c r="X108" t="s">
        <v>74</v>
      </c>
      <c r="Y108" t="s">
        <v>62</v>
      </c>
      <c r="Z108" t="s">
        <v>62</v>
      </c>
      <c r="AA108" t="s">
        <v>62</v>
      </c>
      <c r="AB108" t="s">
        <v>62</v>
      </c>
      <c r="AC108" t="s">
        <v>62</v>
      </c>
      <c r="AD108" t="s">
        <v>62</v>
      </c>
      <c r="AE108" t="s">
        <v>62</v>
      </c>
      <c r="AF108" t="s">
        <v>62</v>
      </c>
      <c r="AG108" t="s">
        <v>62</v>
      </c>
      <c r="AH108" t="s">
        <v>62</v>
      </c>
      <c r="AI108" t="s">
        <v>62</v>
      </c>
      <c r="AJ108" t="s">
        <v>121</v>
      </c>
      <c r="AK108" t="s">
        <v>62</v>
      </c>
      <c r="AL108" t="s">
        <v>62</v>
      </c>
      <c r="AM108" t="s">
        <v>62</v>
      </c>
      <c r="AN108" t="s">
        <v>76</v>
      </c>
      <c r="AO108" t="s">
        <v>343</v>
      </c>
    </row>
    <row r="109" spans="1:51" x14ac:dyDescent="0.25">
      <c r="A109" t="s">
        <v>468</v>
      </c>
      <c r="B109">
        <v>100</v>
      </c>
      <c r="C109">
        <v>2026</v>
      </c>
      <c r="D109">
        <v>4</v>
      </c>
      <c r="E109">
        <v>33</v>
      </c>
      <c r="F109" t="s">
        <v>62</v>
      </c>
      <c r="G109" t="s">
        <v>63</v>
      </c>
      <c r="H109" t="s">
        <v>489</v>
      </c>
      <c r="I109" t="s">
        <v>490</v>
      </c>
      <c r="J109" t="s">
        <v>66</v>
      </c>
      <c r="L109" t="s">
        <v>82</v>
      </c>
      <c r="M109" t="s">
        <v>68</v>
      </c>
      <c r="N109" t="s">
        <v>117</v>
      </c>
      <c r="O109" t="s">
        <v>317</v>
      </c>
      <c r="P109" t="s">
        <v>85</v>
      </c>
      <c r="Q109" t="s">
        <v>318</v>
      </c>
      <c r="R109" t="s">
        <v>73</v>
      </c>
      <c r="S109" t="s">
        <v>62</v>
      </c>
      <c r="T109" t="s">
        <v>62</v>
      </c>
      <c r="U109" t="s">
        <v>62</v>
      </c>
      <c r="V109" t="s">
        <v>62</v>
      </c>
      <c r="W109" t="s">
        <v>62</v>
      </c>
      <c r="X109" t="s">
        <v>74</v>
      </c>
      <c r="Y109" t="s">
        <v>62</v>
      </c>
      <c r="Z109" t="s">
        <v>62</v>
      </c>
      <c r="AA109" t="s">
        <v>62</v>
      </c>
      <c r="AB109" t="s">
        <v>62</v>
      </c>
      <c r="AC109" t="s">
        <v>62</v>
      </c>
      <c r="AD109" t="s">
        <v>62</v>
      </c>
      <c r="AE109" t="s">
        <v>62</v>
      </c>
      <c r="AF109" t="s">
        <v>62</v>
      </c>
      <c r="AG109" t="s">
        <v>62</v>
      </c>
      <c r="AH109" t="s">
        <v>62</v>
      </c>
      <c r="AI109" t="s">
        <v>62</v>
      </c>
      <c r="AJ109" t="s">
        <v>121</v>
      </c>
      <c r="AK109" t="s">
        <v>62</v>
      </c>
      <c r="AL109" t="s">
        <v>62</v>
      </c>
      <c r="AM109" t="s">
        <v>62</v>
      </c>
      <c r="AN109" t="s">
        <v>76</v>
      </c>
      <c r="AO109" t="s">
        <v>77</v>
      </c>
    </row>
    <row r="110" spans="1:51" x14ac:dyDescent="0.25">
      <c r="A110" t="s">
        <v>468</v>
      </c>
      <c r="B110">
        <v>101</v>
      </c>
      <c r="C110">
        <v>2026</v>
      </c>
      <c r="D110">
        <v>4</v>
      </c>
      <c r="E110">
        <v>221</v>
      </c>
      <c r="F110" t="s">
        <v>62</v>
      </c>
      <c r="G110" t="s">
        <v>63</v>
      </c>
      <c r="H110" t="s">
        <v>491</v>
      </c>
      <c r="I110" t="s">
        <v>492</v>
      </c>
      <c r="J110" t="s">
        <v>66</v>
      </c>
      <c r="L110" t="s">
        <v>82</v>
      </c>
      <c r="M110" t="s">
        <v>179</v>
      </c>
      <c r="N110" t="s">
        <v>117</v>
      </c>
      <c r="O110" t="s">
        <v>493</v>
      </c>
      <c r="P110" t="s">
        <v>313</v>
      </c>
      <c r="Q110" t="s">
        <v>366</v>
      </c>
      <c r="R110" t="s">
        <v>120</v>
      </c>
      <c r="S110" t="s">
        <v>62</v>
      </c>
      <c r="T110" t="s">
        <v>62</v>
      </c>
      <c r="U110" t="s">
        <v>62</v>
      </c>
      <c r="V110" t="s">
        <v>62</v>
      </c>
      <c r="W110" t="s">
        <v>62</v>
      </c>
      <c r="X110" t="s">
        <v>74</v>
      </c>
      <c r="Y110" t="s">
        <v>62</v>
      </c>
      <c r="Z110" t="s">
        <v>62</v>
      </c>
      <c r="AA110" t="s">
        <v>62</v>
      </c>
      <c r="AB110" t="s">
        <v>62</v>
      </c>
      <c r="AC110" t="s">
        <v>62</v>
      </c>
      <c r="AD110" t="s">
        <v>62</v>
      </c>
      <c r="AE110" t="s">
        <v>62</v>
      </c>
      <c r="AF110" t="s">
        <v>62</v>
      </c>
      <c r="AG110" t="s">
        <v>62</v>
      </c>
      <c r="AH110" t="s">
        <v>62</v>
      </c>
      <c r="AI110" t="s">
        <v>62</v>
      </c>
      <c r="AJ110" t="s">
        <v>121</v>
      </c>
      <c r="AK110" t="s">
        <v>62</v>
      </c>
      <c r="AL110" t="s">
        <v>62</v>
      </c>
      <c r="AM110" t="s">
        <v>62</v>
      </c>
      <c r="AN110" t="s">
        <v>76</v>
      </c>
      <c r="AO110" t="s">
        <v>77</v>
      </c>
    </row>
    <row r="111" spans="1:51" x14ac:dyDescent="0.25">
      <c r="A111" t="s">
        <v>468</v>
      </c>
      <c r="B111">
        <v>102</v>
      </c>
      <c r="C111">
        <v>2026</v>
      </c>
      <c r="D111">
        <v>4</v>
      </c>
      <c r="E111">
        <v>187</v>
      </c>
      <c r="F111" t="s">
        <v>62</v>
      </c>
      <c r="G111" t="s">
        <v>63</v>
      </c>
      <c r="H111" t="s">
        <v>494</v>
      </c>
      <c r="I111" t="s">
        <v>495</v>
      </c>
      <c r="J111" t="s">
        <v>81</v>
      </c>
      <c r="L111" t="s">
        <v>82</v>
      </c>
      <c r="M111" t="s">
        <v>179</v>
      </c>
      <c r="N111" t="s">
        <v>117</v>
      </c>
      <c r="O111" t="s">
        <v>496</v>
      </c>
      <c r="P111" t="s">
        <v>497</v>
      </c>
      <c r="Q111" t="s">
        <v>366</v>
      </c>
      <c r="R111" t="s">
        <v>267</v>
      </c>
      <c r="S111" t="s">
        <v>62</v>
      </c>
      <c r="T111" t="s">
        <v>62</v>
      </c>
      <c r="U111" t="s">
        <v>62</v>
      </c>
      <c r="V111" t="s">
        <v>62</v>
      </c>
      <c r="W111" t="s">
        <v>62</v>
      </c>
      <c r="X111" t="s">
        <v>74</v>
      </c>
      <c r="Y111" t="s">
        <v>62</v>
      </c>
      <c r="Z111" t="s">
        <v>62</v>
      </c>
      <c r="AA111" t="s">
        <v>62</v>
      </c>
      <c r="AB111" t="s">
        <v>62</v>
      </c>
      <c r="AC111" t="s">
        <v>62</v>
      </c>
      <c r="AD111" t="s">
        <v>62</v>
      </c>
      <c r="AE111" t="s">
        <v>62</v>
      </c>
      <c r="AF111" t="s">
        <v>62</v>
      </c>
      <c r="AG111" t="s">
        <v>62</v>
      </c>
      <c r="AH111" t="s">
        <v>62</v>
      </c>
      <c r="AI111" t="s">
        <v>62</v>
      </c>
      <c r="AJ111" t="s">
        <v>121</v>
      </c>
      <c r="AK111" t="s">
        <v>62</v>
      </c>
      <c r="AL111" t="s">
        <v>62</v>
      </c>
      <c r="AM111" t="s">
        <v>62</v>
      </c>
      <c r="AN111" t="s">
        <v>76</v>
      </c>
      <c r="AO111" t="s">
        <v>77</v>
      </c>
    </row>
    <row r="112" spans="1:51" x14ac:dyDescent="0.25">
      <c r="A112" t="s">
        <v>468</v>
      </c>
      <c r="B112">
        <v>103</v>
      </c>
      <c r="C112">
        <v>2026</v>
      </c>
      <c r="D112">
        <v>4</v>
      </c>
      <c r="E112">
        <v>34</v>
      </c>
      <c r="F112" t="s">
        <v>62</v>
      </c>
      <c r="G112" t="s">
        <v>63</v>
      </c>
      <c r="H112" t="s">
        <v>498</v>
      </c>
      <c r="I112" t="s">
        <v>499</v>
      </c>
      <c r="J112" t="s">
        <v>81</v>
      </c>
      <c r="L112" t="s">
        <v>82</v>
      </c>
      <c r="M112" t="s">
        <v>83</v>
      </c>
      <c r="N112" t="s">
        <v>117</v>
      </c>
      <c r="O112" t="s">
        <v>496</v>
      </c>
      <c r="P112" t="s">
        <v>497</v>
      </c>
      <c r="Q112" t="s">
        <v>465</v>
      </c>
      <c r="R112" t="s">
        <v>267</v>
      </c>
      <c r="S112" t="s">
        <v>62</v>
      </c>
      <c r="T112" t="s">
        <v>62</v>
      </c>
      <c r="U112" t="s">
        <v>62</v>
      </c>
      <c r="V112" t="s">
        <v>62</v>
      </c>
      <c r="W112" t="s">
        <v>62</v>
      </c>
      <c r="X112" t="s">
        <v>74</v>
      </c>
      <c r="Y112" t="s">
        <v>62</v>
      </c>
      <c r="Z112" t="s">
        <v>62</v>
      </c>
      <c r="AA112" t="s">
        <v>62</v>
      </c>
      <c r="AB112" t="s">
        <v>62</v>
      </c>
      <c r="AC112" t="s">
        <v>62</v>
      </c>
      <c r="AD112" t="s">
        <v>62</v>
      </c>
      <c r="AE112" t="s">
        <v>62</v>
      </c>
      <c r="AF112" t="s">
        <v>62</v>
      </c>
      <c r="AG112" t="s">
        <v>62</v>
      </c>
      <c r="AH112" t="s">
        <v>62</v>
      </c>
      <c r="AI112" t="s">
        <v>62</v>
      </c>
      <c r="AJ112" t="s">
        <v>121</v>
      </c>
      <c r="AK112" t="s">
        <v>62</v>
      </c>
      <c r="AL112" t="s">
        <v>62</v>
      </c>
      <c r="AM112" t="s">
        <v>62</v>
      </c>
      <c r="AN112" t="s">
        <v>76</v>
      </c>
      <c r="AO112" t="s">
        <v>343</v>
      </c>
    </row>
    <row r="113" spans="1:51" x14ac:dyDescent="0.25">
      <c r="A113" t="s">
        <v>468</v>
      </c>
      <c r="B113">
        <v>104</v>
      </c>
      <c r="C113">
        <v>2026</v>
      </c>
      <c r="D113">
        <v>4</v>
      </c>
      <c r="E113">
        <v>35</v>
      </c>
      <c r="F113" t="s">
        <v>62</v>
      </c>
      <c r="G113" t="s">
        <v>63</v>
      </c>
      <c r="H113" t="s">
        <v>500</v>
      </c>
      <c r="I113" t="s">
        <v>501</v>
      </c>
      <c r="J113" t="s">
        <v>66</v>
      </c>
      <c r="L113" t="s">
        <v>82</v>
      </c>
      <c r="M113" t="s">
        <v>83</v>
      </c>
      <c r="N113" t="s">
        <v>117</v>
      </c>
      <c r="O113" t="s">
        <v>124</v>
      </c>
      <c r="P113" t="s">
        <v>85</v>
      </c>
      <c r="Q113" t="s">
        <v>465</v>
      </c>
      <c r="R113" t="s">
        <v>73</v>
      </c>
      <c r="S113" t="s">
        <v>62</v>
      </c>
      <c r="T113" t="s">
        <v>62</v>
      </c>
      <c r="U113" t="s">
        <v>62</v>
      </c>
      <c r="V113" t="s">
        <v>62</v>
      </c>
      <c r="W113" t="s">
        <v>62</v>
      </c>
      <c r="X113" t="s">
        <v>74</v>
      </c>
      <c r="Y113" t="s">
        <v>62</v>
      </c>
      <c r="Z113" t="s">
        <v>62</v>
      </c>
      <c r="AA113" t="s">
        <v>62</v>
      </c>
      <c r="AB113" t="s">
        <v>62</v>
      </c>
      <c r="AC113" t="s">
        <v>62</v>
      </c>
      <c r="AD113" t="s">
        <v>62</v>
      </c>
      <c r="AE113" t="s">
        <v>62</v>
      </c>
      <c r="AF113" t="s">
        <v>62</v>
      </c>
      <c r="AG113" t="s">
        <v>62</v>
      </c>
      <c r="AH113" t="s">
        <v>62</v>
      </c>
      <c r="AI113" t="s">
        <v>62</v>
      </c>
      <c r="AJ113" t="s">
        <v>121</v>
      </c>
      <c r="AK113" t="s">
        <v>62</v>
      </c>
      <c r="AL113" t="s">
        <v>62</v>
      </c>
      <c r="AM113" t="s">
        <v>62</v>
      </c>
      <c r="AN113" t="s">
        <v>76</v>
      </c>
      <c r="AO113" t="s">
        <v>343</v>
      </c>
    </row>
    <row r="114" spans="1:51" x14ac:dyDescent="0.25">
      <c r="A114" t="s">
        <v>468</v>
      </c>
      <c r="B114">
        <v>105</v>
      </c>
      <c r="C114">
        <v>2026</v>
      </c>
      <c r="D114">
        <v>4</v>
      </c>
      <c r="E114">
        <v>198</v>
      </c>
      <c r="F114" t="s">
        <v>62</v>
      </c>
      <c r="G114" t="s">
        <v>63</v>
      </c>
      <c r="H114" t="s">
        <v>502</v>
      </c>
      <c r="I114" t="s">
        <v>503</v>
      </c>
      <c r="J114" t="s">
        <v>81</v>
      </c>
      <c r="L114" t="s">
        <v>230</v>
      </c>
      <c r="M114" t="s">
        <v>68</v>
      </c>
      <c r="N114" t="s">
        <v>244</v>
      </c>
      <c r="O114" t="s">
        <v>504</v>
      </c>
      <c r="P114" t="s">
        <v>90</v>
      </c>
      <c r="Q114" t="s">
        <v>505</v>
      </c>
      <c r="R114" t="s">
        <v>91</v>
      </c>
      <c r="S114" t="s">
        <v>62</v>
      </c>
      <c r="T114" t="s">
        <v>62</v>
      </c>
      <c r="U114" t="s">
        <v>74</v>
      </c>
      <c r="V114" t="s">
        <v>62</v>
      </c>
      <c r="W114" t="s">
        <v>62</v>
      </c>
      <c r="X114" t="s">
        <v>62</v>
      </c>
      <c r="Y114" t="s">
        <v>62</v>
      </c>
      <c r="Z114" t="s">
        <v>62</v>
      </c>
      <c r="AA114" t="s">
        <v>62</v>
      </c>
      <c r="AB114" t="s">
        <v>62</v>
      </c>
      <c r="AC114" t="s">
        <v>62</v>
      </c>
      <c r="AD114" t="s">
        <v>62</v>
      </c>
      <c r="AE114" t="s">
        <v>62</v>
      </c>
      <c r="AF114" t="s">
        <v>62</v>
      </c>
      <c r="AG114" t="s">
        <v>62</v>
      </c>
      <c r="AH114" t="s">
        <v>62</v>
      </c>
      <c r="AI114" t="s">
        <v>62</v>
      </c>
      <c r="AJ114" t="s">
        <v>75</v>
      </c>
      <c r="AK114" t="s">
        <v>62</v>
      </c>
      <c r="AL114" t="s">
        <v>62</v>
      </c>
      <c r="AM114" t="s">
        <v>62</v>
      </c>
      <c r="AN114" t="s">
        <v>76</v>
      </c>
      <c r="AO114" t="s">
        <v>77</v>
      </c>
    </row>
    <row r="115" spans="1:51" x14ac:dyDescent="0.25">
      <c r="A115" t="s">
        <v>506</v>
      </c>
      <c r="B115">
        <v>106</v>
      </c>
      <c r="C115">
        <v>2026</v>
      </c>
      <c r="D115">
        <v>4</v>
      </c>
      <c r="E115">
        <v>198</v>
      </c>
      <c r="F115" t="s">
        <v>62</v>
      </c>
      <c r="G115" t="s">
        <v>63</v>
      </c>
      <c r="H115" t="s">
        <v>502</v>
      </c>
      <c r="I115" t="s">
        <v>503</v>
      </c>
      <c r="J115" t="s">
        <v>81</v>
      </c>
      <c r="L115" t="s">
        <v>230</v>
      </c>
      <c r="M115" t="s">
        <v>68</v>
      </c>
      <c r="N115" t="s">
        <v>41</v>
      </c>
      <c r="O115" t="s">
        <v>504</v>
      </c>
      <c r="P115" t="s">
        <v>90</v>
      </c>
      <c r="Q115" t="s">
        <v>507</v>
      </c>
      <c r="R115" t="s">
        <v>91</v>
      </c>
      <c r="S115" t="s">
        <v>62</v>
      </c>
      <c r="T115" t="s">
        <v>62</v>
      </c>
      <c r="U115" t="s">
        <v>62</v>
      </c>
      <c r="V115" t="s">
        <v>74</v>
      </c>
      <c r="W115" t="s">
        <v>62</v>
      </c>
      <c r="X115" t="s">
        <v>62</v>
      </c>
      <c r="Y115" t="s">
        <v>62</v>
      </c>
      <c r="Z115" t="s">
        <v>62</v>
      </c>
      <c r="AA115" t="s">
        <v>62</v>
      </c>
      <c r="AB115" t="s">
        <v>62</v>
      </c>
      <c r="AC115" t="s">
        <v>62</v>
      </c>
      <c r="AD115" t="s">
        <v>62</v>
      </c>
      <c r="AE115" t="s">
        <v>62</v>
      </c>
      <c r="AF115" t="s">
        <v>62</v>
      </c>
      <c r="AG115" t="s">
        <v>62</v>
      </c>
      <c r="AH115" t="s">
        <v>62</v>
      </c>
      <c r="AI115" t="s">
        <v>62</v>
      </c>
      <c r="AJ115" t="s">
        <v>75</v>
      </c>
      <c r="AK115" t="s">
        <v>62</v>
      </c>
      <c r="AL115" t="s">
        <v>62</v>
      </c>
      <c r="AM115" t="s">
        <v>62</v>
      </c>
      <c r="AN115" t="s">
        <v>76</v>
      </c>
      <c r="AO115" t="s">
        <v>77</v>
      </c>
    </row>
    <row r="116" spans="1:51" x14ac:dyDescent="0.25">
      <c r="A116" t="s">
        <v>506</v>
      </c>
      <c r="B116">
        <v>107</v>
      </c>
      <c r="C116">
        <v>2026</v>
      </c>
      <c r="D116">
        <v>4</v>
      </c>
      <c r="E116">
        <v>116</v>
      </c>
      <c r="F116" t="s">
        <v>62</v>
      </c>
      <c r="G116" t="s">
        <v>63</v>
      </c>
      <c r="H116" t="s">
        <v>508</v>
      </c>
      <c r="I116" t="s">
        <v>509</v>
      </c>
      <c r="J116" t="s">
        <v>81</v>
      </c>
      <c r="L116" t="s">
        <v>67</v>
      </c>
      <c r="M116" t="s">
        <v>83</v>
      </c>
      <c r="N116" t="s">
        <v>117</v>
      </c>
      <c r="O116" t="s">
        <v>510</v>
      </c>
      <c r="P116" t="s">
        <v>110</v>
      </c>
      <c r="Q116" t="s">
        <v>511</v>
      </c>
      <c r="R116" t="s">
        <v>91</v>
      </c>
      <c r="S116" t="s">
        <v>62</v>
      </c>
      <c r="T116" t="s">
        <v>62</v>
      </c>
      <c r="U116" t="s">
        <v>62</v>
      </c>
      <c r="V116" t="s">
        <v>62</v>
      </c>
      <c r="W116" t="s">
        <v>62</v>
      </c>
      <c r="X116" t="s">
        <v>74</v>
      </c>
      <c r="Y116" t="s">
        <v>62</v>
      </c>
      <c r="Z116" t="s">
        <v>62</v>
      </c>
      <c r="AA116" t="s">
        <v>62</v>
      </c>
      <c r="AB116" t="s">
        <v>62</v>
      </c>
      <c r="AC116" t="s">
        <v>62</v>
      </c>
      <c r="AD116" t="s">
        <v>62</v>
      </c>
      <c r="AE116" t="s">
        <v>62</v>
      </c>
      <c r="AF116" t="s">
        <v>62</v>
      </c>
      <c r="AG116" t="s">
        <v>62</v>
      </c>
      <c r="AH116" t="s">
        <v>62</v>
      </c>
      <c r="AI116" t="s">
        <v>62</v>
      </c>
      <c r="AJ116" t="s">
        <v>121</v>
      </c>
      <c r="AK116" t="s">
        <v>62</v>
      </c>
      <c r="AL116" t="s">
        <v>62</v>
      </c>
      <c r="AM116" t="s">
        <v>62</v>
      </c>
      <c r="AN116" t="s">
        <v>76</v>
      </c>
      <c r="AO116" t="s">
        <v>77</v>
      </c>
    </row>
    <row r="117" spans="1:51" x14ac:dyDescent="0.25">
      <c r="A117" t="s">
        <v>512</v>
      </c>
      <c r="B117">
        <v>108</v>
      </c>
      <c r="C117">
        <v>2026</v>
      </c>
      <c r="D117">
        <v>4</v>
      </c>
      <c r="F117" t="s">
        <v>62</v>
      </c>
      <c r="G117" t="s">
        <v>93</v>
      </c>
      <c r="H117" t="s">
        <v>513</v>
      </c>
      <c r="I117" t="s">
        <v>514</v>
      </c>
      <c r="J117" t="s">
        <v>81</v>
      </c>
      <c r="L117" t="s">
        <v>515</v>
      </c>
      <c r="M117" t="s">
        <v>179</v>
      </c>
      <c r="N117" t="s">
        <v>117</v>
      </c>
      <c r="P117" t="s">
        <v>410</v>
      </c>
      <c r="S117" t="s">
        <v>62</v>
      </c>
      <c r="T117" t="s">
        <v>62</v>
      </c>
      <c r="U117" t="s">
        <v>62</v>
      </c>
      <c r="V117" t="s">
        <v>62</v>
      </c>
      <c r="W117" t="s">
        <v>62</v>
      </c>
      <c r="X117" t="s">
        <v>74</v>
      </c>
      <c r="Y117" t="s">
        <v>62</v>
      </c>
      <c r="Z117" t="s">
        <v>62</v>
      </c>
      <c r="AA117" t="s">
        <v>62</v>
      </c>
      <c r="AB117" t="s">
        <v>62</v>
      </c>
      <c r="AC117" t="s">
        <v>62</v>
      </c>
      <c r="AD117" t="s">
        <v>62</v>
      </c>
      <c r="AE117" t="s">
        <v>62</v>
      </c>
      <c r="AF117" t="s">
        <v>62</v>
      </c>
      <c r="AG117" t="s">
        <v>62</v>
      </c>
      <c r="AH117" t="s">
        <v>62</v>
      </c>
      <c r="AI117" t="s">
        <v>62</v>
      </c>
      <c r="AK117" t="s">
        <v>62</v>
      </c>
      <c r="AL117" t="s">
        <v>62</v>
      </c>
      <c r="AM117" t="s">
        <v>62</v>
      </c>
      <c r="AN117" t="s">
        <v>62</v>
      </c>
    </row>
    <row r="118" spans="1:51" x14ac:dyDescent="0.25">
      <c r="A118" t="s">
        <v>516</v>
      </c>
      <c r="B118">
        <v>109</v>
      </c>
      <c r="C118">
        <v>2026</v>
      </c>
      <c r="D118">
        <v>4</v>
      </c>
      <c r="E118">
        <v>36</v>
      </c>
      <c r="F118" t="s">
        <v>62</v>
      </c>
      <c r="G118" t="s">
        <v>63</v>
      </c>
      <c r="H118" t="s">
        <v>517</v>
      </c>
      <c r="I118" t="s">
        <v>518</v>
      </c>
      <c r="J118" t="s">
        <v>66</v>
      </c>
      <c r="L118" t="s">
        <v>67</v>
      </c>
      <c r="M118" t="s">
        <v>83</v>
      </c>
      <c r="N118" t="s">
        <v>117</v>
      </c>
      <c r="O118" t="s">
        <v>519</v>
      </c>
      <c r="P118" t="s">
        <v>85</v>
      </c>
      <c r="Q118" t="s">
        <v>520</v>
      </c>
      <c r="R118" t="s">
        <v>73</v>
      </c>
      <c r="S118" t="s">
        <v>62</v>
      </c>
      <c r="T118" t="s">
        <v>62</v>
      </c>
      <c r="U118" t="s">
        <v>62</v>
      </c>
      <c r="V118" t="s">
        <v>62</v>
      </c>
      <c r="W118" t="s">
        <v>62</v>
      </c>
      <c r="X118" t="s">
        <v>74</v>
      </c>
      <c r="Y118" t="s">
        <v>62</v>
      </c>
      <c r="Z118" t="s">
        <v>62</v>
      </c>
      <c r="AA118" t="s">
        <v>62</v>
      </c>
      <c r="AB118" t="s">
        <v>62</v>
      </c>
      <c r="AC118" t="s">
        <v>62</v>
      </c>
      <c r="AD118" t="s">
        <v>62</v>
      </c>
      <c r="AE118" t="s">
        <v>62</v>
      </c>
      <c r="AF118" t="s">
        <v>62</v>
      </c>
      <c r="AG118" t="s">
        <v>62</v>
      </c>
      <c r="AH118" t="s">
        <v>62</v>
      </c>
      <c r="AI118" t="s">
        <v>62</v>
      </c>
      <c r="AJ118" t="s">
        <v>121</v>
      </c>
      <c r="AK118" t="s">
        <v>62</v>
      </c>
      <c r="AL118" t="s">
        <v>62</v>
      </c>
      <c r="AM118" t="s">
        <v>62</v>
      </c>
      <c r="AN118" t="s">
        <v>76</v>
      </c>
      <c r="AO118" t="s">
        <v>77</v>
      </c>
    </row>
    <row r="119" spans="1:51" x14ac:dyDescent="0.25">
      <c r="A119" t="s">
        <v>516</v>
      </c>
      <c r="B119">
        <v>110</v>
      </c>
      <c r="C119">
        <v>2026</v>
      </c>
      <c r="D119">
        <v>4</v>
      </c>
      <c r="E119">
        <v>37</v>
      </c>
      <c r="F119" t="s">
        <v>62</v>
      </c>
      <c r="G119" t="s">
        <v>63</v>
      </c>
      <c r="H119" t="s">
        <v>521</v>
      </c>
      <c r="I119" t="s">
        <v>522</v>
      </c>
      <c r="J119" t="s">
        <v>66</v>
      </c>
      <c r="L119" t="s">
        <v>67</v>
      </c>
      <c r="M119" t="s">
        <v>83</v>
      </c>
      <c r="N119" t="s">
        <v>117</v>
      </c>
      <c r="O119" t="s">
        <v>523</v>
      </c>
      <c r="P119" t="s">
        <v>353</v>
      </c>
      <c r="Q119" t="s">
        <v>524</v>
      </c>
      <c r="R119" t="s">
        <v>73</v>
      </c>
      <c r="S119" t="s">
        <v>62</v>
      </c>
      <c r="T119" t="s">
        <v>62</v>
      </c>
      <c r="U119" t="s">
        <v>62</v>
      </c>
      <c r="V119" t="s">
        <v>62</v>
      </c>
      <c r="W119" t="s">
        <v>62</v>
      </c>
      <c r="X119" t="s">
        <v>74</v>
      </c>
      <c r="Y119" t="s">
        <v>62</v>
      </c>
      <c r="Z119" t="s">
        <v>62</v>
      </c>
      <c r="AA119" t="s">
        <v>62</v>
      </c>
      <c r="AB119" t="s">
        <v>62</v>
      </c>
      <c r="AC119" t="s">
        <v>62</v>
      </c>
      <c r="AD119" t="s">
        <v>62</v>
      </c>
      <c r="AE119" t="s">
        <v>62</v>
      </c>
      <c r="AF119" t="s">
        <v>62</v>
      </c>
      <c r="AG119" t="s">
        <v>62</v>
      </c>
      <c r="AH119" t="s">
        <v>62</v>
      </c>
      <c r="AI119" t="s">
        <v>62</v>
      </c>
      <c r="AJ119" t="s">
        <v>121</v>
      </c>
      <c r="AK119" t="s">
        <v>62</v>
      </c>
      <c r="AL119" t="s">
        <v>62</v>
      </c>
      <c r="AM119" t="s">
        <v>62</v>
      </c>
      <c r="AN119" t="s">
        <v>76</v>
      </c>
      <c r="AO119" t="s">
        <v>77</v>
      </c>
    </row>
    <row r="120" spans="1:51" x14ac:dyDescent="0.25">
      <c r="A120" t="s">
        <v>516</v>
      </c>
      <c r="B120">
        <v>111</v>
      </c>
      <c r="C120">
        <v>2026</v>
      </c>
      <c r="D120">
        <v>4</v>
      </c>
      <c r="E120">
        <v>129</v>
      </c>
      <c r="F120" t="s">
        <v>62</v>
      </c>
      <c r="G120" t="s">
        <v>63</v>
      </c>
      <c r="H120" t="s">
        <v>525</v>
      </c>
      <c r="I120" t="s">
        <v>526</v>
      </c>
      <c r="J120" t="s">
        <v>66</v>
      </c>
      <c r="L120" t="s">
        <v>398</v>
      </c>
      <c r="M120" t="s">
        <v>83</v>
      </c>
      <c r="N120" t="s">
        <v>117</v>
      </c>
      <c r="O120" t="s">
        <v>124</v>
      </c>
      <c r="P120" t="s">
        <v>85</v>
      </c>
      <c r="Q120" t="s">
        <v>527</v>
      </c>
      <c r="R120" t="s">
        <v>73</v>
      </c>
      <c r="S120" t="s">
        <v>62</v>
      </c>
      <c r="T120" t="s">
        <v>62</v>
      </c>
      <c r="U120" t="s">
        <v>62</v>
      </c>
      <c r="V120" t="s">
        <v>62</v>
      </c>
      <c r="W120" t="s">
        <v>62</v>
      </c>
      <c r="X120" t="s">
        <v>74</v>
      </c>
      <c r="Y120" t="s">
        <v>62</v>
      </c>
      <c r="Z120" t="s">
        <v>62</v>
      </c>
      <c r="AA120" t="s">
        <v>62</v>
      </c>
      <c r="AB120" t="s">
        <v>62</v>
      </c>
      <c r="AC120" t="s">
        <v>62</v>
      </c>
      <c r="AD120" t="s">
        <v>62</v>
      </c>
      <c r="AE120" t="s">
        <v>62</v>
      </c>
      <c r="AF120" t="s">
        <v>62</v>
      </c>
      <c r="AG120" t="s">
        <v>62</v>
      </c>
      <c r="AH120" t="s">
        <v>62</v>
      </c>
      <c r="AI120" t="s">
        <v>62</v>
      </c>
      <c r="AJ120" t="s">
        <v>121</v>
      </c>
      <c r="AK120" t="s">
        <v>62</v>
      </c>
      <c r="AL120" t="s">
        <v>62</v>
      </c>
      <c r="AM120" t="s">
        <v>62</v>
      </c>
      <c r="AN120" t="s">
        <v>76</v>
      </c>
      <c r="AO120" t="s">
        <v>343</v>
      </c>
    </row>
    <row r="121" spans="1:51" x14ac:dyDescent="0.25">
      <c r="A121" t="s">
        <v>528</v>
      </c>
      <c r="B121">
        <v>112</v>
      </c>
      <c r="C121">
        <v>2026</v>
      </c>
      <c r="D121">
        <v>4</v>
      </c>
      <c r="E121">
        <v>245</v>
      </c>
      <c r="F121" t="s">
        <v>62</v>
      </c>
      <c r="G121" t="s">
        <v>63</v>
      </c>
      <c r="H121" t="s">
        <v>367</v>
      </c>
      <c r="I121" t="s">
        <v>368</v>
      </c>
      <c r="J121" t="s">
        <v>81</v>
      </c>
      <c r="L121" t="s">
        <v>178</v>
      </c>
      <c r="M121" t="s">
        <v>83</v>
      </c>
      <c r="N121" t="s">
        <v>117</v>
      </c>
      <c r="P121" t="s">
        <v>370</v>
      </c>
      <c r="Q121" t="s">
        <v>529</v>
      </c>
      <c r="R121" t="s">
        <v>73</v>
      </c>
      <c r="S121" t="s">
        <v>62</v>
      </c>
      <c r="T121" t="s">
        <v>62</v>
      </c>
      <c r="U121" t="s">
        <v>62</v>
      </c>
      <c r="V121" t="s">
        <v>62</v>
      </c>
      <c r="W121" t="s">
        <v>62</v>
      </c>
      <c r="X121" t="s">
        <v>74</v>
      </c>
      <c r="Y121" t="s">
        <v>62</v>
      </c>
      <c r="Z121" t="s">
        <v>62</v>
      </c>
      <c r="AA121" t="s">
        <v>62</v>
      </c>
      <c r="AB121" t="s">
        <v>62</v>
      </c>
      <c r="AC121" t="s">
        <v>62</v>
      </c>
      <c r="AD121" t="s">
        <v>62</v>
      </c>
      <c r="AE121" t="s">
        <v>62</v>
      </c>
      <c r="AF121" t="s">
        <v>62</v>
      </c>
      <c r="AG121" t="s">
        <v>62</v>
      </c>
      <c r="AH121" t="s">
        <v>62</v>
      </c>
      <c r="AI121" t="s">
        <v>62</v>
      </c>
      <c r="AJ121" t="s">
        <v>121</v>
      </c>
      <c r="AK121" t="s">
        <v>62</v>
      </c>
      <c r="AL121" t="s">
        <v>62</v>
      </c>
      <c r="AM121" t="s">
        <v>62</v>
      </c>
      <c r="AN121" t="s">
        <v>76</v>
      </c>
      <c r="AO121" t="s">
        <v>112</v>
      </c>
    </row>
    <row r="122" spans="1:51" x14ac:dyDescent="0.25">
      <c r="A122" t="s">
        <v>530</v>
      </c>
      <c r="B122">
        <v>113</v>
      </c>
      <c r="C122">
        <v>2026</v>
      </c>
      <c r="D122">
        <v>4</v>
      </c>
      <c r="E122">
        <v>33</v>
      </c>
      <c r="F122" t="s">
        <v>62</v>
      </c>
      <c r="G122" t="s">
        <v>93</v>
      </c>
      <c r="H122" t="s">
        <v>531</v>
      </c>
      <c r="I122" t="s">
        <v>532</v>
      </c>
      <c r="J122" t="s">
        <v>66</v>
      </c>
      <c r="L122" t="s">
        <v>533</v>
      </c>
      <c r="M122" t="s">
        <v>179</v>
      </c>
      <c r="N122" t="s">
        <v>41</v>
      </c>
      <c r="O122" t="s">
        <v>534</v>
      </c>
      <c r="P122" t="s">
        <v>272</v>
      </c>
      <c r="Q122" t="s">
        <v>535</v>
      </c>
      <c r="R122" t="s">
        <v>120</v>
      </c>
      <c r="S122" t="s">
        <v>62</v>
      </c>
      <c r="T122" t="s">
        <v>62</v>
      </c>
      <c r="U122" t="s">
        <v>62</v>
      </c>
      <c r="V122" t="s">
        <v>74</v>
      </c>
      <c r="W122" t="s">
        <v>62</v>
      </c>
      <c r="X122" t="s">
        <v>62</v>
      </c>
      <c r="Y122" t="s">
        <v>62</v>
      </c>
      <c r="Z122" t="s">
        <v>62</v>
      </c>
      <c r="AA122" t="s">
        <v>62</v>
      </c>
      <c r="AB122" t="s">
        <v>62</v>
      </c>
      <c r="AC122" t="s">
        <v>62</v>
      </c>
      <c r="AD122" t="s">
        <v>62</v>
      </c>
      <c r="AE122" t="s">
        <v>62</v>
      </c>
      <c r="AF122" t="s">
        <v>62</v>
      </c>
      <c r="AG122" t="s">
        <v>62</v>
      </c>
      <c r="AH122" t="s">
        <v>62</v>
      </c>
      <c r="AI122" t="s">
        <v>62</v>
      </c>
      <c r="AJ122" t="s">
        <v>75</v>
      </c>
      <c r="AK122" t="s">
        <v>62</v>
      </c>
      <c r="AL122" t="s">
        <v>62</v>
      </c>
      <c r="AM122" t="s">
        <v>62</v>
      </c>
      <c r="AN122" t="s">
        <v>62</v>
      </c>
      <c r="AO122" t="s">
        <v>112</v>
      </c>
    </row>
    <row r="123" spans="1:51" x14ac:dyDescent="0.25">
      <c r="A123" t="s">
        <v>530</v>
      </c>
      <c r="B123">
        <v>114</v>
      </c>
      <c r="C123">
        <v>2026</v>
      </c>
      <c r="D123">
        <v>4</v>
      </c>
      <c r="E123">
        <v>65</v>
      </c>
      <c r="F123" t="s">
        <v>62</v>
      </c>
      <c r="G123" t="s">
        <v>63</v>
      </c>
      <c r="H123" t="s">
        <v>536</v>
      </c>
      <c r="I123" t="s">
        <v>537</v>
      </c>
      <c r="J123" t="s">
        <v>66</v>
      </c>
      <c r="L123" t="s">
        <v>67</v>
      </c>
      <c r="M123" t="s">
        <v>83</v>
      </c>
      <c r="N123" t="s">
        <v>52</v>
      </c>
      <c r="O123" t="s">
        <v>538</v>
      </c>
      <c r="P123" t="s">
        <v>539</v>
      </c>
      <c r="Q123" t="s">
        <v>52</v>
      </c>
      <c r="R123" t="s">
        <v>91</v>
      </c>
      <c r="S123" t="s">
        <v>62</v>
      </c>
      <c r="T123" t="s">
        <v>62</v>
      </c>
      <c r="U123" t="s">
        <v>62</v>
      </c>
      <c r="V123" t="s">
        <v>62</v>
      </c>
      <c r="W123" t="s">
        <v>62</v>
      </c>
      <c r="X123" t="s">
        <v>62</v>
      </c>
      <c r="Y123" t="s">
        <v>62</v>
      </c>
      <c r="Z123" t="s">
        <v>62</v>
      </c>
      <c r="AA123" t="s">
        <v>62</v>
      </c>
      <c r="AB123" t="s">
        <v>62</v>
      </c>
      <c r="AC123" t="s">
        <v>62</v>
      </c>
      <c r="AD123" t="s">
        <v>62</v>
      </c>
      <c r="AE123" t="s">
        <v>62</v>
      </c>
      <c r="AF123" t="s">
        <v>62</v>
      </c>
      <c r="AG123" t="s">
        <v>74</v>
      </c>
      <c r="AH123" t="s">
        <v>62</v>
      </c>
      <c r="AI123" t="s">
        <v>62</v>
      </c>
      <c r="AJ123" t="s">
        <v>75</v>
      </c>
      <c r="AK123" t="s">
        <v>62</v>
      </c>
      <c r="AL123" t="s">
        <v>62</v>
      </c>
      <c r="AM123" t="s">
        <v>62</v>
      </c>
      <c r="AN123" t="s">
        <v>76</v>
      </c>
      <c r="AO123" t="s">
        <v>112</v>
      </c>
    </row>
    <row r="124" spans="1:51" x14ac:dyDescent="0.25">
      <c r="A124" t="s">
        <v>540</v>
      </c>
      <c r="B124">
        <v>115</v>
      </c>
      <c r="C124">
        <v>2026</v>
      </c>
      <c r="D124">
        <v>4</v>
      </c>
      <c r="E124">
        <v>228</v>
      </c>
      <c r="F124" t="s">
        <v>62</v>
      </c>
      <c r="G124" t="s">
        <v>63</v>
      </c>
      <c r="H124" t="s">
        <v>541</v>
      </c>
      <c r="I124" t="s">
        <v>542</v>
      </c>
      <c r="J124" t="s">
        <v>81</v>
      </c>
      <c r="L124" t="s">
        <v>67</v>
      </c>
      <c r="M124" t="s">
        <v>68</v>
      </c>
      <c r="N124" t="s">
        <v>52</v>
      </c>
      <c r="O124" t="s">
        <v>538</v>
      </c>
      <c r="P124" t="s">
        <v>539</v>
      </c>
      <c r="Q124" t="s">
        <v>52</v>
      </c>
      <c r="R124" t="s">
        <v>91</v>
      </c>
      <c r="S124" t="s">
        <v>62</v>
      </c>
      <c r="T124" t="s">
        <v>62</v>
      </c>
      <c r="U124" t="s">
        <v>62</v>
      </c>
      <c r="V124" t="s">
        <v>62</v>
      </c>
      <c r="W124" t="s">
        <v>62</v>
      </c>
      <c r="X124" t="s">
        <v>62</v>
      </c>
      <c r="Y124" t="s">
        <v>62</v>
      </c>
      <c r="Z124" t="s">
        <v>62</v>
      </c>
      <c r="AA124" t="s">
        <v>62</v>
      </c>
      <c r="AB124" t="s">
        <v>62</v>
      </c>
      <c r="AC124" t="s">
        <v>62</v>
      </c>
      <c r="AD124" t="s">
        <v>62</v>
      </c>
      <c r="AE124" t="s">
        <v>62</v>
      </c>
      <c r="AF124" t="s">
        <v>62</v>
      </c>
      <c r="AG124" t="s">
        <v>74</v>
      </c>
      <c r="AH124" t="s">
        <v>62</v>
      </c>
      <c r="AI124" t="s">
        <v>62</v>
      </c>
      <c r="AJ124" t="s">
        <v>75</v>
      </c>
      <c r="AK124" t="s">
        <v>62</v>
      </c>
      <c r="AL124" t="s">
        <v>62</v>
      </c>
      <c r="AM124" t="s">
        <v>62</v>
      </c>
      <c r="AN124" t="s">
        <v>76</v>
      </c>
      <c r="AO124" t="s">
        <v>112</v>
      </c>
    </row>
    <row r="125" spans="1:51" x14ac:dyDescent="0.25">
      <c r="A125" t="s">
        <v>540</v>
      </c>
      <c r="B125">
        <v>116</v>
      </c>
      <c r="C125">
        <v>2026</v>
      </c>
      <c r="D125">
        <v>4</v>
      </c>
      <c r="E125">
        <v>14</v>
      </c>
      <c r="F125" t="s">
        <v>62</v>
      </c>
      <c r="G125" t="s">
        <v>63</v>
      </c>
      <c r="H125" t="s">
        <v>543</v>
      </c>
      <c r="J125" t="s">
        <v>81</v>
      </c>
      <c r="L125" t="s">
        <v>67</v>
      </c>
      <c r="N125" t="s">
        <v>52</v>
      </c>
      <c r="O125" t="s">
        <v>134</v>
      </c>
      <c r="P125" t="s">
        <v>135</v>
      </c>
      <c r="Q125" t="s">
        <v>52</v>
      </c>
      <c r="R125" t="s">
        <v>91</v>
      </c>
      <c r="S125" t="s">
        <v>62</v>
      </c>
      <c r="T125" t="s">
        <v>62</v>
      </c>
      <c r="U125" t="s">
        <v>62</v>
      </c>
      <c r="V125" t="s">
        <v>62</v>
      </c>
      <c r="W125" t="s">
        <v>62</v>
      </c>
      <c r="X125" t="s">
        <v>62</v>
      </c>
      <c r="Y125" t="s">
        <v>62</v>
      </c>
      <c r="Z125" t="s">
        <v>62</v>
      </c>
      <c r="AA125" t="s">
        <v>62</v>
      </c>
      <c r="AB125" t="s">
        <v>62</v>
      </c>
      <c r="AC125" t="s">
        <v>62</v>
      </c>
      <c r="AD125" t="s">
        <v>62</v>
      </c>
      <c r="AE125" t="s">
        <v>62</v>
      </c>
      <c r="AF125" t="s">
        <v>62</v>
      </c>
      <c r="AG125" t="s">
        <v>74</v>
      </c>
      <c r="AH125" t="s">
        <v>62</v>
      </c>
      <c r="AI125" t="s">
        <v>62</v>
      </c>
      <c r="AJ125" t="s">
        <v>75</v>
      </c>
      <c r="AK125" t="s">
        <v>62</v>
      </c>
      <c r="AL125" t="s">
        <v>62</v>
      </c>
      <c r="AM125" t="s">
        <v>62</v>
      </c>
      <c r="AN125" t="s">
        <v>76</v>
      </c>
      <c r="AO125" t="s">
        <v>112</v>
      </c>
    </row>
    <row r="126" spans="1:51" x14ac:dyDescent="0.25">
      <c r="A126" t="s">
        <v>540</v>
      </c>
      <c r="B126">
        <v>117</v>
      </c>
      <c r="C126">
        <v>2026</v>
      </c>
      <c r="D126">
        <v>4</v>
      </c>
      <c r="E126">
        <v>9</v>
      </c>
      <c r="F126" t="s">
        <v>62</v>
      </c>
      <c r="G126" t="s">
        <v>63</v>
      </c>
      <c r="H126" t="s">
        <v>544</v>
      </c>
      <c r="I126" t="s">
        <v>545</v>
      </c>
      <c r="J126" t="s">
        <v>66</v>
      </c>
      <c r="L126" t="s">
        <v>67</v>
      </c>
      <c r="M126" t="s">
        <v>83</v>
      </c>
      <c r="N126" t="s">
        <v>52</v>
      </c>
      <c r="O126" t="s">
        <v>538</v>
      </c>
      <c r="P126" t="s">
        <v>539</v>
      </c>
      <c r="Q126" t="s">
        <v>52</v>
      </c>
      <c r="R126" t="s">
        <v>91</v>
      </c>
      <c r="S126" t="s">
        <v>62</v>
      </c>
      <c r="T126" t="s">
        <v>62</v>
      </c>
      <c r="U126" t="s">
        <v>62</v>
      </c>
      <c r="V126" t="s">
        <v>62</v>
      </c>
      <c r="W126" t="s">
        <v>62</v>
      </c>
      <c r="X126" t="s">
        <v>62</v>
      </c>
      <c r="Y126" t="s">
        <v>62</v>
      </c>
      <c r="Z126" t="s">
        <v>62</v>
      </c>
      <c r="AA126" t="s">
        <v>62</v>
      </c>
      <c r="AB126" t="s">
        <v>62</v>
      </c>
      <c r="AC126" t="s">
        <v>62</v>
      </c>
      <c r="AD126" t="s">
        <v>62</v>
      </c>
      <c r="AE126" t="s">
        <v>62</v>
      </c>
      <c r="AF126" t="s">
        <v>62</v>
      </c>
      <c r="AG126" t="s">
        <v>74</v>
      </c>
      <c r="AH126" t="s">
        <v>62</v>
      </c>
      <c r="AI126" t="s">
        <v>62</v>
      </c>
      <c r="AJ126" t="s">
        <v>75</v>
      </c>
      <c r="AK126" t="s">
        <v>62</v>
      </c>
      <c r="AL126" t="s">
        <v>62</v>
      </c>
      <c r="AM126" t="s">
        <v>62</v>
      </c>
      <c r="AN126" t="s">
        <v>76</v>
      </c>
      <c r="AO126" t="s">
        <v>112</v>
      </c>
    </row>
    <row r="127" spans="1:51" x14ac:dyDescent="0.25">
      <c r="A127" t="s">
        <v>540</v>
      </c>
      <c r="B127">
        <v>118</v>
      </c>
      <c r="C127">
        <v>2026</v>
      </c>
      <c r="D127">
        <v>4</v>
      </c>
      <c r="E127">
        <v>26</v>
      </c>
      <c r="F127" t="s">
        <v>62</v>
      </c>
      <c r="G127" t="s">
        <v>63</v>
      </c>
      <c r="H127" t="s">
        <v>546</v>
      </c>
      <c r="J127" t="s">
        <v>81</v>
      </c>
      <c r="L127" t="s">
        <v>547</v>
      </c>
      <c r="M127" t="s">
        <v>83</v>
      </c>
      <c r="N127" t="s">
        <v>52</v>
      </c>
      <c r="O127" t="s">
        <v>538</v>
      </c>
      <c r="P127" t="s">
        <v>539</v>
      </c>
      <c r="Q127" t="s">
        <v>52</v>
      </c>
      <c r="R127" t="s">
        <v>91</v>
      </c>
      <c r="S127" t="s">
        <v>62</v>
      </c>
      <c r="T127" t="s">
        <v>62</v>
      </c>
      <c r="U127" t="s">
        <v>62</v>
      </c>
      <c r="V127" t="s">
        <v>62</v>
      </c>
      <c r="W127" t="s">
        <v>62</v>
      </c>
      <c r="X127" t="s">
        <v>62</v>
      </c>
      <c r="Y127" t="s">
        <v>62</v>
      </c>
      <c r="Z127" t="s">
        <v>62</v>
      </c>
      <c r="AA127" t="s">
        <v>62</v>
      </c>
      <c r="AB127" t="s">
        <v>62</v>
      </c>
      <c r="AC127" t="s">
        <v>62</v>
      </c>
      <c r="AD127" t="s">
        <v>62</v>
      </c>
      <c r="AE127" t="s">
        <v>62</v>
      </c>
      <c r="AF127" t="s">
        <v>62</v>
      </c>
      <c r="AG127" t="s">
        <v>74</v>
      </c>
      <c r="AH127" t="s">
        <v>62</v>
      </c>
      <c r="AI127" t="s">
        <v>62</v>
      </c>
      <c r="AJ127" t="s">
        <v>75</v>
      </c>
      <c r="AK127" t="s">
        <v>62</v>
      </c>
      <c r="AL127" t="s">
        <v>62</v>
      </c>
      <c r="AM127" t="s">
        <v>62</v>
      </c>
      <c r="AN127" t="s">
        <v>76</v>
      </c>
      <c r="AO127" t="s">
        <v>112</v>
      </c>
    </row>
    <row r="128" spans="1:51" x14ac:dyDescent="0.25">
      <c r="A128" t="s">
        <v>540</v>
      </c>
      <c r="B128">
        <v>119</v>
      </c>
      <c r="C128">
        <v>2026</v>
      </c>
      <c r="D128">
        <v>4</v>
      </c>
      <c r="E128">
        <v>33</v>
      </c>
      <c r="F128" t="s">
        <v>62</v>
      </c>
      <c r="G128" t="s">
        <v>63</v>
      </c>
      <c r="H128" t="s">
        <v>298</v>
      </c>
      <c r="I128" t="s">
        <v>548</v>
      </c>
      <c r="J128" t="s">
        <v>66</v>
      </c>
      <c r="L128" t="s">
        <v>67</v>
      </c>
      <c r="M128" t="s">
        <v>68</v>
      </c>
      <c r="N128" t="s">
        <v>52</v>
      </c>
      <c r="O128" t="s">
        <v>538</v>
      </c>
      <c r="P128" t="s">
        <v>539</v>
      </c>
      <c r="Q128" t="s">
        <v>52</v>
      </c>
      <c r="R128" t="s">
        <v>91</v>
      </c>
      <c r="S128" t="s">
        <v>62</v>
      </c>
      <c r="T128" t="s">
        <v>62</v>
      </c>
      <c r="U128" t="s">
        <v>62</v>
      </c>
      <c r="V128" t="s">
        <v>62</v>
      </c>
      <c r="W128" t="s">
        <v>62</v>
      </c>
      <c r="X128" t="s">
        <v>62</v>
      </c>
      <c r="Y128" t="s">
        <v>62</v>
      </c>
      <c r="Z128" t="s">
        <v>62</v>
      </c>
      <c r="AA128" t="s">
        <v>62</v>
      </c>
      <c r="AB128" t="s">
        <v>62</v>
      </c>
      <c r="AC128" t="s">
        <v>62</v>
      </c>
      <c r="AD128" t="s">
        <v>62</v>
      </c>
      <c r="AE128" t="s">
        <v>62</v>
      </c>
      <c r="AF128" t="s">
        <v>62</v>
      </c>
      <c r="AG128" t="s">
        <v>74</v>
      </c>
      <c r="AH128" t="s">
        <v>62</v>
      </c>
      <c r="AI128" t="s">
        <v>62</v>
      </c>
      <c r="AJ128" t="s">
        <v>75</v>
      </c>
      <c r="AK128" t="s">
        <v>62</v>
      </c>
      <c r="AL128" t="s">
        <v>62</v>
      </c>
      <c r="AM128" t="s">
        <v>62</v>
      </c>
      <c r="AN128" t="s">
        <v>76</v>
      </c>
      <c r="AO128" t="s">
        <v>112</v>
      </c>
    </row>
    <row r="129" spans="1:51" x14ac:dyDescent="0.25">
      <c r="A129" t="s">
        <v>540</v>
      </c>
      <c r="B129">
        <v>120</v>
      </c>
      <c r="C129">
        <v>2026</v>
      </c>
      <c r="D129">
        <v>4</v>
      </c>
      <c r="E129">
        <v>2</v>
      </c>
      <c r="F129" t="s">
        <v>62</v>
      </c>
      <c r="G129" t="s">
        <v>63</v>
      </c>
      <c r="H129" t="s">
        <v>87</v>
      </c>
      <c r="I129" t="s">
        <v>88</v>
      </c>
      <c r="J129" t="s">
        <v>81</v>
      </c>
      <c r="L129" t="s">
        <v>67</v>
      </c>
      <c r="M129" t="s">
        <v>83</v>
      </c>
      <c r="N129" t="s">
        <v>52</v>
      </c>
      <c r="O129" t="s">
        <v>166</v>
      </c>
      <c r="P129" t="s">
        <v>90</v>
      </c>
      <c r="Q129" t="s">
        <v>52</v>
      </c>
      <c r="R129" t="s">
        <v>91</v>
      </c>
      <c r="S129" t="s">
        <v>62</v>
      </c>
      <c r="T129" t="s">
        <v>62</v>
      </c>
      <c r="U129" t="s">
        <v>62</v>
      </c>
      <c r="V129" t="s">
        <v>62</v>
      </c>
      <c r="W129" t="s">
        <v>62</v>
      </c>
      <c r="X129" t="s">
        <v>62</v>
      </c>
      <c r="Y129" t="s">
        <v>62</v>
      </c>
      <c r="Z129" t="s">
        <v>62</v>
      </c>
      <c r="AA129" t="s">
        <v>62</v>
      </c>
      <c r="AB129" t="s">
        <v>62</v>
      </c>
      <c r="AC129" t="s">
        <v>62</v>
      </c>
      <c r="AD129" t="s">
        <v>62</v>
      </c>
      <c r="AE129" t="s">
        <v>62</v>
      </c>
      <c r="AF129" t="s">
        <v>62</v>
      </c>
      <c r="AG129" t="s">
        <v>74</v>
      </c>
      <c r="AH129" t="s">
        <v>62</v>
      </c>
      <c r="AI129" t="s">
        <v>62</v>
      </c>
      <c r="AJ129" t="s">
        <v>75</v>
      </c>
      <c r="AK129" t="s">
        <v>62</v>
      </c>
      <c r="AL129" t="s">
        <v>62</v>
      </c>
      <c r="AM129" t="s">
        <v>62</v>
      </c>
      <c r="AN129" t="s">
        <v>76</v>
      </c>
      <c r="AO129" t="s">
        <v>112</v>
      </c>
    </row>
    <row r="130" spans="1:51" x14ac:dyDescent="0.25">
      <c r="A130" t="s">
        <v>540</v>
      </c>
      <c r="B130">
        <v>121</v>
      </c>
      <c r="C130">
        <v>2026</v>
      </c>
      <c r="D130">
        <v>4</v>
      </c>
      <c r="E130">
        <v>22</v>
      </c>
      <c r="F130" t="s">
        <v>62</v>
      </c>
      <c r="G130" t="s">
        <v>63</v>
      </c>
      <c r="H130" t="s">
        <v>549</v>
      </c>
      <c r="I130" t="s">
        <v>550</v>
      </c>
      <c r="J130" t="s">
        <v>66</v>
      </c>
      <c r="L130" t="s">
        <v>67</v>
      </c>
      <c r="M130" t="s">
        <v>83</v>
      </c>
      <c r="N130" t="s">
        <v>52</v>
      </c>
      <c r="P130" t="s">
        <v>410</v>
      </c>
      <c r="Q130" t="s">
        <v>52</v>
      </c>
      <c r="S130" t="s">
        <v>62</v>
      </c>
      <c r="T130" t="s">
        <v>62</v>
      </c>
      <c r="U130" t="s">
        <v>62</v>
      </c>
      <c r="V130" t="s">
        <v>62</v>
      </c>
      <c r="W130" t="s">
        <v>62</v>
      </c>
      <c r="X130" t="s">
        <v>62</v>
      </c>
      <c r="Y130" t="s">
        <v>62</v>
      </c>
      <c r="Z130" t="s">
        <v>62</v>
      </c>
      <c r="AA130" t="s">
        <v>62</v>
      </c>
      <c r="AB130" t="s">
        <v>62</v>
      </c>
      <c r="AC130" t="s">
        <v>62</v>
      </c>
      <c r="AD130" t="s">
        <v>62</v>
      </c>
      <c r="AE130" t="s">
        <v>62</v>
      </c>
      <c r="AF130" t="s">
        <v>62</v>
      </c>
      <c r="AG130" t="s">
        <v>74</v>
      </c>
      <c r="AH130" t="s">
        <v>62</v>
      </c>
      <c r="AI130" t="s">
        <v>62</v>
      </c>
      <c r="AJ130" t="s">
        <v>75</v>
      </c>
      <c r="AK130" t="s">
        <v>62</v>
      </c>
      <c r="AL130" t="s">
        <v>62</v>
      </c>
      <c r="AM130" t="s">
        <v>62</v>
      </c>
      <c r="AN130" t="s">
        <v>76</v>
      </c>
      <c r="AO130" t="s">
        <v>112</v>
      </c>
    </row>
    <row r="131" spans="1:51" x14ac:dyDescent="0.25">
      <c r="A131" t="s">
        <v>540</v>
      </c>
      <c r="B131">
        <v>122</v>
      </c>
      <c r="C131">
        <v>2026</v>
      </c>
      <c r="D131">
        <v>4</v>
      </c>
      <c r="E131">
        <v>47</v>
      </c>
      <c r="F131" t="s">
        <v>62</v>
      </c>
      <c r="G131" t="s">
        <v>63</v>
      </c>
      <c r="H131" t="s">
        <v>143</v>
      </c>
      <c r="I131" t="s">
        <v>144</v>
      </c>
      <c r="J131" t="s">
        <v>66</v>
      </c>
      <c r="L131" t="s">
        <v>67</v>
      </c>
      <c r="M131" t="s">
        <v>83</v>
      </c>
      <c r="N131" t="s">
        <v>52</v>
      </c>
      <c r="O131" t="s">
        <v>538</v>
      </c>
      <c r="P131" t="s">
        <v>539</v>
      </c>
      <c r="Q131" t="s">
        <v>52</v>
      </c>
      <c r="R131" t="s">
        <v>91</v>
      </c>
      <c r="S131" t="s">
        <v>62</v>
      </c>
      <c r="T131" t="s">
        <v>62</v>
      </c>
      <c r="U131" t="s">
        <v>62</v>
      </c>
      <c r="V131" t="s">
        <v>62</v>
      </c>
      <c r="W131" t="s">
        <v>62</v>
      </c>
      <c r="X131" t="s">
        <v>62</v>
      </c>
      <c r="Y131" t="s">
        <v>62</v>
      </c>
      <c r="Z131" t="s">
        <v>62</v>
      </c>
      <c r="AA131" t="s">
        <v>62</v>
      </c>
      <c r="AB131" t="s">
        <v>62</v>
      </c>
      <c r="AC131" t="s">
        <v>62</v>
      </c>
      <c r="AD131" t="s">
        <v>62</v>
      </c>
      <c r="AE131" t="s">
        <v>62</v>
      </c>
      <c r="AF131" t="s">
        <v>62</v>
      </c>
      <c r="AG131" t="s">
        <v>74</v>
      </c>
      <c r="AH131" t="s">
        <v>62</v>
      </c>
      <c r="AI131" t="s">
        <v>62</v>
      </c>
      <c r="AJ131" t="s">
        <v>75</v>
      </c>
      <c r="AK131" t="s">
        <v>62</v>
      </c>
      <c r="AL131" t="s">
        <v>62</v>
      </c>
      <c r="AM131" t="s">
        <v>62</v>
      </c>
      <c r="AN131" t="s">
        <v>76</v>
      </c>
      <c r="AO131" t="s">
        <v>112</v>
      </c>
    </row>
    <row r="132" spans="1:51" x14ac:dyDescent="0.25">
      <c r="A132" t="s">
        <v>540</v>
      </c>
      <c r="B132">
        <v>123</v>
      </c>
      <c r="C132">
        <v>2026</v>
      </c>
      <c r="D132">
        <v>4</v>
      </c>
      <c r="E132">
        <v>42</v>
      </c>
      <c r="F132" t="s">
        <v>62</v>
      </c>
      <c r="G132" t="s">
        <v>63</v>
      </c>
      <c r="H132" t="s">
        <v>551</v>
      </c>
      <c r="I132" t="s">
        <v>552</v>
      </c>
      <c r="J132" t="s">
        <v>81</v>
      </c>
      <c r="L132" t="s">
        <v>67</v>
      </c>
      <c r="M132" t="s">
        <v>68</v>
      </c>
      <c r="N132" t="s">
        <v>52</v>
      </c>
      <c r="O132" t="s">
        <v>134</v>
      </c>
      <c r="P132" t="s">
        <v>135</v>
      </c>
      <c r="Q132" t="s">
        <v>52</v>
      </c>
      <c r="R132" t="s">
        <v>91</v>
      </c>
      <c r="S132" t="s">
        <v>62</v>
      </c>
      <c r="T132" t="s">
        <v>62</v>
      </c>
      <c r="U132" t="s">
        <v>62</v>
      </c>
      <c r="V132" t="s">
        <v>62</v>
      </c>
      <c r="W132" t="s">
        <v>62</v>
      </c>
      <c r="X132" t="s">
        <v>62</v>
      </c>
      <c r="Y132" t="s">
        <v>62</v>
      </c>
      <c r="Z132" t="s">
        <v>62</v>
      </c>
      <c r="AA132" t="s">
        <v>62</v>
      </c>
      <c r="AB132" t="s">
        <v>62</v>
      </c>
      <c r="AC132" t="s">
        <v>62</v>
      </c>
      <c r="AD132" t="s">
        <v>62</v>
      </c>
      <c r="AE132" t="s">
        <v>62</v>
      </c>
      <c r="AF132" t="s">
        <v>62</v>
      </c>
      <c r="AG132" t="s">
        <v>74</v>
      </c>
      <c r="AH132" t="s">
        <v>62</v>
      </c>
      <c r="AI132" t="s">
        <v>62</v>
      </c>
      <c r="AJ132" t="s">
        <v>75</v>
      </c>
      <c r="AK132" t="s">
        <v>62</v>
      </c>
      <c r="AL132" t="s">
        <v>62</v>
      </c>
      <c r="AM132" t="s">
        <v>62</v>
      </c>
      <c r="AN132" t="s">
        <v>76</v>
      </c>
      <c r="AO132" t="s">
        <v>112</v>
      </c>
    </row>
    <row r="133" spans="1:51" x14ac:dyDescent="0.25">
      <c r="A133" t="s">
        <v>540</v>
      </c>
      <c r="B133">
        <v>124</v>
      </c>
      <c r="C133">
        <v>2026</v>
      </c>
      <c r="D133">
        <v>4</v>
      </c>
      <c r="E133">
        <v>23</v>
      </c>
      <c r="F133" t="s">
        <v>62</v>
      </c>
      <c r="G133" t="s">
        <v>63</v>
      </c>
      <c r="H133" t="s">
        <v>553</v>
      </c>
      <c r="I133" t="s">
        <v>554</v>
      </c>
      <c r="J133" t="s">
        <v>66</v>
      </c>
      <c r="L133" t="s">
        <v>67</v>
      </c>
      <c r="M133" t="s">
        <v>83</v>
      </c>
      <c r="N133" t="s">
        <v>52</v>
      </c>
      <c r="O133" t="s">
        <v>134</v>
      </c>
      <c r="P133" t="s">
        <v>135</v>
      </c>
      <c r="Q133" t="s">
        <v>52</v>
      </c>
      <c r="R133" t="s">
        <v>91</v>
      </c>
      <c r="S133" t="s">
        <v>62</v>
      </c>
      <c r="T133" t="s">
        <v>62</v>
      </c>
      <c r="U133" t="s">
        <v>62</v>
      </c>
      <c r="V133" t="s">
        <v>62</v>
      </c>
      <c r="W133" t="s">
        <v>62</v>
      </c>
      <c r="X133" t="s">
        <v>62</v>
      </c>
      <c r="Y133" t="s">
        <v>62</v>
      </c>
      <c r="Z133" t="s">
        <v>62</v>
      </c>
      <c r="AA133" t="s">
        <v>62</v>
      </c>
      <c r="AB133" t="s">
        <v>62</v>
      </c>
      <c r="AC133" t="s">
        <v>62</v>
      </c>
      <c r="AD133" t="s">
        <v>62</v>
      </c>
      <c r="AE133" t="s">
        <v>62</v>
      </c>
      <c r="AF133" t="s">
        <v>62</v>
      </c>
      <c r="AG133" t="s">
        <v>74</v>
      </c>
      <c r="AH133" t="s">
        <v>62</v>
      </c>
      <c r="AI133" t="s">
        <v>62</v>
      </c>
      <c r="AJ133" t="s">
        <v>75</v>
      </c>
      <c r="AK133" t="s">
        <v>62</v>
      </c>
      <c r="AL133" t="s">
        <v>62</v>
      </c>
      <c r="AM133" t="s">
        <v>62</v>
      </c>
      <c r="AN133" t="s">
        <v>76</v>
      </c>
      <c r="AO133" t="s">
        <v>112</v>
      </c>
    </row>
    <row r="134" spans="1:51" x14ac:dyDescent="0.25">
      <c r="A134" t="s">
        <v>540</v>
      </c>
      <c r="B134">
        <v>125</v>
      </c>
      <c r="C134">
        <v>2026</v>
      </c>
      <c r="D134">
        <v>4</v>
      </c>
      <c r="E134">
        <v>38</v>
      </c>
      <c r="F134" t="s">
        <v>62</v>
      </c>
      <c r="G134" t="s">
        <v>63</v>
      </c>
      <c r="H134" t="s">
        <v>555</v>
      </c>
      <c r="I134" t="s">
        <v>556</v>
      </c>
      <c r="J134" t="s">
        <v>66</v>
      </c>
      <c r="L134" t="s">
        <v>67</v>
      </c>
      <c r="M134" t="s">
        <v>68</v>
      </c>
      <c r="N134" t="s">
        <v>52</v>
      </c>
      <c r="O134" t="s">
        <v>166</v>
      </c>
      <c r="P134" t="s">
        <v>90</v>
      </c>
      <c r="Q134" t="s">
        <v>52</v>
      </c>
      <c r="R134" t="s">
        <v>91</v>
      </c>
      <c r="S134" t="s">
        <v>62</v>
      </c>
      <c r="T134" t="s">
        <v>62</v>
      </c>
      <c r="U134" t="s">
        <v>62</v>
      </c>
      <c r="V134" t="s">
        <v>62</v>
      </c>
      <c r="W134" t="s">
        <v>62</v>
      </c>
      <c r="X134" t="s">
        <v>62</v>
      </c>
      <c r="Y134" t="s">
        <v>62</v>
      </c>
      <c r="Z134" t="s">
        <v>62</v>
      </c>
      <c r="AA134" t="s">
        <v>62</v>
      </c>
      <c r="AB134" t="s">
        <v>62</v>
      </c>
      <c r="AC134" t="s">
        <v>62</v>
      </c>
      <c r="AD134" t="s">
        <v>62</v>
      </c>
      <c r="AE134" t="s">
        <v>62</v>
      </c>
      <c r="AF134" t="s">
        <v>62</v>
      </c>
      <c r="AG134" t="s">
        <v>74</v>
      </c>
      <c r="AH134" t="s">
        <v>62</v>
      </c>
      <c r="AI134" t="s">
        <v>62</v>
      </c>
      <c r="AJ134" t="s">
        <v>75</v>
      </c>
      <c r="AK134" t="s">
        <v>62</v>
      </c>
      <c r="AL134" t="s">
        <v>62</v>
      </c>
      <c r="AM134" t="s">
        <v>62</v>
      </c>
      <c r="AN134" t="s">
        <v>76</v>
      </c>
      <c r="AO134" t="s">
        <v>112</v>
      </c>
    </row>
    <row r="135" spans="1:51" x14ac:dyDescent="0.25">
      <c r="A135" t="s">
        <v>540</v>
      </c>
      <c r="B135">
        <v>126</v>
      </c>
      <c r="C135">
        <v>2026</v>
      </c>
      <c r="D135">
        <v>4</v>
      </c>
      <c r="E135">
        <v>39</v>
      </c>
      <c r="F135" t="s">
        <v>62</v>
      </c>
      <c r="G135" t="s">
        <v>63</v>
      </c>
      <c r="H135" t="s">
        <v>557</v>
      </c>
      <c r="I135" t="s">
        <v>558</v>
      </c>
      <c r="J135" t="s">
        <v>66</v>
      </c>
      <c r="L135" t="s">
        <v>67</v>
      </c>
      <c r="N135" t="s">
        <v>52</v>
      </c>
      <c r="O135" t="s">
        <v>134</v>
      </c>
      <c r="P135" t="s">
        <v>135</v>
      </c>
      <c r="Q135" t="s">
        <v>52</v>
      </c>
      <c r="R135" t="s">
        <v>91</v>
      </c>
      <c r="S135" t="s">
        <v>62</v>
      </c>
      <c r="T135" t="s">
        <v>62</v>
      </c>
      <c r="U135" t="s">
        <v>62</v>
      </c>
      <c r="V135" t="s">
        <v>62</v>
      </c>
      <c r="W135" t="s">
        <v>62</v>
      </c>
      <c r="X135" t="s">
        <v>62</v>
      </c>
      <c r="Y135" t="s">
        <v>62</v>
      </c>
      <c r="Z135" t="s">
        <v>62</v>
      </c>
      <c r="AA135" t="s">
        <v>62</v>
      </c>
      <c r="AB135" t="s">
        <v>62</v>
      </c>
      <c r="AC135" t="s">
        <v>62</v>
      </c>
      <c r="AD135" t="s">
        <v>62</v>
      </c>
      <c r="AE135" t="s">
        <v>62</v>
      </c>
      <c r="AF135" t="s">
        <v>62</v>
      </c>
      <c r="AG135" t="s">
        <v>74</v>
      </c>
      <c r="AH135" t="s">
        <v>62</v>
      </c>
      <c r="AI135" t="s">
        <v>62</v>
      </c>
      <c r="AJ135" t="s">
        <v>75</v>
      </c>
      <c r="AK135" t="s">
        <v>62</v>
      </c>
      <c r="AL135" t="s">
        <v>62</v>
      </c>
      <c r="AM135" t="s">
        <v>62</v>
      </c>
      <c r="AN135" t="s">
        <v>76</v>
      </c>
      <c r="AO135" t="s">
        <v>112</v>
      </c>
    </row>
    <row r="136" spans="1:51" x14ac:dyDescent="0.25">
      <c r="A136" t="s">
        <v>540</v>
      </c>
      <c r="B136">
        <v>127</v>
      </c>
      <c r="C136">
        <v>2026</v>
      </c>
      <c r="D136">
        <v>4</v>
      </c>
      <c r="E136">
        <v>198</v>
      </c>
      <c r="F136" t="s">
        <v>62</v>
      </c>
      <c r="G136" t="s">
        <v>93</v>
      </c>
      <c r="H136" t="s">
        <v>559</v>
      </c>
      <c r="I136" t="s">
        <v>560</v>
      </c>
      <c r="J136" t="s">
        <v>66</v>
      </c>
      <c r="L136" t="s">
        <v>67</v>
      </c>
      <c r="M136" t="s">
        <v>68</v>
      </c>
      <c r="N136" t="s">
        <v>108</v>
      </c>
      <c r="O136" t="s">
        <v>186</v>
      </c>
      <c r="P136" t="s">
        <v>187</v>
      </c>
      <c r="Q136" t="s">
        <v>561</v>
      </c>
      <c r="R136" t="s">
        <v>189</v>
      </c>
      <c r="S136" t="s">
        <v>62</v>
      </c>
      <c r="T136" t="s">
        <v>62</v>
      </c>
      <c r="U136" t="s">
        <v>62</v>
      </c>
      <c r="V136" t="s">
        <v>62</v>
      </c>
      <c r="W136" t="s">
        <v>74</v>
      </c>
      <c r="X136" t="s">
        <v>62</v>
      </c>
      <c r="Y136" t="s">
        <v>62</v>
      </c>
      <c r="Z136" t="s">
        <v>62</v>
      </c>
      <c r="AA136" t="s">
        <v>62</v>
      </c>
      <c r="AB136" t="s">
        <v>62</v>
      </c>
      <c r="AC136" t="s">
        <v>62</v>
      </c>
      <c r="AD136" t="s">
        <v>62</v>
      </c>
      <c r="AE136" t="s">
        <v>62</v>
      </c>
      <c r="AF136" t="s">
        <v>62</v>
      </c>
      <c r="AG136" t="s">
        <v>62</v>
      </c>
      <c r="AH136" t="s">
        <v>62</v>
      </c>
      <c r="AI136" t="s">
        <v>62</v>
      </c>
      <c r="AJ136" t="s">
        <v>75</v>
      </c>
      <c r="AK136" t="s">
        <v>62</v>
      </c>
      <c r="AL136" t="s">
        <v>62</v>
      </c>
      <c r="AM136" t="s">
        <v>62</v>
      </c>
      <c r="AN136" t="s">
        <v>62</v>
      </c>
      <c r="AO136" t="s">
        <v>562</v>
      </c>
    </row>
    <row r="137" spans="1:51" x14ac:dyDescent="0.25">
      <c r="A137" t="s">
        <v>563</v>
      </c>
      <c r="B137">
        <v>128</v>
      </c>
      <c r="C137">
        <v>2026</v>
      </c>
      <c r="D137">
        <v>4</v>
      </c>
      <c r="E137">
        <v>43</v>
      </c>
      <c r="F137" t="s">
        <v>62</v>
      </c>
      <c r="G137" t="s">
        <v>93</v>
      </c>
      <c r="H137" t="s">
        <v>564</v>
      </c>
      <c r="J137" t="s">
        <v>81</v>
      </c>
      <c r="L137" t="s">
        <v>82</v>
      </c>
      <c r="M137" t="s">
        <v>68</v>
      </c>
      <c r="N137" t="s">
        <v>108</v>
      </c>
      <c r="O137" t="s">
        <v>565</v>
      </c>
      <c r="P137" t="s">
        <v>394</v>
      </c>
      <c r="Q137" t="s">
        <v>566</v>
      </c>
      <c r="R137" t="s">
        <v>73</v>
      </c>
      <c r="S137" t="s">
        <v>62</v>
      </c>
      <c r="T137" t="s">
        <v>62</v>
      </c>
      <c r="U137" t="s">
        <v>62</v>
      </c>
      <c r="V137" t="s">
        <v>62</v>
      </c>
      <c r="W137" t="s">
        <v>74</v>
      </c>
      <c r="X137" t="s">
        <v>62</v>
      </c>
      <c r="Y137" t="s">
        <v>62</v>
      </c>
      <c r="Z137" t="s">
        <v>62</v>
      </c>
      <c r="AA137" t="s">
        <v>62</v>
      </c>
      <c r="AB137" t="s">
        <v>62</v>
      </c>
      <c r="AC137" t="s">
        <v>62</v>
      </c>
      <c r="AD137" t="s">
        <v>62</v>
      </c>
      <c r="AE137" t="s">
        <v>62</v>
      </c>
      <c r="AF137" t="s">
        <v>62</v>
      </c>
      <c r="AG137" t="s">
        <v>62</v>
      </c>
      <c r="AH137" t="s">
        <v>62</v>
      </c>
      <c r="AI137" t="s">
        <v>62</v>
      </c>
      <c r="AJ137" t="s">
        <v>75</v>
      </c>
      <c r="AK137" t="s">
        <v>62</v>
      </c>
      <c r="AL137" t="s">
        <v>62</v>
      </c>
      <c r="AM137" t="s">
        <v>62</v>
      </c>
      <c r="AN137" t="s">
        <v>62</v>
      </c>
      <c r="AO137" t="s">
        <v>112</v>
      </c>
    </row>
    <row r="138" spans="1:51" x14ac:dyDescent="0.25">
      <c r="A138" t="s">
        <v>563</v>
      </c>
      <c r="B138">
        <v>129</v>
      </c>
      <c r="C138">
        <v>2026</v>
      </c>
      <c r="D138">
        <v>4</v>
      </c>
      <c r="E138">
        <v>240</v>
      </c>
      <c r="F138" t="s">
        <v>62</v>
      </c>
      <c r="G138" t="s">
        <v>93</v>
      </c>
      <c r="H138" t="s">
        <v>567</v>
      </c>
      <c r="I138" t="s">
        <v>568</v>
      </c>
      <c r="J138" t="s">
        <v>81</v>
      </c>
      <c r="L138" t="s">
        <v>67</v>
      </c>
      <c r="N138" t="s">
        <v>108</v>
      </c>
      <c r="O138" t="s">
        <v>565</v>
      </c>
      <c r="P138" t="s">
        <v>394</v>
      </c>
      <c r="Q138" t="s">
        <v>566</v>
      </c>
      <c r="R138" t="s">
        <v>73</v>
      </c>
      <c r="S138" t="s">
        <v>62</v>
      </c>
      <c r="T138" t="s">
        <v>62</v>
      </c>
      <c r="U138" t="s">
        <v>62</v>
      </c>
      <c r="V138" t="s">
        <v>62</v>
      </c>
      <c r="W138" t="s">
        <v>74</v>
      </c>
      <c r="X138" t="s">
        <v>62</v>
      </c>
      <c r="Y138" t="s">
        <v>62</v>
      </c>
      <c r="Z138" t="s">
        <v>62</v>
      </c>
      <c r="AA138" t="s">
        <v>62</v>
      </c>
      <c r="AB138" t="s">
        <v>62</v>
      </c>
      <c r="AC138" t="s">
        <v>62</v>
      </c>
      <c r="AD138" t="s">
        <v>62</v>
      </c>
      <c r="AE138" t="s">
        <v>62</v>
      </c>
      <c r="AF138" t="s">
        <v>62</v>
      </c>
      <c r="AG138" t="s">
        <v>62</v>
      </c>
      <c r="AH138" t="s">
        <v>62</v>
      </c>
      <c r="AI138" t="s">
        <v>62</v>
      </c>
      <c r="AJ138" t="s">
        <v>75</v>
      </c>
      <c r="AK138" t="s">
        <v>62</v>
      </c>
      <c r="AL138" t="s">
        <v>62</v>
      </c>
      <c r="AM138" t="s">
        <v>62</v>
      </c>
      <c r="AN138" t="s">
        <v>62</v>
      </c>
      <c r="AO138" t="s">
        <v>112</v>
      </c>
    </row>
    <row r="139" spans="1:51" x14ac:dyDescent="0.25">
      <c r="A139" t="s">
        <v>563</v>
      </c>
      <c r="B139">
        <v>130</v>
      </c>
      <c r="C139">
        <v>2026</v>
      </c>
      <c r="D139">
        <v>4</v>
      </c>
      <c r="E139">
        <v>40</v>
      </c>
      <c r="F139" t="s">
        <v>62</v>
      </c>
      <c r="G139" t="s">
        <v>93</v>
      </c>
      <c r="H139" t="s">
        <v>569</v>
      </c>
      <c r="J139" t="s">
        <v>81</v>
      </c>
      <c r="L139" t="s">
        <v>82</v>
      </c>
      <c r="N139" t="s">
        <v>108</v>
      </c>
      <c r="O139" t="s">
        <v>565</v>
      </c>
      <c r="P139" t="s">
        <v>394</v>
      </c>
      <c r="Q139" t="s">
        <v>566</v>
      </c>
      <c r="R139" t="s">
        <v>73</v>
      </c>
      <c r="S139" t="s">
        <v>62</v>
      </c>
      <c r="T139" t="s">
        <v>62</v>
      </c>
      <c r="U139" t="s">
        <v>62</v>
      </c>
      <c r="V139" t="s">
        <v>62</v>
      </c>
      <c r="W139" t="s">
        <v>74</v>
      </c>
      <c r="X139" t="s">
        <v>62</v>
      </c>
      <c r="Y139" t="s">
        <v>62</v>
      </c>
      <c r="Z139" t="s">
        <v>62</v>
      </c>
      <c r="AA139" t="s">
        <v>62</v>
      </c>
      <c r="AB139" t="s">
        <v>62</v>
      </c>
      <c r="AC139" t="s">
        <v>62</v>
      </c>
      <c r="AD139" t="s">
        <v>62</v>
      </c>
      <c r="AE139" t="s">
        <v>62</v>
      </c>
      <c r="AF139" t="s">
        <v>62</v>
      </c>
      <c r="AG139" t="s">
        <v>62</v>
      </c>
      <c r="AH139" t="s">
        <v>62</v>
      </c>
      <c r="AI139" t="s">
        <v>62</v>
      </c>
      <c r="AJ139" t="s">
        <v>75</v>
      </c>
      <c r="AK139" t="s">
        <v>62</v>
      </c>
      <c r="AL139" t="s">
        <v>62</v>
      </c>
      <c r="AM139" t="s">
        <v>62</v>
      </c>
      <c r="AN139" t="s">
        <v>62</v>
      </c>
      <c r="AO139" t="s">
        <v>112</v>
      </c>
    </row>
    <row r="140" spans="1:51" x14ac:dyDescent="0.25">
      <c r="A140" t="s">
        <v>563</v>
      </c>
      <c r="B140">
        <v>131</v>
      </c>
      <c r="C140">
        <v>2026</v>
      </c>
      <c r="D140">
        <v>4</v>
      </c>
      <c r="E140">
        <v>44</v>
      </c>
      <c r="F140" t="s">
        <v>62</v>
      </c>
      <c r="G140" t="s">
        <v>93</v>
      </c>
      <c r="H140" t="s">
        <v>570</v>
      </c>
      <c r="J140" t="s">
        <v>81</v>
      </c>
      <c r="L140" t="s">
        <v>82</v>
      </c>
      <c r="N140" t="s">
        <v>108</v>
      </c>
      <c r="O140" t="s">
        <v>565</v>
      </c>
      <c r="P140" t="s">
        <v>394</v>
      </c>
      <c r="Q140" t="s">
        <v>566</v>
      </c>
      <c r="R140" t="s">
        <v>73</v>
      </c>
      <c r="S140" t="s">
        <v>62</v>
      </c>
      <c r="T140" t="s">
        <v>62</v>
      </c>
      <c r="U140" t="s">
        <v>62</v>
      </c>
      <c r="V140" t="s">
        <v>62</v>
      </c>
      <c r="W140" t="s">
        <v>74</v>
      </c>
      <c r="X140" t="s">
        <v>62</v>
      </c>
      <c r="Y140" t="s">
        <v>62</v>
      </c>
      <c r="Z140" t="s">
        <v>62</v>
      </c>
      <c r="AA140" t="s">
        <v>62</v>
      </c>
      <c r="AB140" t="s">
        <v>62</v>
      </c>
      <c r="AC140" t="s">
        <v>62</v>
      </c>
      <c r="AD140" t="s">
        <v>62</v>
      </c>
      <c r="AE140" t="s">
        <v>62</v>
      </c>
      <c r="AF140" t="s">
        <v>62</v>
      </c>
      <c r="AG140" t="s">
        <v>62</v>
      </c>
      <c r="AH140" t="s">
        <v>62</v>
      </c>
      <c r="AI140" t="s">
        <v>62</v>
      </c>
      <c r="AJ140" t="s">
        <v>75</v>
      </c>
      <c r="AK140" t="s">
        <v>62</v>
      </c>
      <c r="AL140" t="s">
        <v>62</v>
      </c>
      <c r="AM140" t="s">
        <v>62</v>
      </c>
      <c r="AN140" t="s">
        <v>62</v>
      </c>
      <c r="AO140" t="s">
        <v>112</v>
      </c>
    </row>
    <row r="141" spans="1:51" x14ac:dyDescent="0.25">
      <c r="A141" t="s">
        <v>563</v>
      </c>
      <c r="B141">
        <v>132</v>
      </c>
      <c r="C141">
        <v>2026</v>
      </c>
      <c r="D141">
        <v>4</v>
      </c>
      <c r="E141">
        <v>45</v>
      </c>
      <c r="F141" t="s">
        <v>62</v>
      </c>
      <c r="G141" t="s">
        <v>93</v>
      </c>
      <c r="H141" t="s">
        <v>571</v>
      </c>
      <c r="J141" t="s">
        <v>81</v>
      </c>
      <c r="L141" t="s">
        <v>82</v>
      </c>
      <c r="N141" t="s">
        <v>108</v>
      </c>
      <c r="O141" t="s">
        <v>565</v>
      </c>
      <c r="P141" t="s">
        <v>394</v>
      </c>
      <c r="Q141" t="s">
        <v>566</v>
      </c>
      <c r="R141" t="s">
        <v>73</v>
      </c>
      <c r="S141" t="s">
        <v>62</v>
      </c>
      <c r="T141" t="s">
        <v>62</v>
      </c>
      <c r="U141" t="s">
        <v>62</v>
      </c>
      <c r="V141" t="s">
        <v>62</v>
      </c>
      <c r="W141" t="s">
        <v>74</v>
      </c>
      <c r="X141" t="s">
        <v>62</v>
      </c>
      <c r="Y141" t="s">
        <v>62</v>
      </c>
      <c r="Z141" t="s">
        <v>62</v>
      </c>
      <c r="AA141" t="s">
        <v>62</v>
      </c>
      <c r="AB141" t="s">
        <v>62</v>
      </c>
      <c r="AC141" t="s">
        <v>62</v>
      </c>
      <c r="AD141" t="s">
        <v>62</v>
      </c>
      <c r="AE141" t="s">
        <v>62</v>
      </c>
      <c r="AF141" t="s">
        <v>62</v>
      </c>
      <c r="AG141" t="s">
        <v>62</v>
      </c>
      <c r="AH141" t="s">
        <v>62</v>
      </c>
      <c r="AI141" t="s">
        <v>62</v>
      </c>
      <c r="AJ141" t="s">
        <v>75</v>
      </c>
      <c r="AK141" t="s">
        <v>62</v>
      </c>
      <c r="AL141" t="s">
        <v>62</v>
      </c>
      <c r="AM141" t="s">
        <v>62</v>
      </c>
      <c r="AN141" t="s">
        <v>62</v>
      </c>
      <c r="AO141" t="s">
        <v>112</v>
      </c>
    </row>
    <row r="142" spans="1:51" x14ac:dyDescent="0.25">
      <c r="A142" t="s">
        <v>563</v>
      </c>
      <c r="B142">
        <v>133</v>
      </c>
      <c r="C142">
        <v>2026</v>
      </c>
      <c r="D142">
        <v>4</v>
      </c>
      <c r="E142">
        <v>46</v>
      </c>
      <c r="F142" t="s">
        <v>62</v>
      </c>
      <c r="G142" t="s">
        <v>93</v>
      </c>
      <c r="H142" t="s">
        <v>572</v>
      </c>
      <c r="J142" t="s">
        <v>81</v>
      </c>
      <c r="L142" t="s">
        <v>285</v>
      </c>
      <c r="N142" t="s">
        <v>108</v>
      </c>
      <c r="O142" t="s">
        <v>565</v>
      </c>
      <c r="P142" t="s">
        <v>394</v>
      </c>
      <c r="Q142" t="s">
        <v>566</v>
      </c>
      <c r="R142" t="s">
        <v>73</v>
      </c>
      <c r="S142" t="s">
        <v>62</v>
      </c>
      <c r="T142" t="s">
        <v>62</v>
      </c>
      <c r="U142" t="s">
        <v>62</v>
      </c>
      <c r="V142" t="s">
        <v>62</v>
      </c>
      <c r="W142" t="s">
        <v>74</v>
      </c>
      <c r="X142" t="s">
        <v>62</v>
      </c>
      <c r="Y142" t="s">
        <v>62</v>
      </c>
      <c r="Z142" t="s">
        <v>62</v>
      </c>
      <c r="AA142" t="s">
        <v>62</v>
      </c>
      <c r="AB142" t="s">
        <v>62</v>
      </c>
      <c r="AC142" t="s">
        <v>62</v>
      </c>
      <c r="AD142" t="s">
        <v>62</v>
      </c>
      <c r="AE142" t="s">
        <v>62</v>
      </c>
      <c r="AF142" t="s">
        <v>62</v>
      </c>
      <c r="AG142" t="s">
        <v>62</v>
      </c>
      <c r="AH142" t="s">
        <v>62</v>
      </c>
      <c r="AI142" t="s">
        <v>62</v>
      </c>
      <c r="AJ142" t="s">
        <v>75</v>
      </c>
      <c r="AK142" t="s">
        <v>62</v>
      </c>
      <c r="AL142" t="s">
        <v>62</v>
      </c>
      <c r="AM142" t="s">
        <v>62</v>
      </c>
      <c r="AN142" t="s">
        <v>62</v>
      </c>
      <c r="AO142" t="s">
        <v>112</v>
      </c>
    </row>
    <row r="143" spans="1:51" x14ac:dyDescent="0.25">
      <c r="A143" t="s">
        <v>563</v>
      </c>
      <c r="B143">
        <v>134</v>
      </c>
      <c r="C143">
        <v>2026</v>
      </c>
      <c r="D143">
        <v>4</v>
      </c>
      <c r="E143">
        <v>47</v>
      </c>
      <c r="F143" t="s">
        <v>62</v>
      </c>
      <c r="G143" t="s">
        <v>93</v>
      </c>
      <c r="H143" t="s">
        <v>143</v>
      </c>
      <c r="I143" t="s">
        <v>144</v>
      </c>
      <c r="J143" t="s">
        <v>66</v>
      </c>
      <c r="L143" t="s">
        <v>67</v>
      </c>
      <c r="N143" t="s">
        <v>108</v>
      </c>
      <c r="O143" t="s">
        <v>473</v>
      </c>
      <c r="P143" t="s">
        <v>265</v>
      </c>
      <c r="Q143" t="s">
        <v>573</v>
      </c>
      <c r="R143" t="s">
        <v>267</v>
      </c>
      <c r="S143" t="s">
        <v>62</v>
      </c>
      <c r="T143" t="s">
        <v>62</v>
      </c>
      <c r="U143" t="s">
        <v>62</v>
      </c>
      <c r="V143" t="s">
        <v>62</v>
      </c>
      <c r="W143" t="s">
        <v>74</v>
      </c>
      <c r="X143" t="s">
        <v>62</v>
      </c>
      <c r="Y143" t="s">
        <v>62</v>
      </c>
      <c r="Z143" t="s">
        <v>62</v>
      </c>
      <c r="AA143" t="s">
        <v>62</v>
      </c>
      <c r="AB143" t="s">
        <v>62</v>
      </c>
      <c r="AC143" t="s">
        <v>62</v>
      </c>
      <c r="AD143" t="s">
        <v>62</v>
      </c>
      <c r="AE143" t="s">
        <v>62</v>
      </c>
      <c r="AF143" t="s">
        <v>62</v>
      </c>
      <c r="AG143" t="s">
        <v>62</v>
      </c>
      <c r="AH143" t="s">
        <v>62</v>
      </c>
      <c r="AI143" t="s">
        <v>62</v>
      </c>
      <c r="AJ143" t="s">
        <v>75</v>
      </c>
      <c r="AK143" t="s">
        <v>62</v>
      </c>
      <c r="AL143" t="s">
        <v>62</v>
      </c>
      <c r="AM143" t="s">
        <v>62</v>
      </c>
      <c r="AN143" t="s">
        <v>62</v>
      </c>
      <c r="AO143" t="s">
        <v>112</v>
      </c>
    </row>
    <row r="144" spans="1:51" x14ac:dyDescent="0.25">
      <c r="A144" t="s">
        <v>563</v>
      </c>
      <c r="B144">
        <v>135</v>
      </c>
      <c r="C144">
        <v>2026</v>
      </c>
      <c r="D144">
        <v>4</v>
      </c>
      <c r="E144">
        <v>47</v>
      </c>
      <c r="F144" t="s">
        <v>62</v>
      </c>
      <c r="G144" t="s">
        <v>93</v>
      </c>
      <c r="H144" t="s">
        <v>574</v>
      </c>
      <c r="J144" t="s">
        <v>81</v>
      </c>
      <c r="L144" t="s">
        <v>285</v>
      </c>
      <c r="N144" t="s">
        <v>108</v>
      </c>
      <c r="O144" t="s">
        <v>565</v>
      </c>
      <c r="P144" t="s">
        <v>394</v>
      </c>
      <c r="Q144" t="s">
        <v>566</v>
      </c>
      <c r="R144" t="s">
        <v>73</v>
      </c>
      <c r="S144" t="s">
        <v>62</v>
      </c>
      <c r="T144" t="s">
        <v>62</v>
      </c>
      <c r="U144" t="s">
        <v>62</v>
      </c>
      <c r="V144" t="s">
        <v>62</v>
      </c>
      <c r="W144" t="s">
        <v>74</v>
      </c>
      <c r="X144" t="s">
        <v>62</v>
      </c>
      <c r="Y144" t="s">
        <v>62</v>
      </c>
      <c r="Z144" t="s">
        <v>62</v>
      </c>
      <c r="AA144" t="s">
        <v>62</v>
      </c>
      <c r="AB144" t="s">
        <v>62</v>
      </c>
      <c r="AC144" t="s">
        <v>62</v>
      </c>
      <c r="AD144" t="s">
        <v>62</v>
      </c>
      <c r="AE144" t="s">
        <v>62</v>
      </c>
      <c r="AF144" t="s">
        <v>62</v>
      </c>
      <c r="AG144" t="s">
        <v>62</v>
      </c>
      <c r="AH144" t="s">
        <v>62</v>
      </c>
      <c r="AI144" t="s">
        <v>62</v>
      </c>
      <c r="AJ144" t="s">
        <v>75</v>
      </c>
      <c r="AK144" t="s">
        <v>62</v>
      </c>
      <c r="AL144" t="s">
        <v>62</v>
      </c>
      <c r="AM144" t="s">
        <v>62</v>
      </c>
      <c r="AN144" t="s">
        <v>62</v>
      </c>
      <c r="AO144" t="s">
        <v>112</v>
      </c>
    </row>
    <row r="145" spans="1:51" x14ac:dyDescent="0.25">
      <c r="A145" t="s">
        <v>563</v>
      </c>
      <c r="B145">
        <v>136</v>
      </c>
      <c r="C145">
        <v>2026</v>
      </c>
      <c r="D145">
        <v>4</v>
      </c>
      <c r="E145">
        <v>163</v>
      </c>
      <c r="F145" t="s">
        <v>62</v>
      </c>
      <c r="G145" t="s">
        <v>93</v>
      </c>
      <c r="H145" t="s">
        <v>575</v>
      </c>
      <c r="I145" t="s">
        <v>576</v>
      </c>
      <c r="J145" t="s">
        <v>66</v>
      </c>
      <c r="L145" t="s">
        <v>285</v>
      </c>
      <c r="N145" t="s">
        <v>108</v>
      </c>
      <c r="O145" t="s">
        <v>565</v>
      </c>
      <c r="P145" t="s">
        <v>394</v>
      </c>
      <c r="Q145" t="s">
        <v>566</v>
      </c>
      <c r="R145" t="s">
        <v>73</v>
      </c>
      <c r="S145" t="s">
        <v>62</v>
      </c>
      <c r="T145" t="s">
        <v>62</v>
      </c>
      <c r="U145" t="s">
        <v>62</v>
      </c>
      <c r="V145" t="s">
        <v>62</v>
      </c>
      <c r="W145" t="s">
        <v>74</v>
      </c>
      <c r="X145" t="s">
        <v>62</v>
      </c>
      <c r="Y145" t="s">
        <v>62</v>
      </c>
      <c r="Z145" t="s">
        <v>62</v>
      </c>
      <c r="AA145" t="s">
        <v>62</v>
      </c>
      <c r="AB145" t="s">
        <v>62</v>
      </c>
      <c r="AC145" t="s">
        <v>62</v>
      </c>
      <c r="AD145" t="s">
        <v>62</v>
      </c>
      <c r="AE145" t="s">
        <v>62</v>
      </c>
      <c r="AF145" t="s">
        <v>62</v>
      </c>
      <c r="AG145" t="s">
        <v>62</v>
      </c>
      <c r="AH145" t="s">
        <v>62</v>
      </c>
      <c r="AI145" t="s">
        <v>62</v>
      </c>
      <c r="AJ145" t="s">
        <v>75</v>
      </c>
      <c r="AK145" t="s">
        <v>62</v>
      </c>
      <c r="AL145" t="s">
        <v>62</v>
      </c>
      <c r="AM145" t="s">
        <v>62</v>
      </c>
      <c r="AN145" t="s">
        <v>62</v>
      </c>
      <c r="AO145" t="s">
        <v>112</v>
      </c>
    </row>
    <row r="146" spans="1:51" x14ac:dyDescent="0.25">
      <c r="A146" t="s">
        <v>563</v>
      </c>
      <c r="B146">
        <v>137</v>
      </c>
      <c r="C146">
        <v>2026</v>
      </c>
      <c r="D146">
        <v>4</v>
      </c>
      <c r="E146">
        <v>48</v>
      </c>
      <c r="F146" t="s">
        <v>62</v>
      </c>
      <c r="G146" t="s">
        <v>93</v>
      </c>
      <c r="H146" t="s">
        <v>577</v>
      </c>
      <c r="J146" t="s">
        <v>81</v>
      </c>
      <c r="L146" t="s">
        <v>165</v>
      </c>
      <c r="N146" t="s">
        <v>108</v>
      </c>
      <c r="O146" t="s">
        <v>578</v>
      </c>
      <c r="P146" t="s">
        <v>579</v>
      </c>
      <c r="Q146" t="s">
        <v>578</v>
      </c>
      <c r="R146" t="s">
        <v>73</v>
      </c>
      <c r="S146" t="s">
        <v>62</v>
      </c>
      <c r="T146" t="s">
        <v>62</v>
      </c>
      <c r="U146" t="s">
        <v>62</v>
      </c>
      <c r="V146" t="s">
        <v>62</v>
      </c>
      <c r="W146" t="s">
        <v>74</v>
      </c>
      <c r="X146" t="s">
        <v>62</v>
      </c>
      <c r="Y146" t="s">
        <v>62</v>
      </c>
      <c r="Z146" t="s">
        <v>62</v>
      </c>
      <c r="AA146" t="s">
        <v>62</v>
      </c>
      <c r="AB146" t="s">
        <v>62</v>
      </c>
      <c r="AC146" t="s">
        <v>62</v>
      </c>
      <c r="AD146" t="s">
        <v>62</v>
      </c>
      <c r="AE146" t="s">
        <v>62</v>
      </c>
      <c r="AF146" t="s">
        <v>62</v>
      </c>
      <c r="AG146" t="s">
        <v>62</v>
      </c>
      <c r="AH146" t="s">
        <v>62</v>
      </c>
      <c r="AI146" t="s">
        <v>62</v>
      </c>
      <c r="AJ146" t="s">
        <v>75</v>
      </c>
      <c r="AK146" t="s">
        <v>62</v>
      </c>
      <c r="AL146" t="s">
        <v>62</v>
      </c>
      <c r="AM146" t="s">
        <v>62</v>
      </c>
      <c r="AN146" t="s">
        <v>62</v>
      </c>
      <c r="AO146" t="s">
        <v>112</v>
      </c>
    </row>
    <row r="147" spans="1:51" x14ac:dyDescent="0.25">
      <c r="A147" t="s">
        <v>563</v>
      </c>
      <c r="B147">
        <v>138</v>
      </c>
      <c r="C147">
        <v>2026</v>
      </c>
      <c r="D147">
        <v>4</v>
      </c>
      <c r="E147">
        <v>26</v>
      </c>
      <c r="F147" t="s">
        <v>62</v>
      </c>
      <c r="G147" t="s">
        <v>93</v>
      </c>
      <c r="H147" t="s">
        <v>546</v>
      </c>
      <c r="I147" t="s">
        <v>580</v>
      </c>
      <c r="J147" t="s">
        <v>66</v>
      </c>
      <c r="L147" t="s">
        <v>547</v>
      </c>
      <c r="M147" t="s">
        <v>83</v>
      </c>
      <c r="N147" t="s">
        <v>108</v>
      </c>
      <c r="O147" t="s">
        <v>467</v>
      </c>
      <c r="P147" t="s">
        <v>410</v>
      </c>
      <c r="Q147" t="s">
        <v>467</v>
      </c>
      <c r="S147" t="s">
        <v>62</v>
      </c>
      <c r="T147" t="s">
        <v>62</v>
      </c>
      <c r="U147" t="s">
        <v>62</v>
      </c>
      <c r="V147" t="s">
        <v>62</v>
      </c>
      <c r="W147" t="s">
        <v>74</v>
      </c>
      <c r="X147" t="s">
        <v>62</v>
      </c>
      <c r="Y147" t="s">
        <v>62</v>
      </c>
      <c r="Z147" t="s">
        <v>62</v>
      </c>
      <c r="AA147" t="s">
        <v>62</v>
      </c>
      <c r="AB147" t="s">
        <v>62</v>
      </c>
      <c r="AC147" t="s">
        <v>62</v>
      </c>
      <c r="AD147" t="s">
        <v>62</v>
      </c>
      <c r="AE147" t="s">
        <v>62</v>
      </c>
      <c r="AF147" t="s">
        <v>62</v>
      </c>
      <c r="AG147" t="s">
        <v>62</v>
      </c>
      <c r="AH147" t="s">
        <v>62</v>
      </c>
      <c r="AI147" t="s">
        <v>62</v>
      </c>
      <c r="AJ147" t="s">
        <v>75</v>
      </c>
      <c r="AK147" t="s">
        <v>62</v>
      </c>
      <c r="AL147" t="s">
        <v>62</v>
      </c>
      <c r="AM147" t="s">
        <v>62</v>
      </c>
      <c r="AN147" t="s">
        <v>62</v>
      </c>
      <c r="AO147" t="s">
        <v>112</v>
      </c>
    </row>
    <row r="148" spans="1:51" x14ac:dyDescent="0.25">
      <c r="A148" t="s">
        <v>563</v>
      </c>
      <c r="B148">
        <v>139</v>
      </c>
      <c r="C148">
        <v>2026</v>
      </c>
      <c r="D148">
        <v>4</v>
      </c>
      <c r="E148">
        <v>45</v>
      </c>
      <c r="F148" t="s">
        <v>62</v>
      </c>
      <c r="G148" t="s">
        <v>93</v>
      </c>
      <c r="H148" t="s">
        <v>581</v>
      </c>
      <c r="I148" t="s">
        <v>582</v>
      </c>
      <c r="J148" t="s">
        <v>66</v>
      </c>
      <c r="L148" t="s">
        <v>67</v>
      </c>
      <c r="M148" t="s">
        <v>68</v>
      </c>
      <c r="N148" t="s">
        <v>41</v>
      </c>
      <c r="O148" t="s">
        <v>583</v>
      </c>
      <c r="P148" t="s">
        <v>135</v>
      </c>
      <c r="Q148" t="s">
        <v>134</v>
      </c>
      <c r="R148" t="s">
        <v>91</v>
      </c>
      <c r="S148" t="s">
        <v>62</v>
      </c>
      <c r="T148" t="s">
        <v>62</v>
      </c>
      <c r="U148" t="s">
        <v>62</v>
      </c>
      <c r="V148" t="s">
        <v>74</v>
      </c>
      <c r="W148" t="s">
        <v>62</v>
      </c>
      <c r="X148" t="s">
        <v>62</v>
      </c>
      <c r="Y148" t="s">
        <v>62</v>
      </c>
      <c r="Z148" t="s">
        <v>62</v>
      </c>
      <c r="AA148" t="s">
        <v>62</v>
      </c>
      <c r="AB148" t="s">
        <v>62</v>
      </c>
      <c r="AC148" t="s">
        <v>62</v>
      </c>
      <c r="AD148" t="s">
        <v>62</v>
      </c>
      <c r="AE148" t="s">
        <v>62</v>
      </c>
      <c r="AF148" t="s">
        <v>62</v>
      </c>
      <c r="AG148" t="s">
        <v>62</v>
      </c>
      <c r="AH148" t="s">
        <v>62</v>
      </c>
      <c r="AI148" t="s">
        <v>62</v>
      </c>
      <c r="AJ148" t="s">
        <v>75</v>
      </c>
      <c r="AK148" t="s">
        <v>62</v>
      </c>
      <c r="AL148" t="s">
        <v>62</v>
      </c>
      <c r="AM148" t="s">
        <v>62</v>
      </c>
      <c r="AN148" t="s">
        <v>62</v>
      </c>
      <c r="AO148" t="s">
        <v>112</v>
      </c>
    </row>
    <row r="149" spans="1:51" x14ac:dyDescent="0.25">
      <c r="A149" t="s">
        <v>563</v>
      </c>
      <c r="B149">
        <v>140</v>
      </c>
      <c r="C149">
        <v>2026</v>
      </c>
      <c r="D149">
        <v>4</v>
      </c>
      <c r="E149">
        <v>46</v>
      </c>
      <c r="F149" t="s">
        <v>62</v>
      </c>
      <c r="G149" t="s">
        <v>63</v>
      </c>
      <c r="H149" t="s">
        <v>584</v>
      </c>
      <c r="I149" t="s">
        <v>585</v>
      </c>
      <c r="J149" t="s">
        <v>66</v>
      </c>
      <c r="L149" t="s">
        <v>67</v>
      </c>
      <c r="M149" t="s">
        <v>586</v>
      </c>
      <c r="N149" t="s">
        <v>69</v>
      </c>
      <c r="O149" t="s">
        <v>587</v>
      </c>
      <c r="P149" t="s">
        <v>410</v>
      </c>
      <c r="Q149" t="s">
        <v>588</v>
      </c>
      <c r="S149" t="s">
        <v>62</v>
      </c>
      <c r="T149" t="s">
        <v>62</v>
      </c>
      <c r="U149" t="s">
        <v>62</v>
      </c>
      <c r="V149" t="s">
        <v>62</v>
      </c>
      <c r="W149" t="s">
        <v>62</v>
      </c>
      <c r="X149" t="s">
        <v>62</v>
      </c>
      <c r="Y149" t="s">
        <v>62</v>
      </c>
      <c r="Z149" t="s">
        <v>62</v>
      </c>
      <c r="AA149" t="s">
        <v>74</v>
      </c>
      <c r="AB149" t="s">
        <v>62</v>
      </c>
      <c r="AC149" t="s">
        <v>62</v>
      </c>
      <c r="AD149" t="s">
        <v>62</v>
      </c>
      <c r="AE149" t="s">
        <v>62</v>
      </c>
      <c r="AF149" t="s">
        <v>62</v>
      </c>
      <c r="AG149" t="s">
        <v>62</v>
      </c>
      <c r="AH149" t="s">
        <v>62</v>
      </c>
      <c r="AI149" t="s">
        <v>62</v>
      </c>
      <c r="AJ149" t="s">
        <v>121</v>
      </c>
      <c r="AK149" t="s">
        <v>62</v>
      </c>
      <c r="AL149" t="s">
        <v>62</v>
      </c>
      <c r="AM149" t="s">
        <v>62</v>
      </c>
      <c r="AN149" t="s">
        <v>76</v>
      </c>
      <c r="AO149" t="s">
        <v>112</v>
      </c>
    </row>
    <row r="150" spans="1:51" x14ac:dyDescent="0.25">
      <c r="A150" t="s">
        <v>589</v>
      </c>
      <c r="B150">
        <v>141</v>
      </c>
      <c r="C150">
        <v>2026</v>
      </c>
      <c r="D150">
        <v>4</v>
      </c>
      <c r="E150">
        <v>49</v>
      </c>
      <c r="F150" t="s">
        <v>62</v>
      </c>
      <c r="G150" t="s">
        <v>93</v>
      </c>
      <c r="H150" t="s">
        <v>590</v>
      </c>
      <c r="I150" t="s">
        <v>591</v>
      </c>
      <c r="J150" t="s">
        <v>66</v>
      </c>
      <c r="L150" t="s">
        <v>67</v>
      </c>
      <c r="M150" t="s">
        <v>68</v>
      </c>
      <c r="N150" t="s">
        <v>108</v>
      </c>
      <c r="O150" t="s">
        <v>592</v>
      </c>
      <c r="P150" t="s">
        <v>410</v>
      </c>
      <c r="Q150" t="s">
        <v>593</v>
      </c>
      <c r="S150" t="s">
        <v>62</v>
      </c>
      <c r="T150" t="s">
        <v>62</v>
      </c>
      <c r="U150" t="s">
        <v>62</v>
      </c>
      <c r="V150" t="s">
        <v>62</v>
      </c>
      <c r="W150" t="s">
        <v>74</v>
      </c>
      <c r="X150" t="s">
        <v>62</v>
      </c>
      <c r="Y150" t="s">
        <v>62</v>
      </c>
      <c r="Z150" t="s">
        <v>62</v>
      </c>
      <c r="AA150" t="s">
        <v>62</v>
      </c>
      <c r="AB150" t="s">
        <v>62</v>
      </c>
      <c r="AC150" t="s">
        <v>62</v>
      </c>
      <c r="AD150" t="s">
        <v>62</v>
      </c>
      <c r="AE150" t="s">
        <v>62</v>
      </c>
      <c r="AF150" t="s">
        <v>62</v>
      </c>
      <c r="AG150" t="s">
        <v>62</v>
      </c>
      <c r="AH150" t="s">
        <v>62</v>
      </c>
      <c r="AI150" t="s">
        <v>62</v>
      </c>
      <c r="AK150" t="s">
        <v>62</v>
      </c>
      <c r="AL150" t="s">
        <v>62</v>
      </c>
      <c r="AM150" t="s">
        <v>62</v>
      </c>
      <c r="AN150" t="s">
        <v>62</v>
      </c>
      <c r="AO150" t="s">
        <v>562</v>
      </c>
    </row>
    <row r="151" spans="1:51" x14ac:dyDescent="0.25">
      <c r="A151" t="s">
        <v>589</v>
      </c>
      <c r="B151">
        <v>142</v>
      </c>
      <c r="C151">
        <v>2026</v>
      </c>
      <c r="D151">
        <v>4</v>
      </c>
      <c r="E151">
        <v>51</v>
      </c>
      <c r="F151" t="s">
        <v>62</v>
      </c>
      <c r="G151" t="s">
        <v>63</v>
      </c>
      <c r="H151" t="s">
        <v>594</v>
      </c>
      <c r="I151" t="s">
        <v>595</v>
      </c>
      <c r="J151" t="s">
        <v>81</v>
      </c>
      <c r="L151" t="s">
        <v>515</v>
      </c>
      <c r="M151" t="s">
        <v>596</v>
      </c>
      <c r="N151" t="s">
        <v>117</v>
      </c>
      <c r="O151" t="s">
        <v>597</v>
      </c>
      <c r="P151" t="s">
        <v>598</v>
      </c>
      <c r="Q151" t="s">
        <v>599</v>
      </c>
      <c r="R151" t="s">
        <v>73</v>
      </c>
      <c r="S151" t="s">
        <v>62</v>
      </c>
      <c r="T151" t="s">
        <v>62</v>
      </c>
      <c r="U151" t="s">
        <v>62</v>
      </c>
      <c r="V151" t="s">
        <v>62</v>
      </c>
      <c r="W151" t="s">
        <v>62</v>
      </c>
      <c r="X151" t="s">
        <v>74</v>
      </c>
      <c r="Y151" t="s">
        <v>62</v>
      </c>
      <c r="Z151" t="s">
        <v>62</v>
      </c>
      <c r="AA151" t="s">
        <v>62</v>
      </c>
      <c r="AB151" t="s">
        <v>62</v>
      </c>
      <c r="AC151" t="s">
        <v>62</v>
      </c>
      <c r="AD151" t="s">
        <v>62</v>
      </c>
      <c r="AE151" t="s">
        <v>62</v>
      </c>
      <c r="AF151" t="s">
        <v>62</v>
      </c>
      <c r="AG151" t="s">
        <v>62</v>
      </c>
      <c r="AH151" t="s">
        <v>62</v>
      </c>
      <c r="AI151" t="s">
        <v>62</v>
      </c>
      <c r="AJ151" t="s">
        <v>121</v>
      </c>
      <c r="AK151" t="s">
        <v>62</v>
      </c>
      <c r="AL151" t="s">
        <v>62</v>
      </c>
      <c r="AM151" t="s">
        <v>62</v>
      </c>
      <c r="AN151" t="s">
        <v>76</v>
      </c>
      <c r="AO151" t="s">
        <v>77</v>
      </c>
    </row>
    <row r="152" spans="1:51" x14ac:dyDescent="0.25">
      <c r="A152" t="s">
        <v>600</v>
      </c>
      <c r="B152">
        <v>143</v>
      </c>
      <c r="C152">
        <v>2026</v>
      </c>
      <c r="D152">
        <v>4</v>
      </c>
      <c r="F152" t="s">
        <v>62</v>
      </c>
      <c r="G152" t="s">
        <v>93</v>
      </c>
      <c r="H152" t="s">
        <v>601</v>
      </c>
      <c r="I152" t="s">
        <v>602</v>
      </c>
      <c r="J152" t="s">
        <v>66</v>
      </c>
      <c r="L152" t="s">
        <v>515</v>
      </c>
      <c r="M152" t="s">
        <v>83</v>
      </c>
      <c r="N152" t="s">
        <v>117</v>
      </c>
      <c r="P152" t="s">
        <v>410</v>
      </c>
      <c r="S152" t="s">
        <v>62</v>
      </c>
      <c r="T152" t="s">
        <v>62</v>
      </c>
      <c r="U152" t="s">
        <v>62</v>
      </c>
      <c r="V152" t="s">
        <v>62</v>
      </c>
      <c r="W152" t="s">
        <v>62</v>
      </c>
      <c r="X152" t="s">
        <v>74</v>
      </c>
      <c r="Y152" t="s">
        <v>62</v>
      </c>
      <c r="Z152" t="s">
        <v>62</v>
      </c>
      <c r="AA152" t="s">
        <v>62</v>
      </c>
      <c r="AB152" t="s">
        <v>62</v>
      </c>
      <c r="AC152" t="s">
        <v>62</v>
      </c>
      <c r="AD152" t="s">
        <v>62</v>
      </c>
      <c r="AE152" t="s">
        <v>62</v>
      </c>
      <c r="AF152" t="s">
        <v>62</v>
      </c>
      <c r="AG152" t="s">
        <v>62</v>
      </c>
      <c r="AH152" t="s">
        <v>62</v>
      </c>
      <c r="AI152" t="s">
        <v>62</v>
      </c>
      <c r="AK152" t="s">
        <v>62</v>
      </c>
      <c r="AL152" t="s">
        <v>62</v>
      </c>
      <c r="AM152" t="s">
        <v>62</v>
      </c>
      <c r="AN152" t="s">
        <v>62</v>
      </c>
    </row>
    <row r="153" spans="1:51" x14ac:dyDescent="0.25">
      <c r="A153" t="s">
        <v>600</v>
      </c>
      <c r="B153">
        <v>144</v>
      </c>
      <c r="C153">
        <v>2026</v>
      </c>
      <c r="D153">
        <v>4</v>
      </c>
      <c r="E153">
        <v>52</v>
      </c>
      <c r="F153" t="s">
        <v>62</v>
      </c>
      <c r="G153" t="s">
        <v>63</v>
      </c>
      <c r="H153" t="s">
        <v>603</v>
      </c>
      <c r="I153" t="s">
        <v>604</v>
      </c>
      <c r="J153" t="s">
        <v>81</v>
      </c>
      <c r="L153" t="s">
        <v>515</v>
      </c>
      <c r="M153" t="s">
        <v>116</v>
      </c>
      <c r="N153" t="s">
        <v>117</v>
      </c>
      <c r="O153" t="s">
        <v>605</v>
      </c>
      <c r="P153" t="s">
        <v>606</v>
      </c>
      <c r="Q153" t="s">
        <v>607</v>
      </c>
      <c r="R153" t="s">
        <v>120</v>
      </c>
      <c r="S153" t="s">
        <v>62</v>
      </c>
      <c r="T153" t="s">
        <v>62</v>
      </c>
      <c r="U153" t="s">
        <v>62</v>
      </c>
      <c r="V153" t="s">
        <v>62</v>
      </c>
      <c r="W153" t="s">
        <v>62</v>
      </c>
      <c r="X153" t="s">
        <v>74</v>
      </c>
      <c r="Y153" t="s">
        <v>62</v>
      </c>
      <c r="Z153" t="s">
        <v>62</v>
      </c>
      <c r="AA153" t="s">
        <v>62</v>
      </c>
      <c r="AB153" t="s">
        <v>62</v>
      </c>
      <c r="AC153" t="s">
        <v>62</v>
      </c>
      <c r="AD153" t="s">
        <v>62</v>
      </c>
      <c r="AE153" t="s">
        <v>62</v>
      </c>
      <c r="AF153" t="s">
        <v>62</v>
      </c>
      <c r="AG153" t="s">
        <v>62</v>
      </c>
      <c r="AH153" t="s">
        <v>62</v>
      </c>
      <c r="AI153" t="s">
        <v>62</v>
      </c>
      <c r="AJ153" t="s">
        <v>121</v>
      </c>
      <c r="AK153" t="s">
        <v>62</v>
      </c>
      <c r="AL153" t="s">
        <v>62</v>
      </c>
      <c r="AM153" t="s">
        <v>62</v>
      </c>
      <c r="AN153" t="s">
        <v>76</v>
      </c>
      <c r="AO153" t="s">
        <v>77</v>
      </c>
    </row>
    <row r="154" spans="1:51" x14ac:dyDescent="0.25">
      <c r="A154" t="s">
        <v>600</v>
      </c>
      <c r="B154">
        <v>145</v>
      </c>
      <c r="C154">
        <v>2026</v>
      </c>
      <c r="D154">
        <v>4</v>
      </c>
      <c r="F154" t="s">
        <v>62</v>
      </c>
      <c r="G154" t="s">
        <v>93</v>
      </c>
      <c r="H154" t="s">
        <v>608</v>
      </c>
      <c r="I154" t="s">
        <v>609</v>
      </c>
      <c r="J154" t="s">
        <v>81</v>
      </c>
      <c r="L154" t="s">
        <v>515</v>
      </c>
      <c r="M154" t="s">
        <v>116</v>
      </c>
      <c r="N154" t="s">
        <v>117</v>
      </c>
      <c r="P154" t="s">
        <v>410</v>
      </c>
      <c r="S154" t="s">
        <v>62</v>
      </c>
      <c r="T154" t="s">
        <v>62</v>
      </c>
      <c r="U154" t="s">
        <v>62</v>
      </c>
      <c r="V154" t="s">
        <v>62</v>
      </c>
      <c r="W154" t="s">
        <v>62</v>
      </c>
      <c r="X154" t="s">
        <v>74</v>
      </c>
      <c r="Y154" t="s">
        <v>62</v>
      </c>
      <c r="Z154" t="s">
        <v>62</v>
      </c>
      <c r="AA154" t="s">
        <v>62</v>
      </c>
      <c r="AB154" t="s">
        <v>62</v>
      </c>
      <c r="AC154" t="s">
        <v>62</v>
      </c>
      <c r="AD154" t="s">
        <v>62</v>
      </c>
      <c r="AE154" t="s">
        <v>62</v>
      </c>
      <c r="AF154" t="s">
        <v>62</v>
      </c>
      <c r="AG154" t="s">
        <v>62</v>
      </c>
      <c r="AH154" t="s">
        <v>62</v>
      </c>
      <c r="AI154" t="s">
        <v>62</v>
      </c>
      <c r="AK154" t="s">
        <v>62</v>
      </c>
      <c r="AL154" t="s">
        <v>62</v>
      </c>
      <c r="AM154" t="s">
        <v>62</v>
      </c>
      <c r="AN154" t="s">
        <v>62</v>
      </c>
    </row>
    <row r="155" spans="1:51" x14ac:dyDescent="0.25">
      <c r="A155" t="s">
        <v>600</v>
      </c>
      <c r="B155">
        <v>146</v>
      </c>
      <c r="C155">
        <v>2026</v>
      </c>
      <c r="D155">
        <v>4</v>
      </c>
      <c r="F155" t="s">
        <v>62</v>
      </c>
      <c r="G155" t="s">
        <v>93</v>
      </c>
      <c r="H155" t="s">
        <v>610</v>
      </c>
      <c r="I155" t="s">
        <v>611</v>
      </c>
      <c r="J155" t="s">
        <v>81</v>
      </c>
      <c r="L155" t="s">
        <v>515</v>
      </c>
      <c r="M155" t="s">
        <v>116</v>
      </c>
      <c r="N155" t="s">
        <v>117</v>
      </c>
      <c r="P155" t="s">
        <v>410</v>
      </c>
      <c r="S155" t="s">
        <v>62</v>
      </c>
      <c r="T155" t="s">
        <v>62</v>
      </c>
      <c r="U155" t="s">
        <v>62</v>
      </c>
      <c r="V155" t="s">
        <v>62</v>
      </c>
      <c r="W155" t="s">
        <v>62</v>
      </c>
      <c r="X155" t="s">
        <v>74</v>
      </c>
      <c r="Y155" t="s">
        <v>62</v>
      </c>
      <c r="Z155" t="s">
        <v>62</v>
      </c>
      <c r="AA155" t="s">
        <v>62</v>
      </c>
      <c r="AB155" t="s">
        <v>62</v>
      </c>
      <c r="AC155" t="s">
        <v>62</v>
      </c>
      <c r="AD155" t="s">
        <v>62</v>
      </c>
      <c r="AE155" t="s">
        <v>62</v>
      </c>
      <c r="AF155" t="s">
        <v>62</v>
      </c>
      <c r="AG155" t="s">
        <v>62</v>
      </c>
      <c r="AH155" t="s">
        <v>62</v>
      </c>
      <c r="AI155" t="s">
        <v>62</v>
      </c>
      <c r="AK155" t="s">
        <v>62</v>
      </c>
      <c r="AL155" t="s">
        <v>62</v>
      </c>
      <c r="AM155" t="s">
        <v>62</v>
      </c>
      <c r="AN155" t="s">
        <v>62</v>
      </c>
    </row>
    <row r="156" spans="1:51" x14ac:dyDescent="0.25">
      <c r="A156" t="s">
        <v>600</v>
      </c>
      <c r="B156">
        <v>147</v>
      </c>
      <c r="C156">
        <v>2026</v>
      </c>
      <c r="D156">
        <v>4</v>
      </c>
      <c r="F156" t="s">
        <v>62</v>
      </c>
      <c r="G156" t="s">
        <v>93</v>
      </c>
      <c r="H156" t="s">
        <v>612</v>
      </c>
      <c r="I156" t="s">
        <v>613</v>
      </c>
      <c r="J156" t="s">
        <v>66</v>
      </c>
      <c r="L156" t="s">
        <v>515</v>
      </c>
      <c r="M156" t="s">
        <v>68</v>
      </c>
      <c r="N156" t="s">
        <v>117</v>
      </c>
      <c r="P156" t="s">
        <v>410</v>
      </c>
      <c r="S156" t="s">
        <v>62</v>
      </c>
      <c r="T156" t="s">
        <v>62</v>
      </c>
      <c r="U156" t="s">
        <v>62</v>
      </c>
      <c r="V156" t="s">
        <v>62</v>
      </c>
      <c r="W156" t="s">
        <v>62</v>
      </c>
      <c r="X156" t="s">
        <v>74</v>
      </c>
      <c r="Y156" t="s">
        <v>62</v>
      </c>
      <c r="Z156" t="s">
        <v>62</v>
      </c>
      <c r="AA156" t="s">
        <v>62</v>
      </c>
      <c r="AB156" t="s">
        <v>62</v>
      </c>
      <c r="AC156" t="s">
        <v>62</v>
      </c>
      <c r="AD156" t="s">
        <v>62</v>
      </c>
      <c r="AE156" t="s">
        <v>62</v>
      </c>
      <c r="AF156" t="s">
        <v>62</v>
      </c>
      <c r="AG156" t="s">
        <v>62</v>
      </c>
      <c r="AH156" t="s">
        <v>62</v>
      </c>
      <c r="AI156" t="s">
        <v>62</v>
      </c>
      <c r="AK156" t="s">
        <v>62</v>
      </c>
      <c r="AL156" t="s">
        <v>62</v>
      </c>
      <c r="AM156" t="s">
        <v>62</v>
      </c>
      <c r="AN156" t="s">
        <v>62</v>
      </c>
    </row>
    <row r="157" spans="1:51" x14ac:dyDescent="0.25">
      <c r="A157" t="s">
        <v>600</v>
      </c>
      <c r="B157">
        <v>148</v>
      </c>
      <c r="C157">
        <v>2026</v>
      </c>
      <c r="D157">
        <v>4</v>
      </c>
      <c r="F157" t="s">
        <v>62</v>
      </c>
      <c r="G157" t="s">
        <v>93</v>
      </c>
      <c r="H157" t="s">
        <v>614</v>
      </c>
      <c r="I157" t="s">
        <v>615</v>
      </c>
      <c r="J157" t="s">
        <v>66</v>
      </c>
      <c r="L157" t="s">
        <v>515</v>
      </c>
      <c r="M157" t="s">
        <v>68</v>
      </c>
      <c r="N157" t="s">
        <v>117</v>
      </c>
      <c r="P157" t="s">
        <v>410</v>
      </c>
      <c r="S157" t="s">
        <v>62</v>
      </c>
      <c r="T157" t="s">
        <v>62</v>
      </c>
      <c r="U157" t="s">
        <v>62</v>
      </c>
      <c r="V157" t="s">
        <v>62</v>
      </c>
      <c r="W157" t="s">
        <v>62</v>
      </c>
      <c r="X157" t="s">
        <v>74</v>
      </c>
      <c r="Y157" t="s">
        <v>62</v>
      </c>
      <c r="Z157" t="s">
        <v>62</v>
      </c>
      <c r="AA157" t="s">
        <v>62</v>
      </c>
      <c r="AB157" t="s">
        <v>62</v>
      </c>
      <c r="AC157" t="s">
        <v>62</v>
      </c>
      <c r="AD157" t="s">
        <v>62</v>
      </c>
      <c r="AE157" t="s">
        <v>62</v>
      </c>
      <c r="AF157" t="s">
        <v>62</v>
      </c>
      <c r="AG157" t="s">
        <v>62</v>
      </c>
      <c r="AH157" t="s">
        <v>62</v>
      </c>
      <c r="AI157" t="s">
        <v>62</v>
      </c>
      <c r="AK157" t="s">
        <v>62</v>
      </c>
      <c r="AL157" t="s">
        <v>62</v>
      </c>
      <c r="AM157" t="s">
        <v>62</v>
      </c>
      <c r="AN157" t="s">
        <v>62</v>
      </c>
    </row>
    <row r="158" spans="1:51" x14ac:dyDescent="0.25">
      <c r="A158" t="s">
        <v>600</v>
      </c>
      <c r="B158">
        <v>149</v>
      </c>
      <c r="C158">
        <v>2026</v>
      </c>
      <c r="D158">
        <v>4</v>
      </c>
      <c r="F158" t="s">
        <v>62</v>
      </c>
      <c r="G158" t="s">
        <v>93</v>
      </c>
      <c r="H158" t="s">
        <v>616</v>
      </c>
      <c r="I158" t="s">
        <v>617</v>
      </c>
      <c r="J158" t="s">
        <v>66</v>
      </c>
      <c r="L158" t="s">
        <v>515</v>
      </c>
      <c r="M158" t="s">
        <v>116</v>
      </c>
      <c r="N158" t="s">
        <v>117</v>
      </c>
      <c r="P158" t="s">
        <v>410</v>
      </c>
      <c r="S158" t="s">
        <v>62</v>
      </c>
      <c r="T158" t="s">
        <v>62</v>
      </c>
      <c r="U158" t="s">
        <v>62</v>
      </c>
      <c r="V158" t="s">
        <v>62</v>
      </c>
      <c r="W158" t="s">
        <v>62</v>
      </c>
      <c r="X158" t="s">
        <v>74</v>
      </c>
      <c r="Y158" t="s">
        <v>62</v>
      </c>
      <c r="Z158" t="s">
        <v>62</v>
      </c>
      <c r="AA158" t="s">
        <v>62</v>
      </c>
      <c r="AB158" t="s">
        <v>62</v>
      </c>
      <c r="AC158" t="s">
        <v>62</v>
      </c>
      <c r="AD158" t="s">
        <v>62</v>
      </c>
      <c r="AE158" t="s">
        <v>62</v>
      </c>
      <c r="AF158" t="s">
        <v>62</v>
      </c>
      <c r="AG158" t="s">
        <v>62</v>
      </c>
      <c r="AH158" t="s">
        <v>62</v>
      </c>
      <c r="AI158" t="s">
        <v>62</v>
      </c>
      <c r="AK158" t="s">
        <v>62</v>
      </c>
      <c r="AL158" t="s">
        <v>62</v>
      </c>
      <c r="AM158" t="s">
        <v>62</v>
      </c>
      <c r="AN158" t="s">
        <v>62</v>
      </c>
    </row>
    <row r="159" spans="1:51" x14ac:dyDescent="0.25">
      <c r="A159" t="s">
        <v>600</v>
      </c>
      <c r="B159">
        <v>150</v>
      </c>
      <c r="C159">
        <v>2026</v>
      </c>
      <c r="D159">
        <v>4</v>
      </c>
      <c r="F159" t="s">
        <v>62</v>
      </c>
      <c r="G159" t="s">
        <v>93</v>
      </c>
      <c r="H159" t="s">
        <v>618</v>
      </c>
      <c r="I159" t="s">
        <v>619</v>
      </c>
      <c r="J159" t="s">
        <v>66</v>
      </c>
      <c r="L159" t="s">
        <v>515</v>
      </c>
      <c r="M159" t="s">
        <v>116</v>
      </c>
      <c r="N159" t="s">
        <v>117</v>
      </c>
      <c r="P159" t="s">
        <v>410</v>
      </c>
      <c r="S159" t="s">
        <v>62</v>
      </c>
      <c r="T159" t="s">
        <v>62</v>
      </c>
      <c r="U159" t="s">
        <v>62</v>
      </c>
      <c r="V159" t="s">
        <v>62</v>
      </c>
      <c r="W159" t="s">
        <v>62</v>
      </c>
      <c r="X159" t="s">
        <v>74</v>
      </c>
      <c r="Y159" t="s">
        <v>62</v>
      </c>
      <c r="Z159" t="s">
        <v>62</v>
      </c>
      <c r="AA159" t="s">
        <v>62</v>
      </c>
      <c r="AB159" t="s">
        <v>62</v>
      </c>
      <c r="AC159" t="s">
        <v>62</v>
      </c>
      <c r="AD159" t="s">
        <v>62</v>
      </c>
      <c r="AE159" t="s">
        <v>62</v>
      </c>
      <c r="AF159" t="s">
        <v>62</v>
      </c>
      <c r="AG159" t="s">
        <v>62</v>
      </c>
      <c r="AH159" t="s">
        <v>62</v>
      </c>
      <c r="AI159" t="s">
        <v>62</v>
      </c>
      <c r="AK159" t="s">
        <v>62</v>
      </c>
      <c r="AL159" t="s">
        <v>62</v>
      </c>
      <c r="AM159" t="s">
        <v>62</v>
      </c>
      <c r="AN159" t="s">
        <v>62</v>
      </c>
    </row>
    <row r="160" spans="1:51" x14ac:dyDescent="0.25">
      <c r="A160" t="s">
        <v>600</v>
      </c>
      <c r="B160">
        <v>151</v>
      </c>
      <c r="C160">
        <v>2026</v>
      </c>
      <c r="D160">
        <v>4</v>
      </c>
      <c r="E160">
        <v>102</v>
      </c>
      <c r="F160" t="s">
        <v>62</v>
      </c>
      <c r="G160" t="s">
        <v>63</v>
      </c>
      <c r="H160" t="s">
        <v>190</v>
      </c>
      <c r="I160" t="s">
        <v>191</v>
      </c>
      <c r="J160" t="s">
        <v>66</v>
      </c>
      <c r="L160" t="s">
        <v>67</v>
      </c>
      <c r="M160" t="s">
        <v>83</v>
      </c>
      <c r="N160" t="s">
        <v>117</v>
      </c>
      <c r="O160" t="s">
        <v>620</v>
      </c>
      <c r="P160" t="s">
        <v>110</v>
      </c>
      <c r="Q160" t="s">
        <v>511</v>
      </c>
      <c r="R160" t="s">
        <v>91</v>
      </c>
      <c r="S160" t="s">
        <v>62</v>
      </c>
      <c r="T160" t="s">
        <v>62</v>
      </c>
      <c r="U160" t="s">
        <v>62</v>
      </c>
      <c r="V160" t="s">
        <v>62</v>
      </c>
      <c r="W160" t="s">
        <v>62</v>
      </c>
      <c r="X160" t="s">
        <v>74</v>
      </c>
      <c r="Y160" t="s">
        <v>62</v>
      </c>
      <c r="Z160" t="s">
        <v>62</v>
      </c>
      <c r="AA160" t="s">
        <v>62</v>
      </c>
      <c r="AB160" t="s">
        <v>62</v>
      </c>
      <c r="AC160" t="s">
        <v>62</v>
      </c>
      <c r="AD160" t="s">
        <v>62</v>
      </c>
      <c r="AE160" t="s">
        <v>62</v>
      </c>
      <c r="AF160" t="s">
        <v>62</v>
      </c>
      <c r="AG160" t="s">
        <v>62</v>
      </c>
      <c r="AH160" t="s">
        <v>62</v>
      </c>
      <c r="AI160" t="s">
        <v>62</v>
      </c>
      <c r="AJ160" t="s">
        <v>121</v>
      </c>
      <c r="AK160" t="s">
        <v>62</v>
      </c>
      <c r="AL160" t="s">
        <v>62</v>
      </c>
      <c r="AM160" t="s">
        <v>62</v>
      </c>
      <c r="AN160" t="s">
        <v>76</v>
      </c>
      <c r="AO160" t="s">
        <v>77</v>
      </c>
    </row>
    <row r="161" spans="1:51" x14ac:dyDescent="0.25">
      <c r="A161" t="s">
        <v>621</v>
      </c>
      <c r="B161">
        <v>152</v>
      </c>
      <c r="C161">
        <v>2026</v>
      </c>
      <c r="D161">
        <v>4</v>
      </c>
      <c r="F161" t="s">
        <v>62</v>
      </c>
      <c r="G161" t="s">
        <v>93</v>
      </c>
      <c r="H161" t="s">
        <v>622</v>
      </c>
      <c r="I161" t="s">
        <v>623</v>
      </c>
      <c r="J161" t="s">
        <v>66</v>
      </c>
      <c r="L161" t="s">
        <v>515</v>
      </c>
      <c r="M161" t="s">
        <v>179</v>
      </c>
      <c r="N161" t="s">
        <v>117</v>
      </c>
      <c r="P161" t="s">
        <v>410</v>
      </c>
      <c r="S161" t="s">
        <v>62</v>
      </c>
      <c r="T161" t="s">
        <v>62</v>
      </c>
      <c r="U161" t="s">
        <v>62</v>
      </c>
      <c r="V161" t="s">
        <v>62</v>
      </c>
      <c r="W161" t="s">
        <v>62</v>
      </c>
      <c r="X161" t="s">
        <v>74</v>
      </c>
      <c r="Y161" t="s">
        <v>62</v>
      </c>
      <c r="Z161" t="s">
        <v>62</v>
      </c>
      <c r="AA161" t="s">
        <v>62</v>
      </c>
      <c r="AB161" t="s">
        <v>62</v>
      </c>
      <c r="AC161" t="s">
        <v>62</v>
      </c>
      <c r="AD161" t="s">
        <v>62</v>
      </c>
      <c r="AE161" t="s">
        <v>62</v>
      </c>
      <c r="AF161" t="s">
        <v>62</v>
      </c>
      <c r="AG161" t="s">
        <v>62</v>
      </c>
      <c r="AH161" t="s">
        <v>62</v>
      </c>
      <c r="AI161" t="s">
        <v>62</v>
      </c>
      <c r="AK161" t="s">
        <v>62</v>
      </c>
      <c r="AL161" t="s">
        <v>62</v>
      </c>
      <c r="AM161" t="s">
        <v>62</v>
      </c>
      <c r="AN161" t="s">
        <v>62</v>
      </c>
    </row>
    <row r="162" spans="1:51" x14ac:dyDescent="0.25">
      <c r="A162" t="s">
        <v>621</v>
      </c>
      <c r="B162">
        <v>153</v>
      </c>
      <c r="C162">
        <v>2026</v>
      </c>
      <c r="D162">
        <v>4</v>
      </c>
      <c r="F162" t="s">
        <v>62</v>
      </c>
      <c r="G162" t="s">
        <v>93</v>
      </c>
      <c r="H162" t="s">
        <v>624</v>
      </c>
      <c r="I162" t="s">
        <v>625</v>
      </c>
      <c r="J162" t="s">
        <v>81</v>
      </c>
      <c r="L162" t="s">
        <v>515</v>
      </c>
      <c r="M162" t="s">
        <v>116</v>
      </c>
      <c r="N162" t="s">
        <v>117</v>
      </c>
      <c r="P162" t="s">
        <v>410</v>
      </c>
      <c r="S162" t="s">
        <v>62</v>
      </c>
      <c r="T162" t="s">
        <v>62</v>
      </c>
      <c r="U162" t="s">
        <v>62</v>
      </c>
      <c r="V162" t="s">
        <v>62</v>
      </c>
      <c r="W162" t="s">
        <v>62</v>
      </c>
      <c r="X162" t="s">
        <v>74</v>
      </c>
      <c r="Y162" t="s">
        <v>62</v>
      </c>
      <c r="Z162" t="s">
        <v>62</v>
      </c>
      <c r="AA162" t="s">
        <v>62</v>
      </c>
      <c r="AB162" t="s">
        <v>62</v>
      </c>
      <c r="AC162" t="s">
        <v>62</v>
      </c>
      <c r="AD162" t="s">
        <v>62</v>
      </c>
      <c r="AE162" t="s">
        <v>62</v>
      </c>
      <c r="AF162" t="s">
        <v>62</v>
      </c>
      <c r="AG162" t="s">
        <v>62</v>
      </c>
      <c r="AH162" t="s">
        <v>62</v>
      </c>
      <c r="AI162" t="s">
        <v>62</v>
      </c>
      <c r="AK162" t="s">
        <v>62</v>
      </c>
      <c r="AL162" t="s">
        <v>62</v>
      </c>
      <c r="AM162" t="s">
        <v>62</v>
      </c>
      <c r="AN162" t="s">
        <v>62</v>
      </c>
    </row>
    <row r="163" spans="1:51" x14ac:dyDescent="0.25">
      <c r="A163" t="s">
        <v>621</v>
      </c>
      <c r="B163">
        <v>154</v>
      </c>
      <c r="C163">
        <v>2026</v>
      </c>
      <c r="D163">
        <v>4</v>
      </c>
      <c r="F163" t="s">
        <v>62</v>
      </c>
      <c r="G163" t="s">
        <v>93</v>
      </c>
      <c r="H163" t="s">
        <v>626</v>
      </c>
      <c r="I163" t="s">
        <v>627</v>
      </c>
      <c r="J163" t="s">
        <v>66</v>
      </c>
      <c r="L163" t="s">
        <v>515</v>
      </c>
      <c r="M163" t="s">
        <v>83</v>
      </c>
      <c r="N163" t="s">
        <v>117</v>
      </c>
      <c r="P163" t="s">
        <v>410</v>
      </c>
      <c r="S163" t="s">
        <v>62</v>
      </c>
      <c r="T163" t="s">
        <v>62</v>
      </c>
      <c r="U163" t="s">
        <v>62</v>
      </c>
      <c r="V163" t="s">
        <v>62</v>
      </c>
      <c r="W163" t="s">
        <v>62</v>
      </c>
      <c r="X163" t="s">
        <v>74</v>
      </c>
      <c r="Y163" t="s">
        <v>62</v>
      </c>
      <c r="Z163" t="s">
        <v>62</v>
      </c>
      <c r="AA163" t="s">
        <v>62</v>
      </c>
      <c r="AB163" t="s">
        <v>62</v>
      </c>
      <c r="AC163" t="s">
        <v>62</v>
      </c>
      <c r="AD163" t="s">
        <v>62</v>
      </c>
      <c r="AE163" t="s">
        <v>62</v>
      </c>
      <c r="AF163" t="s">
        <v>62</v>
      </c>
      <c r="AG163" t="s">
        <v>62</v>
      </c>
      <c r="AH163" t="s">
        <v>62</v>
      </c>
      <c r="AI163" t="s">
        <v>62</v>
      </c>
      <c r="AK163" t="s">
        <v>62</v>
      </c>
      <c r="AL163" t="s">
        <v>62</v>
      </c>
      <c r="AM163" t="s">
        <v>62</v>
      </c>
      <c r="AN163" t="s">
        <v>62</v>
      </c>
    </row>
    <row r="164" spans="1:51" x14ac:dyDescent="0.25">
      <c r="A164" t="s">
        <v>621</v>
      </c>
      <c r="B164">
        <v>155</v>
      </c>
      <c r="C164">
        <v>2026</v>
      </c>
      <c r="D164">
        <v>4</v>
      </c>
      <c r="F164" t="s">
        <v>62</v>
      </c>
      <c r="G164" t="s">
        <v>93</v>
      </c>
      <c r="H164" t="s">
        <v>628</v>
      </c>
      <c r="I164" t="s">
        <v>629</v>
      </c>
      <c r="J164" t="s">
        <v>81</v>
      </c>
      <c r="L164" t="s">
        <v>515</v>
      </c>
      <c r="M164" t="s">
        <v>68</v>
      </c>
      <c r="N164" t="s">
        <v>117</v>
      </c>
      <c r="P164" t="s">
        <v>410</v>
      </c>
      <c r="S164" t="s">
        <v>62</v>
      </c>
      <c r="T164" t="s">
        <v>62</v>
      </c>
      <c r="U164" t="s">
        <v>62</v>
      </c>
      <c r="V164" t="s">
        <v>62</v>
      </c>
      <c r="W164" t="s">
        <v>62</v>
      </c>
      <c r="X164" t="s">
        <v>74</v>
      </c>
      <c r="Y164" t="s">
        <v>62</v>
      </c>
      <c r="Z164" t="s">
        <v>62</v>
      </c>
      <c r="AA164" t="s">
        <v>62</v>
      </c>
      <c r="AB164" t="s">
        <v>62</v>
      </c>
      <c r="AC164" t="s">
        <v>62</v>
      </c>
      <c r="AD164" t="s">
        <v>62</v>
      </c>
      <c r="AE164" t="s">
        <v>62</v>
      </c>
      <c r="AF164" t="s">
        <v>62</v>
      </c>
      <c r="AG164" t="s">
        <v>62</v>
      </c>
      <c r="AH164" t="s">
        <v>62</v>
      </c>
      <c r="AI164" t="s">
        <v>62</v>
      </c>
      <c r="AK164" t="s">
        <v>62</v>
      </c>
      <c r="AL164" t="s">
        <v>62</v>
      </c>
      <c r="AM164" t="s">
        <v>62</v>
      </c>
      <c r="AN164" t="s">
        <v>62</v>
      </c>
    </row>
    <row r="165" spans="1:51" x14ac:dyDescent="0.25">
      <c r="A165" t="s">
        <v>621</v>
      </c>
      <c r="B165">
        <v>156</v>
      </c>
      <c r="C165">
        <v>2026</v>
      </c>
      <c r="D165">
        <v>4</v>
      </c>
      <c r="F165" t="s">
        <v>62</v>
      </c>
      <c r="G165" t="s">
        <v>93</v>
      </c>
      <c r="H165" t="s">
        <v>630</v>
      </c>
      <c r="I165" t="s">
        <v>631</v>
      </c>
      <c r="J165" t="s">
        <v>81</v>
      </c>
      <c r="L165" t="s">
        <v>515</v>
      </c>
      <c r="M165" t="s">
        <v>68</v>
      </c>
      <c r="N165" t="s">
        <v>117</v>
      </c>
      <c r="O165" t="s">
        <v>632</v>
      </c>
      <c r="P165" t="s">
        <v>633</v>
      </c>
      <c r="Q165" t="s">
        <v>634</v>
      </c>
      <c r="R165" t="s">
        <v>73</v>
      </c>
      <c r="S165" t="s">
        <v>62</v>
      </c>
      <c r="T165" t="s">
        <v>62</v>
      </c>
      <c r="U165" t="s">
        <v>62</v>
      </c>
      <c r="V165" t="s">
        <v>62</v>
      </c>
      <c r="W165" t="s">
        <v>62</v>
      </c>
      <c r="X165" t="s">
        <v>74</v>
      </c>
      <c r="Y165" t="s">
        <v>62</v>
      </c>
      <c r="Z165" t="s">
        <v>62</v>
      </c>
      <c r="AA165" t="s">
        <v>62</v>
      </c>
      <c r="AB165" t="s">
        <v>62</v>
      </c>
      <c r="AC165" t="s">
        <v>62</v>
      </c>
      <c r="AD165" t="s">
        <v>62</v>
      </c>
      <c r="AE165" t="s">
        <v>62</v>
      </c>
      <c r="AF165" t="s">
        <v>62</v>
      </c>
      <c r="AG165" t="s">
        <v>62</v>
      </c>
      <c r="AH165" t="s">
        <v>62</v>
      </c>
      <c r="AI165" t="s">
        <v>62</v>
      </c>
      <c r="AK165" t="s">
        <v>62</v>
      </c>
      <c r="AL165" t="s">
        <v>62</v>
      </c>
      <c r="AM165" t="s">
        <v>62</v>
      </c>
      <c r="AN165" t="s">
        <v>62</v>
      </c>
      <c r="AO165" t="s">
        <v>562</v>
      </c>
    </row>
    <row r="166" spans="1:51" x14ac:dyDescent="0.25">
      <c r="A166" t="s">
        <v>621</v>
      </c>
      <c r="B166">
        <v>157</v>
      </c>
      <c r="C166">
        <v>2026</v>
      </c>
      <c r="D166">
        <v>4</v>
      </c>
      <c r="F166" t="s">
        <v>62</v>
      </c>
      <c r="G166" t="s">
        <v>93</v>
      </c>
      <c r="H166" t="s">
        <v>635</v>
      </c>
      <c r="I166" t="s">
        <v>636</v>
      </c>
      <c r="J166" t="s">
        <v>66</v>
      </c>
      <c r="L166" t="s">
        <v>515</v>
      </c>
      <c r="M166" t="s">
        <v>179</v>
      </c>
      <c r="N166" t="s">
        <v>117</v>
      </c>
      <c r="O166" t="s">
        <v>637</v>
      </c>
      <c r="P166" t="s">
        <v>638</v>
      </c>
      <c r="Q166" t="s">
        <v>639</v>
      </c>
      <c r="R166" t="s">
        <v>120</v>
      </c>
      <c r="S166" t="s">
        <v>62</v>
      </c>
      <c r="T166" t="s">
        <v>62</v>
      </c>
      <c r="U166" t="s">
        <v>62</v>
      </c>
      <c r="V166" t="s">
        <v>62</v>
      </c>
      <c r="W166" t="s">
        <v>62</v>
      </c>
      <c r="X166" t="s">
        <v>74</v>
      </c>
      <c r="Y166" t="s">
        <v>62</v>
      </c>
      <c r="Z166" t="s">
        <v>62</v>
      </c>
      <c r="AA166" t="s">
        <v>62</v>
      </c>
      <c r="AB166" t="s">
        <v>62</v>
      </c>
      <c r="AC166" t="s">
        <v>62</v>
      </c>
      <c r="AD166" t="s">
        <v>62</v>
      </c>
      <c r="AE166" t="s">
        <v>62</v>
      </c>
      <c r="AF166" t="s">
        <v>62</v>
      </c>
      <c r="AG166" t="s">
        <v>62</v>
      </c>
      <c r="AH166" t="s">
        <v>62</v>
      </c>
      <c r="AI166" t="s">
        <v>62</v>
      </c>
      <c r="AK166" t="s">
        <v>62</v>
      </c>
      <c r="AL166" t="s">
        <v>62</v>
      </c>
      <c r="AM166" t="s">
        <v>62</v>
      </c>
      <c r="AN166" t="s">
        <v>62</v>
      </c>
      <c r="AO166" t="s">
        <v>562</v>
      </c>
    </row>
    <row r="167" spans="1:51" x14ac:dyDescent="0.25">
      <c r="A167" t="s">
        <v>621</v>
      </c>
      <c r="B167">
        <v>158</v>
      </c>
      <c r="C167">
        <v>2026</v>
      </c>
      <c r="D167">
        <v>4</v>
      </c>
      <c r="F167" t="s">
        <v>62</v>
      </c>
      <c r="G167" t="s">
        <v>93</v>
      </c>
      <c r="H167" t="s">
        <v>640</v>
      </c>
      <c r="I167" t="s">
        <v>641</v>
      </c>
      <c r="J167" t="s">
        <v>66</v>
      </c>
      <c r="L167" t="s">
        <v>515</v>
      </c>
      <c r="M167" t="s">
        <v>116</v>
      </c>
      <c r="N167" t="s">
        <v>117</v>
      </c>
      <c r="P167" t="s">
        <v>410</v>
      </c>
      <c r="S167" t="s">
        <v>62</v>
      </c>
      <c r="T167" t="s">
        <v>62</v>
      </c>
      <c r="U167" t="s">
        <v>62</v>
      </c>
      <c r="V167" t="s">
        <v>62</v>
      </c>
      <c r="W167" t="s">
        <v>62</v>
      </c>
      <c r="X167" t="s">
        <v>74</v>
      </c>
      <c r="Y167" t="s">
        <v>62</v>
      </c>
      <c r="Z167" t="s">
        <v>62</v>
      </c>
      <c r="AA167" t="s">
        <v>62</v>
      </c>
      <c r="AB167" t="s">
        <v>62</v>
      </c>
      <c r="AC167" t="s">
        <v>62</v>
      </c>
      <c r="AD167" t="s">
        <v>62</v>
      </c>
      <c r="AE167" t="s">
        <v>62</v>
      </c>
      <c r="AF167" t="s">
        <v>62</v>
      </c>
      <c r="AG167" t="s">
        <v>62</v>
      </c>
      <c r="AH167" t="s">
        <v>62</v>
      </c>
      <c r="AI167" t="s">
        <v>62</v>
      </c>
      <c r="AK167" t="s">
        <v>62</v>
      </c>
      <c r="AL167" t="s">
        <v>62</v>
      </c>
      <c r="AM167" t="s">
        <v>62</v>
      </c>
      <c r="AN167" t="s">
        <v>62</v>
      </c>
    </row>
    <row r="168" spans="1:51" x14ac:dyDescent="0.25">
      <c r="A168" t="s">
        <v>621</v>
      </c>
      <c r="B168">
        <v>159</v>
      </c>
      <c r="C168">
        <v>2026</v>
      </c>
      <c r="D168">
        <v>4</v>
      </c>
      <c r="F168" t="s">
        <v>62</v>
      </c>
      <c r="G168" t="s">
        <v>93</v>
      </c>
      <c r="H168" t="s">
        <v>642</v>
      </c>
      <c r="I168" t="s">
        <v>643</v>
      </c>
      <c r="J168" t="s">
        <v>66</v>
      </c>
      <c r="L168" t="s">
        <v>515</v>
      </c>
      <c r="M168" t="s">
        <v>68</v>
      </c>
      <c r="N168" t="s">
        <v>117</v>
      </c>
      <c r="P168" t="s">
        <v>410</v>
      </c>
      <c r="S168" t="s">
        <v>62</v>
      </c>
      <c r="T168" t="s">
        <v>62</v>
      </c>
      <c r="U168" t="s">
        <v>62</v>
      </c>
      <c r="V168" t="s">
        <v>62</v>
      </c>
      <c r="W168" t="s">
        <v>62</v>
      </c>
      <c r="X168" t="s">
        <v>74</v>
      </c>
      <c r="Y168" t="s">
        <v>62</v>
      </c>
      <c r="Z168" t="s">
        <v>62</v>
      </c>
      <c r="AA168" t="s">
        <v>62</v>
      </c>
      <c r="AB168" t="s">
        <v>62</v>
      </c>
      <c r="AC168" t="s">
        <v>62</v>
      </c>
      <c r="AD168" t="s">
        <v>62</v>
      </c>
      <c r="AE168" t="s">
        <v>62</v>
      </c>
      <c r="AF168" t="s">
        <v>62</v>
      </c>
      <c r="AG168" t="s">
        <v>62</v>
      </c>
      <c r="AH168" t="s">
        <v>62</v>
      </c>
      <c r="AI168" t="s">
        <v>62</v>
      </c>
      <c r="AK168" t="s">
        <v>62</v>
      </c>
      <c r="AL168" t="s">
        <v>62</v>
      </c>
      <c r="AM168" t="s">
        <v>62</v>
      </c>
      <c r="AN168" t="s">
        <v>62</v>
      </c>
    </row>
    <row r="169" spans="1:41" x14ac:dyDescent="0.25">
      <c r="A169">
        <v>20260423</v>
      </c>
      <c r="B169">
        <f>ROW(B169)-9</f>
        <v>160</v>
      </c>
      <c r="C169">
        <v>0</v>
      </c>
      <c r="F169">
        <v>25</v>
      </c>
      <c r="G169">
        <v>240</v>
      </c>
      <c r="H169" t="s">
        <v>567</v>
      </c>
      <c r="I169">
        <v>4009082</v>
      </c>
      <c r="J169">
        <f>YEAR(TODAY())-VALUE(LEFT(I169,2))-IF(OR(VALUE(RIGHT(I169))=1, VALUE(RIGHT(I169))=2), 1900, 2000)</f>
        <v>86</v>
      </c>
      <c r="K169" t="str">
        <f>IF(OR(VALUE(RIGHT(I169))=1, VALUE(RIGHT(I169))=3), "남", "여")</f>
        <v>여</v>
      </c>
      <c r="L169" t="s">
        <v>67</v>
      </c>
      <c r="N169" t="s">
        <v>108</v>
      </c>
      <c r="O169" t="s">
        <v>565</v>
      </c>
      <c r="P169" t="s">
        <v>394</v>
      </c>
      <c r="Q169" t="s">
        <v>566</v>
      </c>
      <c r="R169" t="str">
        <f>VLOOKUP(P169, '품목명'!$C$4:$D$1500, 2, FALSE)</f>
        <v>ADL</v>
      </c>
      <c r="S169">
        <v>0</v>
      </c>
      <c r="T169">
        <v>0</v>
      </c>
      <c r="W169">
        <v>0</v>
      </c>
      <c r="AJ169" t="s">
        <v>75</v>
      </c>
      <c r="AM169">
        <v>0</v>
      </c>
      <c r="AN169" t="s">
        <v>644</v>
      </c>
      <c r="AO169" t="s">
        <v>112</v>
      </c>
    </row>
    <row r="170" spans="1:41" x14ac:dyDescent="0.25">
      <c r="A170">
        <v>20260423</v>
      </c>
      <c r="B170">
        <f>ROW(B170)-9</f>
        <v>161</v>
      </c>
      <c r="D170">
        <v>0</v>
      </c>
      <c r="F170">
        <v>26</v>
      </c>
      <c r="G170">
        <v>40</v>
      </c>
      <c r="H170" t="s">
        <v>569</v>
      </c>
      <c r="J170">
        <f>YEAR(TODAY())-VALUE(LEFT(I170,2))-IF(OR(VALUE(RIGHT(I170))=1, VALUE(RIGHT(I170))=2), 1900, 2000)</f>
        <v>26</v>
      </c>
      <c r="K170" t="str">
        <f>IF(OR(VALUE(RIGHT(I170))=1, VALUE(RIGHT(I170))=3), "남", "여")</f>
        <v>여</v>
      </c>
      <c r="L170" t="s">
        <v>82</v>
      </c>
      <c r="N170" t="s">
        <v>108</v>
      </c>
      <c r="O170" t="s">
        <v>565</v>
      </c>
      <c r="P170" t="s">
        <v>394</v>
      </c>
      <c r="Q170" t="s">
        <v>566</v>
      </c>
      <c r="R170" t="str">
        <f>VLOOKUP(P170, '품목명'!$C$4:$D$1500, 2, FALSE)</f>
        <v>ADL</v>
      </c>
      <c r="S170">
        <v>0</v>
      </c>
      <c r="T170">
        <v>0</v>
      </c>
      <c r="W170">
        <v>0</v>
      </c>
      <c r="AJ170" t="s">
        <v>75</v>
      </c>
      <c r="AM170">
        <v>0</v>
      </c>
      <c r="AN170" t="s">
        <v>644</v>
      </c>
      <c r="AO170" t="s">
        <v>112</v>
      </c>
    </row>
    <row r="171" spans="1:41" x14ac:dyDescent="0.25">
      <c r="A171">
        <v>20260423</v>
      </c>
      <c r="B171">
        <f>ROW(B171)-9</f>
        <v>162</v>
      </c>
      <c r="D171">
        <v>0</v>
      </c>
      <c r="F171">
        <v>26</v>
      </c>
      <c r="G171">
        <v>44</v>
      </c>
      <c r="H171" t="s">
        <v>570</v>
      </c>
      <c r="J171">
        <f>YEAR(TODAY())-VALUE(LEFT(I171,2))-IF(OR(VALUE(RIGHT(I171))=1, VALUE(RIGHT(I171))=2), 1900, 2000)</f>
        <v>26</v>
      </c>
      <c r="K171" t="str">
        <f>IF(OR(VALUE(RIGHT(I171))=1, VALUE(RIGHT(I171))=3), "남", "여")</f>
        <v>여</v>
      </c>
      <c r="L171" t="s">
        <v>82</v>
      </c>
      <c r="N171" t="s">
        <v>108</v>
      </c>
      <c r="O171" t="s">
        <v>565</v>
      </c>
      <c r="P171" t="s">
        <v>394</v>
      </c>
      <c r="Q171" t="s">
        <v>566</v>
      </c>
      <c r="R171" t="str">
        <f>VLOOKUP(P171, '품목명'!$C$4:$D$1500, 2, FALSE)</f>
        <v>ADL</v>
      </c>
      <c r="S171">
        <v>0</v>
      </c>
      <c r="T171">
        <v>0</v>
      </c>
      <c r="W171">
        <v>0</v>
      </c>
      <c r="AJ171" t="s">
        <v>75</v>
      </c>
      <c r="AM171">
        <v>0</v>
      </c>
      <c r="AN171" t="s">
        <v>644</v>
      </c>
      <c r="AO171" t="s">
        <v>112</v>
      </c>
    </row>
    <row r="172" spans="1:41" x14ac:dyDescent="0.25">
      <c r="A172">
        <v>20260423</v>
      </c>
      <c r="B172">
        <f>ROW(B172)-9</f>
        <v>163</v>
      </c>
      <c r="D172">
        <v>0</v>
      </c>
      <c r="F172">
        <v>26</v>
      </c>
      <c r="G172">
        <v>45</v>
      </c>
      <c r="H172" t="s">
        <v>571</v>
      </c>
      <c r="J172">
        <f>YEAR(TODAY())-VALUE(LEFT(I172,2))-IF(OR(VALUE(RIGHT(I172))=1, VALUE(RIGHT(I172))=2), 1900, 2000)</f>
        <v>26</v>
      </c>
      <c r="K172" t="str">
        <f>IF(OR(VALUE(RIGHT(I172))=1, VALUE(RIGHT(I172))=3), "남", "여")</f>
        <v>여</v>
      </c>
      <c r="L172" t="s">
        <v>82</v>
      </c>
      <c r="N172" t="s">
        <v>108</v>
      </c>
      <c r="O172" t="s">
        <v>565</v>
      </c>
      <c r="P172" t="s">
        <v>394</v>
      </c>
      <c r="Q172" t="s">
        <v>566</v>
      </c>
      <c r="R172" t="str">
        <f>VLOOKUP(P172, '품목명'!$C$4:$D$1500, 2, FALSE)</f>
        <v>ADL</v>
      </c>
      <c r="S172">
        <v>0</v>
      </c>
      <c r="T172">
        <v>0</v>
      </c>
      <c r="W172">
        <v>0</v>
      </c>
      <c r="AJ172" t="s">
        <v>75</v>
      </c>
      <c r="AM172">
        <v>0</v>
      </c>
      <c r="AN172" t="s">
        <v>644</v>
      </c>
      <c r="AO172" t="s">
        <v>112</v>
      </c>
    </row>
    <row r="173" spans="1:41" x14ac:dyDescent="0.25">
      <c r="A173">
        <v>20260423</v>
      </c>
      <c r="B173">
        <f>ROW(B173)-9</f>
        <v>164</v>
      </c>
      <c r="D173">
        <v>0</v>
      </c>
      <c r="F173">
        <v>26</v>
      </c>
      <c r="G173">
        <v>46</v>
      </c>
      <c r="H173" t="s">
        <v>572</v>
      </c>
      <c r="J173">
        <f>YEAR(TODAY())-VALUE(LEFT(I173,2))-IF(OR(VALUE(RIGHT(I173))=1, VALUE(RIGHT(I173))=2), 1900, 2000)</f>
        <v>26</v>
      </c>
      <c r="K173" t="str">
        <f>IF(OR(VALUE(RIGHT(I173))=1, VALUE(RIGHT(I173))=3), "남", "여")</f>
        <v>여</v>
      </c>
      <c r="L173" t="s">
        <v>285</v>
      </c>
      <c r="N173" t="s">
        <v>108</v>
      </c>
      <c r="O173" t="s">
        <v>565</v>
      </c>
      <c r="P173" t="s">
        <v>394</v>
      </c>
      <c r="Q173" t="s">
        <v>566</v>
      </c>
      <c r="R173" t="str">
        <f>VLOOKUP(P173, '품목명'!$C$4:$D$1500, 2, FALSE)</f>
        <v>ADL</v>
      </c>
      <c r="S173">
        <v>0</v>
      </c>
      <c r="T173">
        <v>0</v>
      </c>
      <c r="W173">
        <v>0</v>
      </c>
      <c r="AJ173" t="s">
        <v>75</v>
      </c>
      <c r="AM173">
        <v>0</v>
      </c>
      <c r="AN173" t="s">
        <v>644</v>
      </c>
      <c r="AO173" t="s">
        <v>112</v>
      </c>
    </row>
    <row r="174" spans="1:41" x14ac:dyDescent="0.25">
      <c r="A174">
        <v>20260423</v>
      </c>
      <c r="B174">
        <f>ROW(B174)-9</f>
        <v>165</v>
      </c>
      <c r="C174">
        <v>0</v>
      </c>
      <c r="F174">
        <v>22</v>
      </c>
      <c r="G174">
        <v>47</v>
      </c>
      <c r="H174" t="s">
        <v>143</v>
      </c>
      <c r="I174">
        <v>6610131</v>
      </c>
      <c r="J174">
        <f>YEAR(TODAY())-VALUE(LEFT(I174,2))-IF(OR(VALUE(RIGHT(I174))=1, VALUE(RIGHT(I174))=2), 1900, 2000)</f>
        <v>60</v>
      </c>
      <c r="K174" t="str">
        <f>IF(OR(VALUE(RIGHT(I174))=1, VALUE(RIGHT(I174))=3), "남", "여")</f>
        <v>남</v>
      </c>
      <c r="L174" t="s">
        <v>67</v>
      </c>
      <c r="N174" t="s">
        <v>108</v>
      </c>
      <c r="O174" t="s">
        <v>473</v>
      </c>
      <c r="P174" t="s">
        <v>265</v>
      </c>
      <c r="Q174" t="s">
        <v>573</v>
      </c>
      <c r="R174" t="str">
        <f>VLOOKUP(P174, '품목명'!$C$4:$D$1500, 2, FALSE)</f>
        <v>EC</v>
      </c>
      <c r="S174">
        <v>0</v>
      </c>
      <c r="T174">
        <v>0</v>
      </c>
      <c r="W174">
        <v>0</v>
      </c>
      <c r="AJ174" t="s">
        <v>75</v>
      </c>
      <c r="AM174">
        <v>0</v>
      </c>
      <c r="AN174" t="s">
        <v>644</v>
      </c>
      <c r="AO174" t="s">
        <v>112</v>
      </c>
    </row>
    <row r="175" spans="1:41" x14ac:dyDescent="0.25">
      <c r="A175">
        <v>20260423</v>
      </c>
      <c r="B175">
        <f>ROW(B175)-9</f>
        <v>166</v>
      </c>
      <c r="D175">
        <v>0</v>
      </c>
      <c r="F175">
        <v>26</v>
      </c>
      <c r="G175">
        <v>47</v>
      </c>
      <c r="H175" t="s">
        <v>574</v>
      </c>
      <c r="J175">
        <f>YEAR(TODAY())-VALUE(LEFT(I175,2))-IF(OR(VALUE(RIGHT(I175))=1, VALUE(RIGHT(I175))=2), 1900, 2000)</f>
        <v>26</v>
      </c>
      <c r="K175" t="str">
        <f>IF(OR(VALUE(RIGHT(I175))=1, VALUE(RIGHT(I175))=3), "남", "여")</f>
        <v>여</v>
      </c>
      <c r="L175" t="s">
        <v>285</v>
      </c>
      <c r="N175" t="s">
        <v>108</v>
      </c>
      <c r="O175" t="s">
        <v>565</v>
      </c>
      <c r="P175" t="s">
        <v>394</v>
      </c>
      <c r="Q175" t="s">
        <v>566</v>
      </c>
      <c r="R175" t="str">
        <f>VLOOKUP(P175, '품목명'!$C$4:$D$1500, 2, FALSE)</f>
        <v>ADL</v>
      </c>
      <c r="S175">
        <v>0</v>
      </c>
      <c r="T175">
        <v>0</v>
      </c>
      <c r="W175">
        <v>0</v>
      </c>
      <c r="AJ175" t="s">
        <v>75</v>
      </c>
      <c r="AM175">
        <v>0</v>
      </c>
      <c r="AN175" t="s">
        <v>644</v>
      </c>
      <c r="AO175" t="s">
        <v>112</v>
      </c>
    </row>
    <row r="176" spans="1:41" x14ac:dyDescent="0.25">
      <c r="A176">
        <v>20260423</v>
      </c>
      <c r="B176">
        <f>ROW(B176)-9</f>
        <v>167</v>
      </c>
      <c r="C176">
        <v>0</v>
      </c>
      <c r="F176">
        <v>24</v>
      </c>
      <c r="G176">
        <v>163</v>
      </c>
      <c r="H176" t="s">
        <v>575</v>
      </c>
      <c r="I176">
        <v>6703051</v>
      </c>
      <c r="J176">
        <f>YEAR(TODAY())-VALUE(LEFT(I176,2))-IF(OR(VALUE(RIGHT(I176))=1, VALUE(RIGHT(I176))=2), 1900, 2000)</f>
        <v>59</v>
      </c>
      <c r="K176" t="str">
        <f>IF(OR(VALUE(RIGHT(I176))=1, VALUE(RIGHT(I176))=3), "남", "여")</f>
        <v>남</v>
      </c>
      <c r="L176" t="s">
        <v>285</v>
      </c>
      <c r="N176" t="s">
        <v>108</v>
      </c>
      <c r="O176" t="s">
        <v>565</v>
      </c>
      <c r="P176" t="s">
        <v>394</v>
      </c>
      <c r="Q176" t="s">
        <v>566</v>
      </c>
      <c r="R176" t="str">
        <f>VLOOKUP(P176, '품목명'!$C$4:$D$1500, 2, FALSE)</f>
        <v>ADL</v>
      </c>
      <c r="S176">
        <v>0</v>
      </c>
      <c r="T176">
        <v>0</v>
      </c>
      <c r="W176">
        <v>0</v>
      </c>
      <c r="AJ176" t="s">
        <v>75</v>
      </c>
      <c r="AM176">
        <v>0</v>
      </c>
      <c r="AN176" t="s">
        <v>644</v>
      </c>
      <c r="AO176" t="s">
        <v>112</v>
      </c>
    </row>
    <row r="177" spans="1:41" x14ac:dyDescent="0.25">
      <c r="A177">
        <v>20260423</v>
      </c>
      <c r="B177">
        <f>ROW(B177)-9</f>
        <v>168</v>
      </c>
      <c r="D177">
        <v>0</v>
      </c>
      <c r="F177">
        <v>26</v>
      </c>
      <c r="G177">
        <v>48</v>
      </c>
      <c r="H177" t="s">
        <v>577</v>
      </c>
      <c r="J177">
        <f>YEAR(TODAY())-VALUE(LEFT(I177,2))-IF(OR(VALUE(RIGHT(I177))=1, VALUE(RIGHT(I177))=2), 1900, 2000)</f>
        <v>26</v>
      </c>
      <c r="K177" t="str">
        <f>IF(OR(VALUE(RIGHT(I177))=1, VALUE(RIGHT(I177))=3), "남", "여")</f>
        <v>여</v>
      </c>
      <c r="L177" t="s">
        <v>165</v>
      </c>
      <c r="N177" t="s">
        <v>108</v>
      </c>
      <c r="O177" t="s">
        <v>578</v>
      </c>
      <c r="P177" t="s">
        <v>579</v>
      </c>
      <c r="Q177" t="s">
        <v>578</v>
      </c>
      <c r="R177" t="str">
        <f>VLOOKUP(P177, '품목명'!$C$4:$D$1500, 2, FALSE)</f>
        <v>ADL</v>
      </c>
      <c r="S177">
        <v>0</v>
      </c>
      <c r="T177">
        <v>0</v>
      </c>
      <c r="W177">
        <v>0</v>
      </c>
      <c r="AJ177" t="s">
        <v>75</v>
      </c>
      <c r="AM177">
        <v>0</v>
      </c>
      <c r="AN177" t="s">
        <v>644</v>
      </c>
      <c r="AO177" t="s">
        <v>112</v>
      </c>
    </row>
    <row r="178" spans="1:41" x14ac:dyDescent="0.25">
      <c r="A178">
        <v>20260423</v>
      </c>
      <c r="B178">
        <f>ROW(B178)-9</f>
        <v>169</v>
      </c>
      <c r="E178">
        <v>0</v>
      </c>
      <c r="F178">
        <v>20</v>
      </c>
      <c r="G178">
        <v>26</v>
      </c>
      <c r="H178" t="s">
        <v>546</v>
      </c>
      <c r="I178" t="s">
        <v>645</v>
      </c>
      <c r="J178">
        <f>YEAR(TODAY())-VALUE(LEFT(I178,2))-IF(OR(VALUE(RIGHT(I178))=1, VALUE(RIGHT(I178))=2), 1900, 2000)</f>
        <v>71</v>
      </c>
      <c r="K178" t="str">
        <f>IF(OR(VALUE(RIGHT(I178))=1, VALUE(RIGHT(I178))=3), "남", "여")</f>
        <v>남</v>
      </c>
      <c r="L178" t="s">
        <v>547</v>
      </c>
      <c r="M178" t="s">
        <v>83</v>
      </c>
      <c r="N178" t="s">
        <v>108</v>
      </c>
      <c r="O178" t="s">
        <v>467</v>
      </c>
      <c r="P178" t="str">
        <f>VLOOKUP(O178, '제품명'!$A$2:$E$5000, 5, FALSE)</f>
        <v>#N/A</v>
      </c>
      <c r="Q178" t="s">
        <v>467</v>
      </c>
      <c r="R178" t="str">
        <f>VLOOKUP(P178, '품목명'!$C$4:$D$1500, 2, FALSE)</f>
        <v>#N/A</v>
      </c>
      <c r="S178">
        <v>0</v>
      </c>
      <c r="T178">
        <v>0</v>
      </c>
      <c r="W178">
        <v>0</v>
      </c>
      <c r="AJ178" t="s">
        <v>75</v>
      </c>
      <c r="AL178">
        <v>0</v>
      </c>
      <c r="AN178" t="s">
        <v>644</v>
      </c>
      <c r="AO178" t="s">
        <v>112</v>
      </c>
    </row>
    <row r="179" spans="1:43" x14ac:dyDescent="0.25">
      <c r="A179">
        <v>20260423</v>
      </c>
      <c r="B179">
        <f>ROW(B179)-9</f>
        <v>170</v>
      </c>
      <c r="D179">
        <v>0</v>
      </c>
      <c r="F179">
        <v>26</v>
      </c>
      <c r="G179">
        <v>45</v>
      </c>
      <c r="H179" t="s">
        <v>581</v>
      </c>
      <c r="I179">
        <v>6901111</v>
      </c>
      <c r="J179">
        <f>YEAR(TODAY())-VALUE(LEFT(I179,2))-IF(OR(VALUE(RIGHT(I179))=1, VALUE(RIGHT(I179))=2), 1900, 2000)</f>
        <v>57</v>
      </c>
      <c r="K179" t="str">
        <f>IF(OR(VALUE(RIGHT(I179))=1, VALUE(RIGHT(I179))=3), "남", "여")</f>
        <v>남</v>
      </c>
      <c r="L179" t="s">
        <v>67</v>
      </c>
      <c r="M179" t="s">
        <v>68</v>
      </c>
      <c r="N179" t="s">
        <v>41</v>
      </c>
      <c r="O179" t="s">
        <v>646</v>
      </c>
      <c r="P179" t="s">
        <v>135</v>
      </c>
      <c r="Q179" t="s">
        <v>134</v>
      </c>
      <c r="R179" t="str">
        <f>VLOOKUP(P179, '품목명'!$C$4:$D$1500, 2, FALSE)</f>
        <v>WC</v>
      </c>
      <c r="S179">
        <v>0</v>
      </c>
      <c r="T179">
        <v>0</v>
      </c>
      <c r="V179">
        <v>0</v>
      </c>
      <c r="AJ179" t="s">
        <v>75</v>
      </c>
      <c r="AL179">
        <v>0</v>
      </c>
      <c r="AN179" t="s">
        <v>644</v>
      </c>
      <c r="AO179" t="s">
        <v>112</v>
      </c>
      <c r="AP179" t="s">
        <v>647</v>
      </c>
      <c r="AQ179" t="s">
        <v>648</v>
      </c>
    </row>
    <row r="180" spans="1:43" x14ac:dyDescent="0.25">
      <c r="A180">
        <v>20260423</v>
      </c>
      <c r="B180">
        <f>ROW(B180)-9</f>
        <v>171</v>
      </c>
      <c r="D180">
        <v>0</v>
      </c>
      <c r="F180">
        <v>26</v>
      </c>
      <c r="G180">
        <v>46</v>
      </c>
      <c r="H180" t="s">
        <v>584</v>
      </c>
      <c r="I180">
        <v>6504251</v>
      </c>
      <c r="J180">
        <f>YEAR(TODAY())-VALUE(LEFT(I180,2))-IF(OR(VALUE(RIGHT(I180))=1, VALUE(RIGHT(I180))=2), 1900, 2000)</f>
        <v>61</v>
      </c>
      <c r="K180" t="str">
        <f>IF(OR(VALUE(RIGHT(I180))=1, VALUE(RIGHT(I180))=3), "남", "여")</f>
        <v>남</v>
      </c>
      <c r="L180" t="s">
        <v>67</v>
      </c>
      <c r="M180" t="s">
        <v>586</v>
      </c>
      <c r="N180" t="s">
        <v>69</v>
      </c>
      <c r="O180" t="s">
        <v>587</v>
      </c>
      <c r="P180" t="str">
        <f>VLOOKUP(O180, '제품명'!$A$2:$E$5000, 5, FALSE)</f>
        <v>#N/A</v>
      </c>
      <c r="Q180" t="s">
        <v>649</v>
      </c>
      <c r="R180" t="str">
        <f>VLOOKUP(P180, '품목명'!$C$4:$D$1500, 2, FALSE)</f>
        <v>#N/A</v>
      </c>
      <c r="S180">
        <v>0</v>
      </c>
      <c r="T180">
        <v>0</v>
      </c>
      <c r="AA180" t="s">
        <v>650</v>
      </c>
      <c r="AJ180" t="s">
        <v>121</v>
      </c>
      <c r="AK180">
        <v>0</v>
      </c>
      <c r="AN180" t="s">
        <v>76</v>
      </c>
      <c r="AO180" t="s">
        <v>112</v>
      </c>
      <c r="AP180" t="s">
        <v>651</v>
      </c>
      <c r="AQ180" t="s">
        <v>652</v>
      </c>
    </row>
    <row r="181" spans="1:43" x14ac:dyDescent="0.25">
      <c r="A181">
        <v>20260427</v>
      </c>
      <c r="B181">
        <f>ROW(B181)-9</f>
        <v>172</v>
      </c>
      <c r="D181">
        <v>0</v>
      </c>
      <c r="F181">
        <v>26</v>
      </c>
      <c r="G181">
        <v>49</v>
      </c>
      <c r="H181" t="s">
        <v>590</v>
      </c>
      <c r="I181">
        <v>7501061</v>
      </c>
      <c r="J181">
        <f>YEAR(TODAY())-VALUE(LEFT(I181,2))-IF(OR(VALUE(RIGHT(I181))=1, VALUE(RIGHT(I181))=2), 1900, 2000)</f>
        <v>51</v>
      </c>
      <c r="K181" t="str">
        <f>IF(OR(VALUE(RIGHT(I181))=1, VALUE(RIGHT(I181))=3), "남", "여")</f>
        <v>남</v>
      </c>
      <c r="L181" t="s">
        <v>67</v>
      </c>
      <c r="M181" t="s">
        <v>68</v>
      </c>
      <c r="N181" t="s">
        <v>108</v>
      </c>
      <c r="O181" t="s">
        <v>592</v>
      </c>
      <c r="P181" t="str">
        <f>VLOOKUP(O181, '제품명'!$A$2:$E$5000, 5, FALSE)</f>
        <v>#N/A</v>
      </c>
      <c r="Q181" t="s">
        <v>593</v>
      </c>
      <c r="R181" t="str">
        <f>VLOOKUP(P181, '품목명'!$C$4:$D$1500, 2, FALSE)</f>
        <v>#N/A</v>
      </c>
      <c r="S181">
        <v>0</v>
      </c>
      <c r="T181">
        <v>0</v>
      </c>
      <c r="W181">
        <v>0</v>
      </c>
      <c r="AN181" t="s">
        <v>644</v>
      </c>
      <c r="AO181" t="s">
        <v>562</v>
      </c>
      <c r="AP181" t="s">
        <v>653</v>
      </c>
      <c r="AQ181" t="s">
        <v>654</v>
      </c>
    </row>
    <row r="182" spans="1:43" x14ac:dyDescent="0.25">
      <c r="A182">
        <v>20260427</v>
      </c>
      <c r="B182">
        <f>ROW(B182)-9</f>
        <v>173</v>
      </c>
      <c r="D182">
        <v>0</v>
      </c>
      <c r="F182">
        <v>26</v>
      </c>
      <c r="G182">
        <v>51</v>
      </c>
      <c r="H182" t="s">
        <v>594</v>
      </c>
      <c r="I182" t="s">
        <v>655</v>
      </c>
      <c r="J182">
        <f>YEAR(TODAY())-VALUE(LEFT(I182,2))-IF(OR(VALUE(RIGHT(I182))=1, VALUE(RIGHT(I182))=2), 1900, 2000)</f>
        <v>68</v>
      </c>
      <c r="K182" t="str">
        <f>IF(OR(VALUE(RIGHT(I182))=1, VALUE(RIGHT(I182))=3), "남", "여")</f>
        <v>여</v>
      </c>
      <c r="L182" t="s">
        <v>515</v>
      </c>
      <c r="M182" t="s">
        <v>596</v>
      </c>
      <c r="N182" t="s">
        <v>117</v>
      </c>
      <c r="O182" t="s">
        <v>597</v>
      </c>
      <c r="P182" t="str">
        <f>VLOOKUP(O182, '제품명'!$A$2:$E$5000, 5, FALSE)</f>
        <v>욕창예방 방석(피부 손상방지용 방석 및 깔개)</v>
      </c>
      <c r="Q182" t="s">
        <v>656</v>
      </c>
      <c r="R182" t="str">
        <f>VLOOKUP(P182, '품목명'!$C$4:$D$1500, 2, FALSE)</f>
        <v>ADL</v>
      </c>
      <c r="S182">
        <v>0</v>
      </c>
      <c r="T182">
        <v>0</v>
      </c>
      <c r="AJ182" t="s">
        <v>121</v>
      </c>
      <c r="AM182">
        <v>0</v>
      </c>
      <c r="AN182" t="s">
        <v>76</v>
      </c>
      <c r="AO182" t="s">
        <v>77</v>
      </c>
      <c r="AP182" t="s">
        <v>657</v>
      </c>
      <c r="AQ182" t="s">
        <v>658</v>
      </c>
    </row>
    <row r="183" spans="1:18" x14ac:dyDescent="0.25">
      <c r="A183">
        <v>20260429</v>
      </c>
      <c r="B183">
        <f>ROW(B183)-9</f>
        <v>174</v>
      </c>
      <c r="H183" t="s">
        <v>601</v>
      </c>
      <c r="I183" t="s">
        <v>659</v>
      </c>
      <c r="J183">
        <f>YEAR(TODAY())-VALUE(LEFT(I183,2))-IF(OR(VALUE(RIGHT(I183))=1, VALUE(RIGHT(I183))=2), 1900, 2000)</f>
        <v>72</v>
      </c>
      <c r="K183" t="str">
        <f>IF(OR(VALUE(RIGHT(I183))=1, VALUE(RIGHT(I183))=3), "남", "여")</f>
        <v>남</v>
      </c>
      <c r="L183" t="s">
        <v>515</v>
      </c>
      <c r="M183" t="s">
        <v>83</v>
      </c>
      <c r="N183" t="s">
        <v>117</v>
      </c>
      <c r="P183" t="str">
        <f>VLOOKUP(O183, '제품명'!$A$2:$E$5000, 5, FALSE)</f>
        <v>#N/A</v>
      </c>
      <c r="R183" t="str">
        <f>VLOOKUP(P183, '품목명'!$C$4:$D$1500, 2, FALSE)</f>
        <v>#N/A</v>
      </c>
    </row>
    <row r="184" spans="1:43" x14ac:dyDescent="0.25">
      <c r="A184">
        <v>20260429</v>
      </c>
      <c r="B184">
        <f>ROW(B184)-9</f>
        <v>175</v>
      </c>
      <c r="D184">
        <v>0</v>
      </c>
      <c r="F184">
        <v>26</v>
      </c>
      <c r="G184">
        <v>52</v>
      </c>
      <c r="H184" t="s">
        <v>603</v>
      </c>
      <c r="I184" t="s">
        <v>660</v>
      </c>
      <c r="J184">
        <f>YEAR(TODAY())-VALUE(LEFT(I184,2))-IF(OR(VALUE(RIGHT(I184))=1, VALUE(RIGHT(I184))=2), 1900, 2000)</f>
        <v>79</v>
      </c>
      <c r="K184" t="str">
        <f>IF(OR(VALUE(RIGHT(I184))=1, VALUE(RIGHT(I184))=3), "남", "여")</f>
        <v>여</v>
      </c>
      <c r="L184" t="s">
        <v>515</v>
      </c>
      <c r="M184" t="s">
        <v>116</v>
      </c>
      <c r="N184" t="s">
        <v>117</v>
      </c>
      <c r="O184" t="s">
        <v>605</v>
      </c>
      <c r="P184" t="s">
        <v>606</v>
      </c>
      <c r="Q184" t="s">
        <v>607</v>
      </c>
      <c r="R184" t="str">
        <f>VLOOKUP(P184, '품목명'!$C$4:$D$1500, 2, FALSE)</f>
        <v>S</v>
      </c>
      <c r="S184">
        <v>0</v>
      </c>
      <c r="T184">
        <v>0</v>
      </c>
      <c r="AJ184" t="s">
        <v>121</v>
      </c>
      <c r="AM184">
        <v>0</v>
      </c>
      <c r="AN184" t="s">
        <v>76</v>
      </c>
      <c r="AO184" t="s">
        <v>77</v>
      </c>
      <c r="AP184" t="s">
        <v>661</v>
      </c>
      <c r="AQ184" t="s">
        <v>662</v>
      </c>
    </row>
    <row r="185" spans="1:18" x14ac:dyDescent="0.25">
      <c r="A185">
        <v>20260429</v>
      </c>
      <c r="B185">
        <f>ROW(B185)-9</f>
        <v>176</v>
      </c>
      <c r="H185" t="s">
        <v>608</v>
      </c>
      <c r="I185" t="s">
        <v>663</v>
      </c>
      <c r="J185">
        <f>YEAR(TODAY())-VALUE(LEFT(I185,2))-IF(OR(VALUE(RIGHT(I185))=1, VALUE(RIGHT(I185))=2), 1900, 2000)</f>
        <v>89</v>
      </c>
      <c r="K185" t="str">
        <f>IF(OR(VALUE(RIGHT(I185))=1, VALUE(RIGHT(I185))=3), "남", "여")</f>
        <v>여</v>
      </c>
      <c r="L185" t="s">
        <v>515</v>
      </c>
      <c r="M185" t="s">
        <v>116</v>
      </c>
      <c r="N185" t="s">
        <v>117</v>
      </c>
      <c r="P185" t="str">
        <f>VLOOKUP(O185, '제품명'!$A$2:$E$5000, 5, FALSE)</f>
        <v>#N/A</v>
      </c>
      <c r="R185" t="str">
        <f>VLOOKUP(P185, '품목명'!$C$4:$D$1500, 2, FALSE)</f>
        <v>#N/A</v>
      </c>
    </row>
    <row r="186" spans="1:18" x14ac:dyDescent="0.25">
      <c r="A186">
        <v>20260429</v>
      </c>
      <c r="B186">
        <f>ROW(B186)-9</f>
        <v>177</v>
      </c>
      <c r="H186" t="s">
        <v>610</v>
      </c>
      <c r="I186" t="s">
        <v>664</v>
      </c>
      <c r="J186">
        <f>YEAR(TODAY())-VALUE(LEFT(I186,2))-IF(OR(VALUE(RIGHT(I186))=1, VALUE(RIGHT(I186))=2), 1900, 2000)</f>
        <v>74</v>
      </c>
      <c r="K186" t="str">
        <f>IF(OR(VALUE(RIGHT(I186))=1, VALUE(RIGHT(I186))=3), "남", "여")</f>
        <v>여</v>
      </c>
      <c r="L186" t="s">
        <v>515</v>
      </c>
      <c r="M186" t="s">
        <v>116</v>
      </c>
      <c r="N186" t="s">
        <v>117</v>
      </c>
      <c r="P186" t="str">
        <f>VLOOKUP(O186, '제품명'!$A$2:$E$5000, 5, FALSE)</f>
        <v>#N/A</v>
      </c>
      <c r="R186" t="str">
        <f>VLOOKUP(P186, '품목명'!$C$4:$D$1500, 2, FALSE)</f>
        <v>#N/A</v>
      </c>
    </row>
    <row r="187" spans="1:18" x14ac:dyDescent="0.25">
      <c r="A187">
        <v>20260429</v>
      </c>
      <c r="B187">
        <f>ROW(B187)-9</f>
        <v>178</v>
      </c>
      <c r="H187" t="s">
        <v>612</v>
      </c>
      <c r="I187" t="s">
        <v>665</v>
      </c>
      <c r="J187">
        <f>YEAR(TODAY())-VALUE(LEFT(I187,2))-IF(OR(VALUE(RIGHT(I187))=1, VALUE(RIGHT(I187))=2), 1900, 2000)</f>
        <v>58</v>
      </c>
      <c r="K187" t="str">
        <f>IF(OR(VALUE(RIGHT(I187))=1, VALUE(RIGHT(I187))=3), "남", "여")</f>
        <v>남</v>
      </c>
      <c r="L187" t="s">
        <v>515</v>
      </c>
      <c r="M187" t="s">
        <v>68</v>
      </c>
      <c r="N187" t="s">
        <v>117</v>
      </c>
      <c r="P187" t="str">
        <f>VLOOKUP(O187, '제품명'!$A$2:$E$5000, 5, FALSE)</f>
        <v>#N/A</v>
      </c>
      <c r="R187" t="str">
        <f>VLOOKUP(P187, '품목명'!$C$4:$D$1500, 2, FALSE)</f>
        <v>#N/A</v>
      </c>
    </row>
    <row r="188" spans="1:18" x14ac:dyDescent="0.25">
      <c r="A188">
        <v>20260429</v>
      </c>
      <c r="B188">
        <f>ROW(B188)-9</f>
        <v>179</v>
      </c>
      <c r="H188" t="s">
        <v>614</v>
      </c>
      <c r="I188" t="s">
        <v>666</v>
      </c>
      <c r="J188">
        <f>YEAR(TODAY())-VALUE(LEFT(I188,2))-IF(OR(VALUE(RIGHT(I188))=1, VALUE(RIGHT(I188))=2), 1900, 2000)</f>
        <v>63</v>
      </c>
      <c r="K188" t="str">
        <f>IF(OR(VALUE(RIGHT(I188))=1, VALUE(RIGHT(I188))=3), "남", "여")</f>
        <v>남</v>
      </c>
      <c r="L188" t="s">
        <v>515</v>
      </c>
      <c r="M188" t="s">
        <v>68</v>
      </c>
      <c r="N188" t="s">
        <v>117</v>
      </c>
      <c r="P188" t="str">
        <f>VLOOKUP(O188, '제품명'!$A$2:$E$5000, 5, FALSE)</f>
        <v>#N/A</v>
      </c>
      <c r="R188" t="str">
        <f>VLOOKUP(P188, '품목명'!$C$4:$D$1500, 2, FALSE)</f>
        <v>#N/A</v>
      </c>
    </row>
    <row r="189" spans="1:18" x14ac:dyDescent="0.25">
      <c r="A189">
        <v>20260429</v>
      </c>
      <c r="B189">
        <f>ROW(B189)-9</f>
        <v>180</v>
      </c>
      <c r="H189" t="s">
        <v>616</v>
      </c>
      <c r="I189" t="s">
        <v>667</v>
      </c>
      <c r="J189">
        <f>YEAR(TODAY())-VALUE(LEFT(I189,2))-IF(OR(VALUE(RIGHT(I189))=1, VALUE(RIGHT(I189))=2), 1900, 2000)</f>
        <v>66</v>
      </c>
      <c r="K189" t="str">
        <f>IF(OR(VALUE(RIGHT(I189))=1, VALUE(RIGHT(I189))=3), "남", "여")</f>
        <v>남</v>
      </c>
      <c r="L189" t="s">
        <v>515</v>
      </c>
      <c r="M189" t="s">
        <v>116</v>
      </c>
      <c r="N189" t="s">
        <v>117</v>
      </c>
      <c r="P189" t="str">
        <f>VLOOKUP(O189, '제품명'!$A$2:$E$5000, 5, FALSE)</f>
        <v>#N/A</v>
      </c>
      <c r="R189" t="str">
        <f>VLOOKUP(P189, '품목명'!$C$4:$D$1500, 2, FALSE)</f>
        <v>#N/A</v>
      </c>
    </row>
    <row r="190" spans="1:18" x14ac:dyDescent="0.25">
      <c r="A190">
        <v>20260429</v>
      </c>
      <c r="B190">
        <f>ROW(B190)-9</f>
        <v>181</v>
      </c>
      <c r="H190" t="s">
        <v>618</v>
      </c>
      <c r="I190" t="s">
        <v>668</v>
      </c>
      <c r="J190">
        <f>YEAR(TODAY())-VALUE(LEFT(I190,2))-IF(OR(VALUE(RIGHT(I190))=1, VALUE(RIGHT(I190))=2), 1900, 2000)</f>
        <v>88</v>
      </c>
      <c r="K190" t="str">
        <f>IF(OR(VALUE(RIGHT(I190))=1, VALUE(RIGHT(I190))=3), "남", "여")</f>
        <v>남</v>
      </c>
      <c r="L190" t="s">
        <v>515</v>
      </c>
      <c r="M190" t="s">
        <v>116</v>
      </c>
      <c r="N190" t="s">
        <v>117</v>
      </c>
      <c r="P190" t="str">
        <f>VLOOKUP(O190, '제품명'!$A$2:$E$5000, 5, FALSE)</f>
        <v>#N/A</v>
      </c>
      <c r="R190" t="str">
        <f>VLOOKUP(P190, '품목명'!$C$4:$D$1500, 2, FALSE)</f>
        <v>#N/A</v>
      </c>
    </row>
    <row r="191" spans="1:43" x14ac:dyDescent="0.25">
      <c r="A191">
        <v>20260429</v>
      </c>
      <c r="B191">
        <f>ROW(B191)-9</f>
        <v>182</v>
      </c>
      <c r="E191">
        <v>0</v>
      </c>
      <c r="F191">
        <v>23</v>
      </c>
      <c r="G191">
        <v>102</v>
      </c>
      <c r="H191" t="s">
        <v>190</v>
      </c>
      <c r="I191" t="s">
        <v>669</v>
      </c>
      <c r="J191">
        <f>YEAR(TODAY())-VALUE(LEFT(I191,2))-IF(OR(VALUE(RIGHT(I191))=1, VALUE(RIGHT(I191))=2), 1900, 2000)</f>
        <v>33</v>
      </c>
      <c r="K191" t="str">
        <f>IF(OR(VALUE(RIGHT(I191))=1, VALUE(RIGHT(I191))=3), "남", "여")</f>
        <v>남</v>
      </c>
      <c r="L191" t="s">
        <v>67</v>
      </c>
      <c r="M191" t="s">
        <v>83</v>
      </c>
      <c r="N191" t="s">
        <v>117</v>
      </c>
      <c r="O191" t="s">
        <v>620</v>
      </c>
      <c r="P191" t="s">
        <v>110</v>
      </c>
      <c r="Q191" t="s">
        <v>511</v>
      </c>
      <c r="R191" t="str">
        <f>VLOOKUP(P191, '품목명'!$C$4:$D$1500, 2, FALSE)</f>
        <v>WC</v>
      </c>
      <c r="S191">
        <v>0</v>
      </c>
      <c r="T191">
        <v>0</v>
      </c>
      <c r="X191">
        <v>0</v>
      </c>
      <c r="AJ191" t="s">
        <v>121</v>
      </c>
      <c r="AL191">
        <v>0</v>
      </c>
      <c r="AN191" t="s">
        <v>76</v>
      </c>
      <c r="AO191" t="s">
        <v>77</v>
      </c>
      <c r="AP191" t="s">
        <v>670</v>
      </c>
      <c r="AQ191" t="s">
        <v>671</v>
      </c>
    </row>
    <row r="192" spans="1:18" x14ac:dyDescent="0.25">
      <c r="A192">
        <v>20260410</v>
      </c>
      <c r="B192">
        <f>ROW(B192)-9</f>
        <v>183</v>
      </c>
      <c r="H192" t="s">
        <v>513</v>
      </c>
      <c r="I192" t="s">
        <v>672</v>
      </c>
      <c r="J192">
        <f>YEAR(TODAY())-VALUE(LEFT(I192,2))-IF(OR(VALUE(RIGHT(I192))=1, VALUE(RIGHT(I192))=2), 1900, 2000)</f>
        <v>55</v>
      </c>
      <c r="K192" t="str">
        <f>IF(OR(VALUE(RIGHT(I192))=1, VALUE(RIGHT(I192))=3), "남", "여")</f>
        <v>여</v>
      </c>
      <c r="L192" t="s">
        <v>515</v>
      </c>
      <c r="M192" t="s">
        <v>179</v>
      </c>
      <c r="N192" t="s">
        <v>117</v>
      </c>
      <c r="P192" t="str">
        <f>VLOOKUP(O192, '제품명'!$A$2:$E$5000, 5, FALSE)</f>
        <v>#N/A</v>
      </c>
      <c r="R192" t="str">
        <f>VLOOKUP(P192, '품목명'!$C$4:$D$1500, 2, FALSE)</f>
        <v>#N/A</v>
      </c>
    </row>
    <row r="193" spans="1:18" x14ac:dyDescent="0.25">
      <c r="A193">
        <v>20260430</v>
      </c>
      <c r="B193">
        <f>ROW(B193)-9</f>
        <v>184</v>
      </c>
      <c r="H193" t="s">
        <v>622</v>
      </c>
      <c r="I193" t="s">
        <v>673</v>
      </c>
      <c r="J193">
        <f>YEAR(TODAY())-VALUE(LEFT(I193,2))-IF(OR(VALUE(RIGHT(I193))=1, VALUE(RIGHT(I193))=2), 1900, 2000)</f>
        <v>55</v>
      </c>
      <c r="K193" t="str">
        <f>IF(OR(VALUE(RIGHT(I193))=1, VALUE(RIGHT(I193))=3), "남", "여")</f>
        <v>남</v>
      </c>
      <c r="L193" t="s">
        <v>515</v>
      </c>
      <c r="M193" t="s">
        <v>179</v>
      </c>
      <c r="N193" t="s">
        <v>117</v>
      </c>
      <c r="P193" t="str">
        <f>VLOOKUP(O193, '제품명'!$A$2:$E$5000, 5, FALSE)</f>
        <v>#N/A</v>
      </c>
      <c r="R193" t="str">
        <f>VLOOKUP(P193, '품목명'!$C$4:$D$1500, 2, FALSE)</f>
        <v>#N/A</v>
      </c>
    </row>
    <row r="194" spans="1:18" x14ac:dyDescent="0.25">
      <c r="A194">
        <v>20260430</v>
      </c>
      <c r="B194">
        <f>ROW(B194)-9</f>
        <v>185</v>
      </c>
      <c r="H194" t="s">
        <v>624</v>
      </c>
      <c r="I194" t="s">
        <v>674</v>
      </c>
      <c r="J194">
        <f>YEAR(TODAY())-VALUE(LEFT(I194,2))-IF(OR(VALUE(RIGHT(I194))=1, VALUE(RIGHT(I194))=2), 1900, 2000)</f>
        <v>79</v>
      </c>
      <c r="K194" t="str">
        <f>IF(OR(VALUE(RIGHT(I194))=1, VALUE(RIGHT(I194))=3), "남", "여")</f>
        <v>여</v>
      </c>
      <c r="L194" t="s">
        <v>515</v>
      </c>
      <c r="M194" t="s">
        <v>116</v>
      </c>
      <c r="N194" t="s">
        <v>117</v>
      </c>
      <c r="P194" t="str">
        <f>VLOOKUP(O194, '제품명'!$A$2:$E$5000, 5, FALSE)</f>
        <v>#N/A</v>
      </c>
      <c r="R194" t="str">
        <f>VLOOKUP(P194, '품목명'!$C$4:$D$1500, 2, FALSE)</f>
        <v>#N/A</v>
      </c>
    </row>
    <row r="195" spans="1:18" x14ac:dyDescent="0.25">
      <c r="A195">
        <v>20260430</v>
      </c>
      <c r="B195">
        <f>ROW(B195)-9</f>
        <v>186</v>
      </c>
      <c r="H195" t="s">
        <v>626</v>
      </c>
      <c r="I195" t="s">
        <v>675</v>
      </c>
      <c r="J195">
        <f>YEAR(TODAY())-VALUE(LEFT(I195,2))-IF(OR(VALUE(RIGHT(I195))=1, VALUE(RIGHT(I195))=2), 1900, 2000)</f>
        <v>77</v>
      </c>
      <c r="K195" t="str">
        <f>IF(OR(VALUE(RIGHT(I195))=1, VALUE(RIGHT(I195))=3), "남", "여")</f>
        <v>남</v>
      </c>
      <c r="L195" t="s">
        <v>515</v>
      </c>
      <c r="M195" t="s">
        <v>83</v>
      </c>
      <c r="N195" t="s">
        <v>117</v>
      </c>
      <c r="P195" t="str">
        <f>VLOOKUP(O195, '제품명'!$A$2:$E$5000, 5, FALSE)</f>
        <v>#N/A</v>
      </c>
      <c r="R195" t="str">
        <f>VLOOKUP(P195, '품목명'!$C$4:$D$1500, 2, FALSE)</f>
        <v>#N/A</v>
      </c>
    </row>
    <row r="196" spans="1:18" x14ac:dyDescent="0.25">
      <c r="A196">
        <v>20260430</v>
      </c>
      <c r="B196">
        <f>ROW(B196)-9</f>
        <v>187</v>
      </c>
      <c r="H196" t="s">
        <v>628</v>
      </c>
      <c r="I196" t="s">
        <v>676</v>
      </c>
      <c r="J196">
        <f>YEAR(TODAY())-VALUE(LEFT(I196,2))-IF(OR(VALUE(RIGHT(I196))=1, VALUE(RIGHT(I196))=2), 1900, 2000)</f>
        <v>89</v>
      </c>
      <c r="K196" t="str">
        <f>IF(OR(VALUE(RIGHT(I196))=1, VALUE(RIGHT(I196))=3), "남", "여")</f>
        <v>여</v>
      </c>
      <c r="L196" t="s">
        <v>515</v>
      </c>
      <c r="M196" t="s">
        <v>68</v>
      </c>
      <c r="N196" t="s">
        <v>117</v>
      </c>
      <c r="P196" t="str">
        <f>VLOOKUP(O196, '제품명'!$A$2:$E$5000, 5, FALSE)</f>
        <v>#N/A</v>
      </c>
      <c r="R196" t="str">
        <f>VLOOKUP(P196, '품목명'!$C$4:$D$1500, 2, FALSE)</f>
        <v>#N/A</v>
      </c>
    </row>
    <row r="197" spans="1:43" x14ac:dyDescent="0.25">
      <c r="A197">
        <v>20260430</v>
      </c>
      <c r="B197">
        <f>ROW(B197)-9</f>
        <v>188</v>
      </c>
      <c r="D197">
        <v>0</v>
      </c>
      <c r="H197" t="s">
        <v>630</v>
      </c>
      <c r="I197" t="s">
        <v>677</v>
      </c>
      <c r="J197">
        <f>YEAR(TODAY())-VALUE(LEFT(I197,2))-IF(OR(VALUE(RIGHT(I197))=1, VALUE(RIGHT(I197))=2), 1900, 2000)</f>
        <v>90</v>
      </c>
      <c r="K197" t="str">
        <f>IF(OR(VALUE(RIGHT(I197))=1, VALUE(RIGHT(I197))=3), "남", "여")</f>
        <v>여</v>
      </c>
      <c r="L197" t="s">
        <v>515</v>
      </c>
      <c r="M197" t="s">
        <v>68</v>
      </c>
      <c r="N197" t="s">
        <v>117</v>
      </c>
      <c r="O197" t="s">
        <v>632</v>
      </c>
      <c r="P197" t="str">
        <f>VLOOKUP(O197, '제품명'!$A$2:$E$5000, 5, FALSE)</f>
        <v>이동변기(변기 겸용 의자)</v>
      </c>
      <c r="Q197" t="s">
        <v>634</v>
      </c>
      <c r="R197" t="str">
        <f>VLOOKUP(P197, '품목명'!$C$4:$D$1500, 2, FALSE)</f>
        <v>ADL</v>
      </c>
      <c r="S197">
        <v>0</v>
      </c>
      <c r="T197">
        <v>0</v>
      </c>
      <c r="X197">
        <v>0</v>
      </c>
      <c r="AM197">
        <v>0</v>
      </c>
      <c r="AO197" t="s">
        <v>562</v>
      </c>
      <c r="AP197" t="s">
        <v>678</v>
      </c>
      <c r="AQ197" t="s">
        <v>679</v>
      </c>
    </row>
    <row r="198" spans="1:43" x14ac:dyDescent="0.25">
      <c r="A198">
        <v>20260430</v>
      </c>
      <c r="B198">
        <f>ROW(B198)-9</f>
        <v>189</v>
      </c>
      <c r="D198">
        <v>0</v>
      </c>
      <c r="H198" t="s">
        <v>635</v>
      </c>
      <c r="I198" t="s">
        <v>680</v>
      </c>
      <c r="J198">
        <f>YEAR(TODAY())-VALUE(LEFT(I198,2))-IF(OR(VALUE(RIGHT(I198))=1, VALUE(RIGHT(I198))=2), 1900, 2000)</f>
        <v>40</v>
      </c>
      <c r="K198" t="str">
        <f>IF(OR(VALUE(RIGHT(I198))=1, VALUE(RIGHT(I198))=3), "남", "여")</f>
        <v>남</v>
      </c>
      <c r="L198" t="s">
        <v>515</v>
      </c>
      <c r="M198" t="s">
        <v>179</v>
      </c>
      <c r="N198" t="s">
        <v>117</v>
      </c>
      <c r="O198" t="s">
        <v>637</v>
      </c>
      <c r="P198" t="str">
        <f>VLOOKUP(O198, '제품명'!$A$2:$E$5000, 5, FALSE)</f>
        <v>DAISY 플레이어 및 전자책 리더</v>
      </c>
      <c r="Q198" t="s">
        <v>639</v>
      </c>
      <c r="R198" t="str">
        <f>VLOOKUP(P198, '품목명'!$C$4:$D$1500, 2, FALSE)</f>
        <v>S</v>
      </c>
      <c r="S198">
        <v>0</v>
      </c>
      <c r="T198">
        <v>0</v>
      </c>
      <c r="X198">
        <v>0</v>
      </c>
      <c r="AM198">
        <v>0</v>
      </c>
      <c r="AO198" t="s">
        <v>562</v>
      </c>
      <c r="AP198" t="s">
        <v>681</v>
      </c>
      <c r="AQ198" t="s">
        <v>682</v>
      </c>
    </row>
    <row r="199" spans="1:18" x14ac:dyDescent="0.25">
      <c r="A199">
        <v>20260430</v>
      </c>
      <c r="B199">
        <f>ROW(B199)-9</f>
        <v>190</v>
      </c>
      <c r="H199" t="s">
        <v>640</v>
      </c>
      <c r="I199" t="s">
        <v>683</v>
      </c>
      <c r="J199">
        <f>YEAR(TODAY())-VALUE(LEFT(I199,2))-IF(OR(VALUE(RIGHT(I199))=1, VALUE(RIGHT(I199))=2), 1900, 2000)</f>
        <v>66</v>
      </c>
      <c r="K199" t="str">
        <f>IF(OR(VALUE(RIGHT(I199))=1, VALUE(RIGHT(I199))=3), "남", "여")</f>
        <v>남</v>
      </c>
      <c r="L199" t="s">
        <v>515</v>
      </c>
      <c r="M199" t="s">
        <v>116</v>
      </c>
      <c r="N199" t="s">
        <v>117</v>
      </c>
      <c r="P199" t="str">
        <f>VLOOKUP(O199, '제품명'!$A$2:$E$5000, 5, FALSE)</f>
        <v>#N/A</v>
      </c>
      <c r="R199" t="str">
        <f>VLOOKUP(P199, '품목명'!$C$4:$D$1500, 2, FALSE)</f>
        <v>#N/A</v>
      </c>
    </row>
    <row r="200" spans="1:18" x14ac:dyDescent="0.25">
      <c r="A200">
        <v>20260430</v>
      </c>
      <c r="B200">
        <f>ROW(B200)-9</f>
        <v>191</v>
      </c>
      <c r="H200" t="s">
        <v>642</v>
      </c>
      <c r="I200" t="s">
        <v>684</v>
      </c>
      <c r="J200">
        <f>YEAR(TODAY())-VALUE(LEFT(I200,2))-IF(OR(VALUE(RIGHT(I200))=1, VALUE(RIGHT(I200))=2), 1900, 2000)</f>
        <v>45</v>
      </c>
      <c r="K200" t="str">
        <f>IF(OR(VALUE(RIGHT(I200))=1, VALUE(RIGHT(I200))=3), "남", "여")</f>
        <v>남</v>
      </c>
      <c r="L200" t="s">
        <v>515</v>
      </c>
      <c r="M200" t="s">
        <v>68</v>
      </c>
      <c r="N200" t="s">
        <v>117</v>
      </c>
      <c r="P200" t="str">
        <f>VLOOKUP(O200, '제품명'!$A$2:$E$5000, 5, FALSE)</f>
        <v>#N/A</v>
      </c>
      <c r="R200" t="str">
        <f>VLOOKUP(P200, '품목명'!$C$4:$D$1500, 2, FALSE)</f>
        <v>#N/A</v>
      </c>
    </row>
    <row r="201" spans="2:18" x14ac:dyDescent="0.25">
      <c r="B201">
        <f>ROW(B201)-9</f>
        <v>192</v>
      </c>
      <c r="J201">
        <f>YEAR(TODAY())-VALUE(LEFT(I201,2))-IF(OR(VALUE(RIGHT(I201))=1, VALUE(RIGHT(I201))=2), 1900, 2000)</f>
        <v>26</v>
      </c>
      <c r="K201" t="str">
        <f>IF(OR(VALUE(RIGHT(I201))=1, VALUE(RIGHT(I201))=3), "남", "여")</f>
        <v>여</v>
      </c>
      <c r="P201" t="str">
        <f>VLOOKUP(O201, '제품명'!$A$2:$E$5000, 5, FALSE)</f>
        <v>#N/A</v>
      </c>
      <c r="R201" t="str">
        <f>VLOOKUP(P201, '품목명'!$C$4:$D$1500, 2, FALSE)</f>
        <v>#N/A</v>
      </c>
    </row>
    <row r="202" spans="2:18" x14ac:dyDescent="0.25">
      <c r="B202">
        <f>ROW(B202)-9</f>
        <v>193</v>
      </c>
      <c r="J202">
        <f>YEAR(TODAY())-VALUE(LEFT(I202,2))-IF(OR(VALUE(RIGHT(I202))=1, VALUE(RIGHT(I202))=2), 1900, 2000)</f>
        <v>26</v>
      </c>
      <c r="K202" t="str">
        <f>IF(OR(VALUE(RIGHT(I202))=1, VALUE(RIGHT(I202))=3), "남", "여")</f>
        <v>여</v>
      </c>
      <c r="P202" t="str">
        <f>VLOOKUP(O202, '제품명'!$A$2:$E$5000, 5, FALSE)</f>
        <v>#N/A</v>
      </c>
      <c r="R202" t="str">
        <f>VLOOKUP(P202, '품목명'!$C$4:$D$1500, 2, FALSE)</f>
        <v>#N/A</v>
      </c>
    </row>
    <row r="203" spans="2:18" x14ac:dyDescent="0.25">
      <c r="B203">
        <f>ROW(B203)-9</f>
        <v>194</v>
      </c>
      <c r="J203">
        <f>YEAR(TODAY())-VALUE(LEFT(I203,2))-IF(OR(VALUE(RIGHT(I203))=1, VALUE(RIGHT(I203))=2), 1900, 2000)</f>
        <v>26</v>
      </c>
      <c r="K203" t="str">
        <f>IF(OR(VALUE(RIGHT(I203))=1, VALUE(RIGHT(I203))=3), "남", "여")</f>
        <v>여</v>
      </c>
      <c r="P203" t="str">
        <f>VLOOKUP(O203, '제품명'!$A$2:$E$5000, 5, FALSE)</f>
        <v>#N/A</v>
      </c>
      <c r="R203" t="str">
        <f>VLOOKUP(P203, '품목명'!$C$4:$D$1500, 2, FALSE)</f>
        <v>#N/A</v>
      </c>
    </row>
    <row r="204" spans="2:18" x14ac:dyDescent="0.25">
      <c r="B204">
        <f>ROW(B204)-9</f>
        <v>195</v>
      </c>
      <c r="J204">
        <f>YEAR(TODAY())-VALUE(LEFT(I204,2))-IF(OR(VALUE(RIGHT(I204))=1, VALUE(RIGHT(I204))=2), 1900, 2000)</f>
        <v>26</v>
      </c>
      <c r="K204" t="str">
        <f>IF(OR(VALUE(RIGHT(I204))=1, VALUE(RIGHT(I204))=3), "남", "여")</f>
        <v>여</v>
      </c>
      <c r="P204" t="str">
        <f>VLOOKUP(O204, '제품명'!$A$2:$E$5000, 5, FALSE)</f>
        <v>#N/A</v>
      </c>
      <c r="R204" t="str">
        <f>VLOOKUP(P204, '품목명'!$C$4:$D$1500, 2, FALSE)</f>
        <v>#N/A</v>
      </c>
    </row>
    <row r="205" spans="2:18" x14ac:dyDescent="0.25">
      <c r="B205">
        <f>ROW(B205)-9</f>
        <v>196</v>
      </c>
      <c r="J205">
        <f>YEAR(TODAY())-VALUE(LEFT(I205,2))-IF(OR(VALUE(RIGHT(I205))=1, VALUE(RIGHT(I205))=2), 1900, 2000)</f>
        <v>26</v>
      </c>
      <c r="K205" t="str">
        <f>IF(OR(VALUE(RIGHT(I205))=1, VALUE(RIGHT(I205))=3), "남", "여")</f>
        <v>여</v>
      </c>
      <c r="P205" t="str">
        <f>VLOOKUP(O205, '제품명'!$A$2:$E$5000, 5, FALSE)</f>
        <v>#N/A</v>
      </c>
      <c r="R205" t="str">
        <f>VLOOKUP(P205, '품목명'!$C$4:$D$1500, 2, FALSE)</f>
        <v>#N/A</v>
      </c>
    </row>
    <row r="206" spans="2:18" x14ac:dyDescent="0.25">
      <c r="B206">
        <f>ROW(B206)-9</f>
        <v>197</v>
      </c>
      <c r="J206">
        <f>YEAR(TODAY())-VALUE(LEFT(I206,2))-IF(OR(VALUE(RIGHT(I206))=1, VALUE(RIGHT(I206))=2), 1900, 2000)</f>
        <v>26</v>
      </c>
      <c r="K206" t="str">
        <f>IF(OR(VALUE(RIGHT(I206))=1, VALUE(RIGHT(I206))=3), "남", "여")</f>
        <v>여</v>
      </c>
      <c r="P206" t="str">
        <f>VLOOKUP(O206, '제품명'!$A$2:$E$5000, 5, FALSE)</f>
        <v>#N/A</v>
      </c>
      <c r="R206" t="str">
        <f>VLOOKUP(P206, '품목명'!$C$4:$D$1500, 2, FALSE)</f>
        <v>#N/A</v>
      </c>
    </row>
    <row r="207" spans="2:18" x14ac:dyDescent="0.25">
      <c r="B207">
        <f>ROW(B207)-9</f>
        <v>198</v>
      </c>
      <c r="J207">
        <f>YEAR(TODAY())-VALUE(LEFT(I207,2))-IF(OR(VALUE(RIGHT(I207))=1, VALUE(RIGHT(I207))=2), 1900, 2000)</f>
        <v>26</v>
      </c>
      <c r="K207" t="str">
        <f>IF(OR(VALUE(RIGHT(I207))=1, VALUE(RIGHT(I207))=3), "남", "여")</f>
        <v>여</v>
      </c>
      <c r="P207" t="str">
        <f>VLOOKUP(O207, '제품명'!$A$2:$E$5000, 5, FALSE)</f>
        <v>#N/A</v>
      </c>
      <c r="R207" t="str">
        <f>VLOOKUP(P207, '품목명'!$C$4:$D$1500, 2, FALSE)</f>
        <v>#N/A</v>
      </c>
    </row>
    <row r="208" spans="2:18" x14ac:dyDescent="0.25">
      <c r="B208">
        <f>ROW(B208)-9</f>
        <v>199</v>
      </c>
      <c r="J208">
        <f>YEAR(TODAY())-VALUE(LEFT(I208,2))-IF(OR(VALUE(RIGHT(I208))=1, VALUE(RIGHT(I208))=2), 1900, 2000)</f>
        <v>26</v>
      </c>
      <c r="K208" t="str">
        <f>IF(OR(VALUE(RIGHT(I208))=1, VALUE(RIGHT(I208))=3), "남", "여")</f>
        <v>여</v>
      </c>
      <c r="P208" t="str">
        <f>VLOOKUP(O208, '제품명'!$A$2:$E$5000, 5, FALSE)</f>
        <v>#N/A</v>
      </c>
      <c r="R208" t="str">
        <f>VLOOKUP(P208, '품목명'!$C$4:$D$1500, 2, FALSE)</f>
        <v>#N/A</v>
      </c>
    </row>
    <row r="209" spans="2:18" x14ac:dyDescent="0.25">
      <c r="B209">
        <f>ROW(B209)-9</f>
        <v>200</v>
      </c>
      <c r="J209">
        <f>YEAR(TODAY())-VALUE(LEFT(I209,2))-IF(OR(VALUE(RIGHT(I209))=1, VALUE(RIGHT(I209))=2), 1900, 2000)</f>
        <v>26</v>
      </c>
      <c r="K209" t="str">
        <f>IF(OR(VALUE(RIGHT(I209))=1, VALUE(RIGHT(I209))=3), "남", "여")</f>
        <v>여</v>
      </c>
      <c r="P209" t="str">
        <f>VLOOKUP(O209, '제품명'!$A$2:$E$5000, 5, FALSE)</f>
        <v>#N/A</v>
      </c>
      <c r="R209" t="str">
        <f>VLOOKUP(P209, '품목명'!$C$4:$D$1500, 2, FALSE)</f>
        <v>#N/A</v>
      </c>
    </row>
    <row r="210" spans="2:18" x14ac:dyDescent="0.25">
      <c r="B210">
        <f>ROW(B210)-9</f>
        <v>201</v>
      </c>
      <c r="J210">
        <f>YEAR(TODAY())-VALUE(LEFT(I210,2))-IF(OR(VALUE(RIGHT(I210))=1, VALUE(RIGHT(I210))=2), 1900, 2000)</f>
        <v>26</v>
      </c>
      <c r="K210" t="str">
        <f>IF(OR(VALUE(RIGHT(I210))=1, VALUE(RIGHT(I210))=3), "남", "여")</f>
        <v>여</v>
      </c>
      <c r="P210" t="str">
        <f>VLOOKUP(O210, '제품명'!$A$2:$E$5000, 5, FALSE)</f>
        <v>#N/A</v>
      </c>
      <c r="R210" t="str">
        <f>VLOOKUP(P210, '품목명'!$C$4:$D$1500, 2, FALSE)</f>
        <v>#N/A</v>
      </c>
    </row>
    <row r="211" spans="2:18" x14ac:dyDescent="0.25">
      <c r="B211">
        <f>ROW(B211)-9</f>
        <v>202</v>
      </c>
      <c r="J211">
        <f>YEAR(TODAY())-VALUE(LEFT(I211,2))-IF(OR(VALUE(RIGHT(I211))=1, VALUE(RIGHT(I211))=2), 1900, 2000)</f>
        <v>26</v>
      </c>
      <c r="K211" t="str">
        <f>IF(OR(VALUE(RIGHT(I211))=1, VALUE(RIGHT(I211))=3), "남", "여")</f>
        <v>여</v>
      </c>
      <c r="P211" t="str">
        <f>VLOOKUP(O211, '제품명'!$A$2:$E$5000, 5, FALSE)</f>
        <v>#N/A</v>
      </c>
      <c r="R211" t="str">
        <f>VLOOKUP(P211, '품목명'!$C$4:$D$1500, 2, FALSE)</f>
        <v>#N/A</v>
      </c>
    </row>
    <row r="212" spans="2:18" x14ac:dyDescent="0.25">
      <c r="B212">
        <f>ROW(B212)-9</f>
        <v>203</v>
      </c>
      <c r="J212">
        <f>YEAR(TODAY())-VALUE(LEFT(I212,2))-IF(OR(VALUE(RIGHT(I212))=1, VALUE(RIGHT(I212))=2), 1900, 2000)</f>
        <v>26</v>
      </c>
      <c r="K212" t="str">
        <f>IF(OR(VALUE(RIGHT(I212))=1, VALUE(RIGHT(I212))=3), "남", "여")</f>
        <v>여</v>
      </c>
      <c r="P212" t="str">
        <f>VLOOKUP(O212, '제품명'!$A$2:$E$5000, 5, FALSE)</f>
        <v>#N/A</v>
      </c>
      <c r="R212" t="str">
        <f>VLOOKUP(P212, '품목명'!$C$4:$D$1500, 2, FALSE)</f>
        <v>#N/A</v>
      </c>
    </row>
    <row r="213" spans="2:18" x14ac:dyDescent="0.25">
      <c r="B213">
        <f>ROW(B213)-9</f>
        <v>204</v>
      </c>
      <c r="J213">
        <f>YEAR(TODAY())-VALUE(LEFT(I213,2))-IF(OR(VALUE(RIGHT(I213))=1, VALUE(RIGHT(I213))=2), 1900, 2000)</f>
        <v>26</v>
      </c>
      <c r="K213" t="str">
        <f>IF(OR(VALUE(RIGHT(I213))=1, VALUE(RIGHT(I213))=3), "남", "여")</f>
        <v>여</v>
      </c>
      <c r="P213" t="str">
        <f>VLOOKUP(O213, '제품명'!$A$2:$E$5000, 5, FALSE)</f>
        <v>#N/A</v>
      </c>
      <c r="R213" t="str">
        <f>VLOOKUP(P213, '품목명'!$C$4:$D$1500, 2, FALSE)</f>
        <v>#N/A</v>
      </c>
    </row>
    <row r="214" spans="2:16" x14ac:dyDescent="0.25">
      <c r="B214">
        <f>ROW(B214)-9</f>
        <v>205</v>
      </c>
      <c r="J214">
        <f>YEAR(TODAY())-VALUE(LEFT(I214,2))-IF(OR(VALUE(RIGHT(I214))=1, VALUE(RIGHT(I214))=2), 1900, 2000)</f>
        <v>26</v>
      </c>
      <c r="K214" t="str">
        <f>IF(OR(VALUE(RIGHT(I214))=1, VALUE(RIGHT(I214))=3), "남", "여")</f>
        <v>여</v>
      </c>
      <c r="P214" t="str">
        <f>VLOOKUP(O214, '제품명'!$A$2:$E$5000, 5, FALSE)</f>
        <v>#N/A</v>
      </c>
    </row>
    <row r="215" spans="2:11" x14ac:dyDescent="0.25">
      <c r="B215">
        <f>ROW(B215)-9</f>
        <v>206</v>
      </c>
      <c r="J215">
        <f>YEAR(TODAY())-VALUE(LEFT(I215,2))-IF(OR(VALUE(RIGHT(I215))=1, VALUE(RIGHT(I215))=2), 1900, 2000)</f>
        <v>26</v>
      </c>
      <c r="K215" t="str">
        <f>IF(OR(VALUE(RIGHT(I215))=1, VALUE(RIGHT(I215))=3), "남", "여")</f>
        <v>여</v>
      </c>
    </row>
    <row r="216" spans="2:11" x14ac:dyDescent="0.25">
      <c r="B216">
        <f>ROW(B216)-9</f>
        <v>207</v>
      </c>
      <c r="J216">
        <f>YEAR(TODAY())-VALUE(LEFT(I216,2))-IF(OR(VALUE(RIGHT(I216))=1, VALUE(RIGHT(I216))=2), 1900, 2000)</f>
        <v>26</v>
      </c>
      <c r="K216" t="str">
        <f>IF(OR(VALUE(RIGHT(I216))=1, VALUE(RIGHT(I216))=3), "남", "여")</f>
        <v>여</v>
      </c>
    </row>
    <row r="217" spans="2:11" x14ac:dyDescent="0.25">
      <c r="B217">
        <f>ROW(B217)-9</f>
        <v>208</v>
      </c>
      <c r="J217">
        <f>YEAR(TODAY())-VALUE(LEFT(I217,2))-IF(OR(VALUE(RIGHT(I217))=1, VALUE(RIGHT(I217))=2), 1900, 2000)</f>
        <v>26</v>
      </c>
      <c r="K217" t="str">
        <f>IF(OR(VALUE(RIGHT(I217))=1, VALUE(RIGHT(I217))=3), "남", "여")</f>
        <v>여</v>
      </c>
    </row>
    <row r="218" spans="2:11" x14ac:dyDescent="0.25">
      <c r="B218">
        <f>ROW(B218)-9</f>
        <v>209</v>
      </c>
      <c r="J218">
        <f>YEAR(TODAY())-VALUE(LEFT(I218,2))-IF(OR(VALUE(RIGHT(I218))=1, VALUE(RIGHT(I218))=2), 1900, 2000)</f>
        <v>26</v>
      </c>
      <c r="K218" t="str">
        <f>IF(OR(VALUE(RIGHT(I218))=1, VALUE(RIGHT(I218))=3), "남", "여")</f>
        <v>여</v>
      </c>
    </row>
    <row r="219" spans="2:11" x14ac:dyDescent="0.25">
      <c r="B219">
        <f>ROW(B219)-9</f>
        <v>210</v>
      </c>
      <c r="J219">
        <f>YEAR(TODAY())-VALUE(LEFT(I219,2))-IF(OR(VALUE(RIGHT(I219))=1, VALUE(RIGHT(I219))=2), 1900, 2000)</f>
        <v>26</v>
      </c>
      <c r="K219" t="str">
        <f>IF(OR(VALUE(RIGHT(I219))=1, VALUE(RIGHT(I219))=3), "남", "여")</f>
        <v>여</v>
      </c>
    </row>
    <row r="220" spans="2:11" x14ac:dyDescent="0.25">
      <c r="B220">
        <f>ROW(B220)-9</f>
        <v>211</v>
      </c>
      <c r="J220">
        <f>YEAR(TODAY())-VALUE(LEFT(I220,2))-IF(OR(VALUE(RIGHT(I220))=1, VALUE(RIGHT(I220))=2), 1900, 2000)</f>
        <v>26</v>
      </c>
      <c r="K220" t="str">
        <f>IF(OR(VALUE(RIGHT(I220))=1, VALUE(RIGHT(I220))=3), "남", "여")</f>
        <v>여</v>
      </c>
    </row>
    <row r="221" spans="2:11" x14ac:dyDescent="0.25">
      <c r="B221">
        <f>ROW(B221)-9</f>
        <v>212</v>
      </c>
      <c r="J221">
        <f>YEAR(TODAY())-VALUE(LEFT(I221,2))-IF(OR(VALUE(RIGHT(I221))=1, VALUE(RIGHT(I221))=2), 1900, 2000)</f>
        <v>26</v>
      </c>
      <c r="K221" t="str">
        <f>IF(OR(VALUE(RIGHT(I221))=1, VALUE(RIGHT(I221))=3), "남", "여")</f>
        <v>여</v>
      </c>
    </row>
    <row r="222" spans="2:11" x14ac:dyDescent="0.25">
      <c r="B222">
        <f>ROW(B222)-9</f>
        <v>213</v>
      </c>
      <c r="J222">
        <f>YEAR(TODAY())-VALUE(LEFT(I222,2))-IF(OR(VALUE(RIGHT(I222))=1, VALUE(RIGHT(I222))=2), 1900, 2000)</f>
        <v>26</v>
      </c>
      <c r="K222" t="str">
        <f>IF(OR(VALUE(RIGHT(I222))=1, VALUE(RIGHT(I222))=3), "남", "여")</f>
        <v>여</v>
      </c>
    </row>
    <row r="223" spans="2:11" x14ac:dyDescent="0.25">
      <c r="B223">
        <f>ROW(B223)-9</f>
        <v>214</v>
      </c>
      <c r="J223">
        <f>YEAR(TODAY())-VALUE(LEFT(I223,2))-IF(OR(VALUE(RIGHT(I223))=1, VALUE(RIGHT(I223))=2), 1900, 2000)</f>
        <v>26</v>
      </c>
      <c r="K223" t="str">
        <f>IF(OR(VALUE(RIGHT(I223))=1, VALUE(RIGHT(I223))=3), "남", "여")</f>
        <v>여</v>
      </c>
    </row>
    <row r="224" spans="2:11" x14ac:dyDescent="0.25">
      <c r="B224">
        <f>ROW(B224)-9</f>
        <v>215</v>
      </c>
      <c r="J224">
        <f>YEAR(TODAY())-VALUE(LEFT(I224,2))-IF(OR(VALUE(RIGHT(I224))=1, VALUE(RIGHT(I224))=2), 1900, 2000)</f>
        <v>26</v>
      </c>
      <c r="K224" t="str">
        <f>IF(OR(VALUE(RIGHT(I224))=1, VALUE(RIGHT(I224))=3), "남", "여")</f>
        <v>여</v>
      </c>
    </row>
    <row r="225" spans="2:11" x14ac:dyDescent="0.25">
      <c r="B225">
        <f>ROW(B225)-9</f>
        <v>216</v>
      </c>
      <c r="J225">
        <f>YEAR(TODAY())-VALUE(LEFT(I225,2))-IF(OR(VALUE(RIGHT(I225))=1, VALUE(RIGHT(I225))=2), 1900, 2000)</f>
        <v>26</v>
      </c>
      <c r="K225" t="str">
        <f>IF(OR(VALUE(RIGHT(I225))=1, VALUE(RIGHT(I225))=3), "남", "여")</f>
        <v>여</v>
      </c>
    </row>
    <row r="226" spans="2:11" x14ac:dyDescent="0.25">
      <c r="B226">
        <f>ROW(B226)-9</f>
        <v>217</v>
      </c>
      <c r="J226">
        <f>YEAR(TODAY())-VALUE(LEFT(I226,2))-IF(OR(VALUE(RIGHT(I226))=1, VALUE(RIGHT(I226))=2), 1900, 2000)</f>
        <v>26</v>
      </c>
      <c r="K226" t="str">
        <f>IF(OR(VALUE(RIGHT(I226))=1, VALUE(RIGHT(I226))=3), "남", "여")</f>
        <v>여</v>
      </c>
    </row>
    <row r="227" spans="2:11" x14ac:dyDescent="0.25">
      <c r="B227">
        <f>ROW(B227)-9</f>
        <v>218</v>
      </c>
      <c r="J227">
        <f>YEAR(TODAY())-VALUE(LEFT(I227,2))-IF(OR(VALUE(RIGHT(I227))=1, VALUE(RIGHT(I227))=2), 1900, 2000)</f>
        <v>26</v>
      </c>
      <c r="K227" t="str">
        <f>IF(OR(VALUE(RIGHT(I227))=1, VALUE(RIGHT(I227))=3), "남", "여")</f>
        <v>여</v>
      </c>
    </row>
    <row r="228" spans="2:11" x14ac:dyDescent="0.25">
      <c r="B228">
        <f>ROW(B228)-9</f>
        <v>219</v>
      </c>
      <c r="J228">
        <f>YEAR(TODAY())-VALUE(LEFT(I228,2))-IF(OR(VALUE(RIGHT(I228))=1, VALUE(RIGHT(I228))=2), 1900, 2000)</f>
        <v>26</v>
      </c>
      <c r="K228" t="str">
        <f>IF(OR(VALUE(RIGHT(I228))=1, VALUE(RIGHT(I228))=3), "남", "여")</f>
        <v>여</v>
      </c>
    </row>
    <row r="229" spans="2:11" x14ac:dyDescent="0.25">
      <c r="B229">
        <f>ROW(B229)-9</f>
        <v>220</v>
      </c>
      <c r="J229">
        <f>YEAR(TODAY())-VALUE(LEFT(I229,2))-IF(OR(VALUE(RIGHT(I229))=1, VALUE(RIGHT(I229))=2), 1900, 2000)</f>
        <v>26</v>
      </c>
      <c r="K229" t="str">
        <f>IF(OR(VALUE(RIGHT(I229))=1, VALUE(RIGHT(I229))=3), "남", "여")</f>
        <v>여</v>
      </c>
    </row>
    <row r="230" spans="2:11" x14ac:dyDescent="0.25">
      <c r="B230">
        <f>ROW(B230)-9</f>
        <v>221</v>
      </c>
      <c r="J230">
        <f>YEAR(TODAY())-VALUE(LEFT(I230,2))-IF(OR(VALUE(RIGHT(I230))=1, VALUE(RIGHT(I230))=2), 1900, 2000)</f>
        <v>26</v>
      </c>
      <c r="K230" t="str">
        <f>IF(OR(VALUE(RIGHT(I230))=1, VALUE(RIGHT(I230))=3), "남", "여")</f>
        <v>여</v>
      </c>
    </row>
    <row r="231" spans="2:11" x14ac:dyDescent="0.25">
      <c r="B231">
        <f>ROW(B231)-9</f>
        <v>222</v>
      </c>
      <c r="J231">
        <f>YEAR(TODAY())-VALUE(LEFT(I231,2))-IF(OR(VALUE(RIGHT(I231))=1, VALUE(RIGHT(I231))=2), 1900, 2000)</f>
        <v>26</v>
      </c>
      <c r="K231" t="str">
        <f>IF(OR(VALUE(RIGHT(I231))=1, VALUE(RIGHT(I231))=3), "남", "여")</f>
        <v>여</v>
      </c>
    </row>
    <row r="232" spans="2:11" x14ac:dyDescent="0.25">
      <c r="B232">
        <f>ROW(B232)-9</f>
        <v>223</v>
      </c>
      <c r="J232">
        <f>YEAR(TODAY())-VALUE(LEFT(I232,2))-IF(OR(VALUE(RIGHT(I232))=1, VALUE(RIGHT(I232))=2), 1900, 2000)</f>
        <v>26</v>
      </c>
      <c r="K232" t="str">
        <f>IF(OR(VALUE(RIGHT(I232))=1, VALUE(RIGHT(I232))=3), "남", "여")</f>
        <v>여</v>
      </c>
    </row>
    <row r="233" spans="2:11" x14ac:dyDescent="0.25">
      <c r="B233">
        <f>ROW(B233)-9</f>
        <v>224</v>
      </c>
      <c r="J233">
        <f>YEAR(TODAY())-VALUE(LEFT(I233,2))-IF(OR(VALUE(RIGHT(I233))=1, VALUE(RIGHT(I233))=2), 1900, 2000)</f>
        <v>26</v>
      </c>
      <c r="K233" t="str">
        <f>IF(OR(VALUE(RIGHT(I233))=1, VALUE(RIGHT(I233))=3), "남", "여")</f>
        <v>여</v>
      </c>
    </row>
    <row r="234" spans="2:11" x14ac:dyDescent="0.25">
      <c r="B234">
        <f>ROW(B234)-9</f>
        <v>225</v>
      </c>
      <c r="J234">
        <f>YEAR(TODAY())-VALUE(LEFT(I234,2))-IF(OR(VALUE(RIGHT(I234))=1, VALUE(RIGHT(I234))=2), 1900, 2000)</f>
        <v>26</v>
      </c>
      <c r="K234" t="str">
        <f>IF(OR(VALUE(RIGHT(I234))=1, VALUE(RIGHT(I234))=3), "남", "여")</f>
        <v>여</v>
      </c>
    </row>
    <row r="235" spans="2:11" x14ac:dyDescent="0.25">
      <c r="B235">
        <f>ROW(B235)-9</f>
        <v>226</v>
      </c>
      <c r="J235">
        <f>YEAR(TODAY())-VALUE(LEFT(I235,2))-IF(OR(VALUE(RIGHT(I235))=1, VALUE(RIGHT(I235))=2), 1900, 2000)</f>
        <v>26</v>
      </c>
      <c r="K235" t="str">
        <f>IF(OR(VALUE(RIGHT(I235))=1, VALUE(RIGHT(I235))=3), "남", "여")</f>
        <v>여</v>
      </c>
    </row>
    <row r="236" spans="2:11" x14ac:dyDescent="0.25">
      <c r="B236">
        <f>ROW(B236)-9</f>
        <v>227</v>
      </c>
      <c r="J236">
        <f>YEAR(TODAY())-VALUE(LEFT(I236,2))-IF(OR(VALUE(RIGHT(I236))=1, VALUE(RIGHT(I236))=2), 1900, 2000)</f>
        <v>26</v>
      </c>
      <c r="K236" t="str">
        <f>IF(OR(VALUE(RIGHT(I236))=1, VALUE(RIGHT(I236))=3), "남", "여")</f>
        <v>여</v>
      </c>
    </row>
    <row r="237" spans="2:11" x14ac:dyDescent="0.25">
      <c r="B237">
        <f>ROW(B237)-9</f>
        <v>228</v>
      </c>
      <c r="J237">
        <f>YEAR(TODAY())-VALUE(LEFT(I237,2))-IF(OR(VALUE(RIGHT(I237))=1, VALUE(RIGHT(I237))=2), 1900, 2000)</f>
        <v>26</v>
      </c>
      <c r="K237" t="str">
        <f>IF(OR(VALUE(RIGHT(I237))=1, VALUE(RIGHT(I237))=3), "남", "여")</f>
        <v>여</v>
      </c>
    </row>
    <row r="238" spans="2:11" x14ac:dyDescent="0.25">
      <c r="B238">
        <f>ROW(B238)-9</f>
        <v>229</v>
      </c>
      <c r="J238">
        <f>YEAR(TODAY())-VALUE(LEFT(I238,2))-IF(OR(VALUE(RIGHT(I238))=1, VALUE(RIGHT(I238))=2), 1900, 2000)</f>
        <v>26</v>
      </c>
      <c r="K238" t="str">
        <f>IF(OR(VALUE(RIGHT(I238))=1, VALUE(RIGHT(I238))=3), "남", "여")</f>
        <v>여</v>
      </c>
    </row>
    <row r="239" spans="2:11" x14ac:dyDescent="0.25">
      <c r="B239">
        <f>ROW(B239)-9</f>
        <v>230</v>
      </c>
      <c r="J239">
        <f>YEAR(TODAY())-VALUE(LEFT(I239,2))-IF(OR(VALUE(RIGHT(I239))=1, VALUE(RIGHT(I239))=2), 1900, 2000)</f>
        <v>26</v>
      </c>
      <c r="K239" t="str">
        <f>IF(OR(VALUE(RIGHT(I239))=1, VALUE(RIGHT(I239))=3), "남", "여")</f>
        <v>여</v>
      </c>
    </row>
    <row r="240" spans="2:11" x14ac:dyDescent="0.25">
      <c r="B240">
        <f>ROW(B240)-9</f>
        <v>231</v>
      </c>
      <c r="J240">
        <f>YEAR(TODAY())-VALUE(LEFT(I240,2))-IF(OR(VALUE(RIGHT(I240))=1, VALUE(RIGHT(I240))=2), 1900, 2000)</f>
        <v>26</v>
      </c>
      <c r="K240" t="str">
        <f>IF(OR(VALUE(RIGHT(I240))=1, VALUE(RIGHT(I240))=3), "남", "여")</f>
        <v>여</v>
      </c>
    </row>
    <row r="241" spans="2:11" x14ac:dyDescent="0.25">
      <c r="B241">
        <f>ROW(B241)-9</f>
        <v>232</v>
      </c>
      <c r="J241">
        <f>YEAR(TODAY())-VALUE(LEFT(I241,2))-IF(OR(VALUE(RIGHT(I241))=1, VALUE(RIGHT(I241))=2), 1900, 2000)</f>
        <v>26</v>
      </c>
      <c r="K241" t="str">
        <f>IF(OR(VALUE(RIGHT(I241))=1, VALUE(RIGHT(I241))=3), "남", "여")</f>
        <v>여</v>
      </c>
    </row>
    <row r="242" spans="2:11" x14ac:dyDescent="0.25">
      <c r="B242">
        <f>ROW(B242)-9</f>
        <v>233</v>
      </c>
      <c r="J242">
        <f>YEAR(TODAY())-VALUE(LEFT(I242,2))-IF(OR(VALUE(RIGHT(I242))=1, VALUE(RIGHT(I242))=2), 1900, 2000)</f>
        <v>26</v>
      </c>
      <c r="K242" t="str">
        <f>IF(OR(VALUE(RIGHT(I242))=1, VALUE(RIGHT(I242))=3), "남", "여")</f>
        <v>여</v>
      </c>
    </row>
    <row r="243" spans="2:11" x14ac:dyDescent="0.25">
      <c r="B243">
        <f>ROW(B243)-9</f>
        <v>234</v>
      </c>
      <c r="J243">
        <f>YEAR(TODAY())-VALUE(LEFT(I243,2))-IF(OR(VALUE(RIGHT(I243))=1, VALUE(RIGHT(I243))=2), 1900, 2000)</f>
        <v>26</v>
      </c>
      <c r="K243" t="str">
        <f>IF(OR(VALUE(RIGHT(I243))=1, VALUE(RIGHT(I243))=3), "남", "여")</f>
        <v>여</v>
      </c>
    </row>
    <row r="244" spans="2:11" x14ac:dyDescent="0.25">
      <c r="B244">
        <f>ROW(B244)-9</f>
        <v>235</v>
      </c>
      <c r="J244">
        <f>YEAR(TODAY())-VALUE(LEFT(I244,2))-IF(OR(VALUE(RIGHT(I244))=1, VALUE(RIGHT(I244))=2), 1900, 2000)</f>
        <v>26</v>
      </c>
      <c r="K244" t="str">
        <f>IF(OR(VALUE(RIGHT(I244))=1, VALUE(RIGHT(I244))=3), "남", "여")</f>
        <v>여</v>
      </c>
    </row>
    <row r="245" spans="2:11" x14ac:dyDescent="0.25">
      <c r="B245">
        <f>ROW(B245)-9</f>
        <v>236</v>
      </c>
      <c r="J245">
        <f>YEAR(TODAY())-VALUE(LEFT(I245,2))-IF(OR(VALUE(RIGHT(I245))=1, VALUE(RIGHT(I245))=2), 1900, 2000)</f>
        <v>26</v>
      </c>
      <c r="K245" t="str">
        <f>IF(OR(VALUE(RIGHT(I245))=1, VALUE(RIGHT(I245))=3), "남", "여")</f>
        <v>여</v>
      </c>
    </row>
    <row r="246" spans="2:11" x14ac:dyDescent="0.25">
      <c r="B246">
        <f>ROW(B246)-9</f>
        <v>237</v>
      </c>
      <c r="J246">
        <f>YEAR(TODAY())-VALUE(LEFT(I246,2))-IF(OR(VALUE(RIGHT(I246))=1, VALUE(RIGHT(I246))=2), 1900, 2000)</f>
        <v>26</v>
      </c>
      <c r="K246" t="str">
        <f>IF(OR(VALUE(RIGHT(I246))=1, VALUE(RIGHT(I246))=3), "남", "여")</f>
        <v>여</v>
      </c>
    </row>
    <row r="247" spans="2:11" x14ac:dyDescent="0.25">
      <c r="B247">
        <f>ROW(B247)-9</f>
        <v>238</v>
      </c>
      <c r="J247">
        <f>YEAR(TODAY())-VALUE(LEFT(I247,2))-IF(OR(VALUE(RIGHT(I247))=1, VALUE(RIGHT(I247))=2), 1900, 2000)</f>
        <v>26</v>
      </c>
      <c r="K247" t="str">
        <f>IF(OR(VALUE(RIGHT(I247))=1, VALUE(RIGHT(I247))=3), "남", "여")</f>
        <v>여</v>
      </c>
    </row>
    <row r="248" spans="2:11" x14ac:dyDescent="0.25">
      <c r="B248">
        <f>ROW(B248)-9</f>
        <v>239</v>
      </c>
      <c r="J248">
        <f>YEAR(TODAY())-VALUE(LEFT(I248,2))-IF(OR(VALUE(RIGHT(I248))=1, VALUE(RIGHT(I248))=2), 1900, 2000)</f>
        <v>26</v>
      </c>
      <c r="K248" t="str">
        <f>IF(OR(VALUE(RIGHT(I248))=1, VALUE(RIGHT(I248))=3), "남", "여")</f>
        <v>여</v>
      </c>
    </row>
    <row r="249" spans="2:11" x14ac:dyDescent="0.25">
      <c r="B249">
        <f>ROW(B249)-9</f>
        <v>240</v>
      </c>
      <c r="J249">
        <f>YEAR(TODAY())-VALUE(LEFT(I249,2))-IF(OR(VALUE(RIGHT(I249))=1, VALUE(RIGHT(I249))=2), 1900, 2000)</f>
        <v>26</v>
      </c>
      <c r="K249" t="str">
        <f>IF(OR(VALUE(RIGHT(I249))=1, VALUE(RIGHT(I249))=3), "남", "여")</f>
        <v>여</v>
      </c>
    </row>
    <row r="250" spans="2:11" x14ac:dyDescent="0.25">
      <c r="B250">
        <f>ROW(B250)-9</f>
        <v>241</v>
      </c>
      <c r="J250">
        <f>YEAR(TODAY())-VALUE(LEFT(I250,2))-IF(OR(VALUE(RIGHT(I250))=1, VALUE(RIGHT(I250))=2), 1900, 2000)</f>
        <v>26</v>
      </c>
      <c r="K250" t="str">
        <f>IF(OR(VALUE(RIGHT(I250))=1, VALUE(RIGHT(I250))=3), "남", "여")</f>
        <v>여</v>
      </c>
    </row>
    <row r="251" spans="2:11" x14ac:dyDescent="0.25">
      <c r="B251">
        <f>ROW(B251)-9</f>
        <v>242</v>
      </c>
      <c r="J251">
        <f>YEAR(TODAY())-VALUE(LEFT(I251,2))-IF(OR(VALUE(RIGHT(I251))=1, VALUE(RIGHT(I251))=2), 1900, 2000)</f>
        <v>26</v>
      </c>
      <c r="K251" t="str">
        <f>IF(OR(VALUE(RIGHT(I251))=1, VALUE(RIGHT(I251))=3), "남", "여")</f>
        <v>여</v>
      </c>
    </row>
    <row r="252" spans="2:11" x14ac:dyDescent="0.25">
      <c r="B252">
        <f>ROW(B252)-9</f>
        <v>243</v>
      </c>
      <c r="J252">
        <f>YEAR(TODAY())-VALUE(LEFT(I252,2))-IF(OR(VALUE(RIGHT(I252))=1, VALUE(RIGHT(I252))=2), 1900, 2000)</f>
        <v>26</v>
      </c>
      <c r="K252" t="str">
        <f>IF(OR(VALUE(RIGHT(I252))=1, VALUE(RIGHT(I252))=3), "남", "여")</f>
        <v>여</v>
      </c>
    </row>
    <row r="253" spans="2:11" x14ac:dyDescent="0.25">
      <c r="B253">
        <f>ROW(B253)-9</f>
        <v>244</v>
      </c>
      <c r="J253">
        <f>YEAR(TODAY())-VALUE(LEFT(I253,2))-IF(OR(VALUE(RIGHT(I253))=1, VALUE(RIGHT(I253))=2), 1900, 2000)</f>
        <v>26</v>
      </c>
      <c r="K253" t="str">
        <f>IF(OR(VALUE(RIGHT(I253))=1, VALUE(RIGHT(I253))=3), "남", "여")</f>
        <v>여</v>
      </c>
    </row>
    <row r="254" spans="2:11" x14ac:dyDescent="0.25">
      <c r="B254">
        <f>ROW(B254)-9</f>
        <v>245</v>
      </c>
      <c r="J254">
        <f>YEAR(TODAY())-VALUE(LEFT(I254,2))-IF(OR(VALUE(RIGHT(I254))=1, VALUE(RIGHT(I254))=2), 1900, 2000)</f>
        <v>26</v>
      </c>
      <c r="K254" t="str">
        <f>IF(OR(VALUE(RIGHT(I254))=1, VALUE(RIGHT(I254))=3), "남", "여")</f>
        <v>여</v>
      </c>
    </row>
    <row r="255" spans="2:11" x14ac:dyDescent="0.25">
      <c r="B255">
        <f>ROW(B255)-9</f>
        <v>246</v>
      </c>
      <c r="J255">
        <f>YEAR(TODAY())-VALUE(LEFT(I255,2))-IF(OR(VALUE(RIGHT(I255))=1, VALUE(RIGHT(I255))=2), 1900, 2000)</f>
        <v>26</v>
      </c>
      <c r="K255" t="str">
        <f>IF(OR(VALUE(RIGHT(I255))=1, VALUE(RIGHT(I255))=3), "남", "여")</f>
        <v>여</v>
      </c>
    </row>
    <row r="256" spans="2:11" x14ac:dyDescent="0.25">
      <c r="B256">
        <f>ROW(B256)-9</f>
        <v>247</v>
      </c>
      <c r="J256">
        <f>YEAR(TODAY())-VALUE(LEFT(I256,2))-IF(OR(VALUE(RIGHT(I256))=1, VALUE(RIGHT(I256))=2), 1900, 2000)</f>
        <v>26</v>
      </c>
      <c r="K256" t="str">
        <f>IF(OR(VALUE(RIGHT(I256))=1, VALUE(RIGHT(I256))=3), "남", "여")</f>
        <v>여</v>
      </c>
    </row>
    <row r="257" spans="2:11" x14ac:dyDescent="0.25">
      <c r="B257">
        <f>ROW(B257)-9</f>
        <v>248</v>
      </c>
      <c r="J257">
        <f>YEAR(TODAY())-VALUE(LEFT(I257,2))-IF(OR(VALUE(RIGHT(I257))=1, VALUE(RIGHT(I257))=2), 1900, 2000)</f>
        <v>26</v>
      </c>
      <c r="K257" t="str">
        <f>IF(OR(VALUE(RIGHT(I257))=1, VALUE(RIGHT(I257))=3), "남", "여")</f>
        <v>여</v>
      </c>
    </row>
    <row r="258" spans="2:11" x14ac:dyDescent="0.25">
      <c r="B258">
        <f>ROW(B258)-9</f>
        <v>249</v>
      </c>
      <c r="J258">
        <f>YEAR(TODAY())-VALUE(LEFT(I258,2))-IF(OR(VALUE(RIGHT(I258))=1, VALUE(RIGHT(I258))=2), 1900, 2000)</f>
        <v>26</v>
      </c>
      <c r="K258" t="str">
        <f>IF(OR(VALUE(RIGHT(I258))=1, VALUE(RIGHT(I258))=3), "남", "여")</f>
        <v>여</v>
      </c>
    </row>
    <row r="259" spans="2:11" x14ac:dyDescent="0.25">
      <c r="B259">
        <f>ROW(B259)-9</f>
        <v>250</v>
      </c>
      <c r="J259">
        <f>YEAR(TODAY())-VALUE(LEFT(I259,2))-IF(OR(VALUE(RIGHT(I259))=1, VALUE(RIGHT(I259))=2), 1900, 2000)</f>
        <v>26</v>
      </c>
      <c r="K259" t="str">
        <f>IF(OR(VALUE(RIGHT(I259))=1, VALUE(RIGHT(I259))=3), "남", "여")</f>
        <v>여</v>
      </c>
    </row>
    <row r="260" spans="2:11" x14ac:dyDescent="0.25">
      <c r="B260">
        <f>ROW(B260)-9</f>
        <v>251</v>
      </c>
      <c r="J260">
        <f>YEAR(TODAY())-VALUE(LEFT(I260,2))-IF(OR(VALUE(RIGHT(I260))=1, VALUE(RIGHT(I260))=2), 1900, 2000)</f>
        <v>26</v>
      </c>
      <c r="K260" t="str">
        <f>IF(OR(VALUE(RIGHT(I260))=1, VALUE(RIGHT(I260))=3), "남", "여")</f>
        <v>여</v>
      </c>
    </row>
    <row r="261" spans="2:11" x14ac:dyDescent="0.25">
      <c r="B261">
        <f>ROW(B261)-9</f>
        <v>252</v>
      </c>
      <c r="J261">
        <f>YEAR(TODAY())-VALUE(LEFT(I261,2))-IF(OR(VALUE(RIGHT(I261))=1, VALUE(RIGHT(I261))=2), 1900, 2000)</f>
        <v>26</v>
      </c>
      <c r="K261" t="str">
        <f>IF(OR(VALUE(RIGHT(I261))=1, VALUE(RIGHT(I261))=3), "남", "여")</f>
        <v>여</v>
      </c>
    </row>
    <row r="262" spans="2:11" x14ac:dyDescent="0.25">
      <c r="B262">
        <f>ROW(B262)-9</f>
        <v>253</v>
      </c>
      <c r="J262">
        <f>YEAR(TODAY())-VALUE(LEFT(I262,2))-IF(OR(VALUE(RIGHT(I262))=1, VALUE(RIGHT(I262))=2), 1900, 2000)</f>
        <v>26</v>
      </c>
      <c r="K262" t="str">
        <f>IF(OR(VALUE(RIGHT(I262))=1, VALUE(RIGHT(I262))=3), "남", "여")</f>
        <v>여</v>
      </c>
    </row>
    <row r="263" spans="2:11" x14ac:dyDescent="0.25">
      <c r="B263">
        <f>ROW(B263)-9</f>
        <v>254</v>
      </c>
      <c r="J263">
        <f>YEAR(TODAY())-VALUE(LEFT(I263,2))-IF(OR(VALUE(RIGHT(I263))=1, VALUE(RIGHT(I263))=2), 1900, 2000)</f>
        <v>26</v>
      </c>
      <c r="K263" t="str">
        <f>IF(OR(VALUE(RIGHT(I263))=1, VALUE(RIGHT(I263))=3), "남", "여")</f>
        <v>여</v>
      </c>
    </row>
    <row r="264" spans="2:11" x14ac:dyDescent="0.25">
      <c r="B264">
        <f>ROW(B264)-9</f>
        <v>255</v>
      </c>
      <c r="J264">
        <f>YEAR(TODAY())-VALUE(LEFT(I264,2))-IF(OR(VALUE(RIGHT(I264))=1, VALUE(RIGHT(I264))=2), 1900, 2000)</f>
        <v>26</v>
      </c>
      <c r="K264" t="str">
        <f>IF(OR(VALUE(RIGHT(I264))=1, VALUE(RIGHT(I264))=3), "남", "여")</f>
        <v>여</v>
      </c>
    </row>
    <row r="265" spans="2:11" x14ac:dyDescent="0.25">
      <c r="B265">
        <f>ROW(B265)-9</f>
        <v>256</v>
      </c>
      <c r="J265">
        <f>YEAR(TODAY())-VALUE(LEFT(I265,2))-IF(OR(VALUE(RIGHT(I265))=1, VALUE(RIGHT(I265))=2), 1900, 2000)</f>
        <v>26</v>
      </c>
      <c r="K265" t="str">
        <f>IF(OR(VALUE(RIGHT(I265))=1, VALUE(RIGHT(I265))=3), "남", "여")</f>
        <v>여</v>
      </c>
    </row>
    <row r="266" spans="2:11" x14ac:dyDescent="0.25">
      <c r="B266">
        <f>ROW(B266)-9</f>
        <v>257</v>
      </c>
      <c r="J266">
        <f>YEAR(TODAY())-VALUE(LEFT(I266,2))-IF(OR(VALUE(RIGHT(I266))=1, VALUE(RIGHT(I266))=2), 1900, 2000)</f>
        <v>26</v>
      </c>
      <c r="K266" t="str">
        <f>IF(OR(VALUE(RIGHT(I266))=1, VALUE(RIGHT(I266))=3), "남", "여")</f>
        <v>여</v>
      </c>
    </row>
    <row r="267" spans="2:11" x14ac:dyDescent="0.25">
      <c r="B267">
        <f>ROW(B267)-9</f>
        <v>258</v>
      </c>
      <c r="J267">
        <f>YEAR(TODAY())-VALUE(LEFT(I267,2))-IF(OR(VALUE(RIGHT(I267))=1, VALUE(RIGHT(I267))=2), 1900, 2000)</f>
        <v>26</v>
      </c>
      <c r="K267" t="str">
        <f>IF(OR(VALUE(RIGHT(I267))=1, VALUE(RIGHT(I267))=3), "남", "여")</f>
        <v>여</v>
      </c>
    </row>
    <row r="268" spans="2:11" x14ac:dyDescent="0.25">
      <c r="B268">
        <f>ROW(B268)-9</f>
        <v>259</v>
      </c>
      <c r="J268">
        <f>YEAR(TODAY())-VALUE(LEFT(I268,2))-IF(OR(VALUE(RIGHT(I268))=1, VALUE(RIGHT(I268))=2), 1900, 2000)</f>
        <v>26</v>
      </c>
      <c r="K268" t="str">
        <f>IF(OR(VALUE(RIGHT(I268))=1, VALUE(RIGHT(I268))=3), "남", "여")</f>
        <v>여</v>
      </c>
    </row>
    <row r="269" spans="2:11" x14ac:dyDescent="0.25">
      <c r="B269">
        <f>ROW(B269)-9</f>
        <v>260</v>
      </c>
      <c r="J269">
        <f>YEAR(TODAY())-VALUE(LEFT(I269,2))-IF(OR(VALUE(RIGHT(I269))=1, VALUE(RIGHT(I269))=2), 1900, 2000)</f>
        <v>26</v>
      </c>
      <c r="K269" t="str">
        <f>IF(OR(VALUE(RIGHT(I269))=1, VALUE(RIGHT(I269))=3), "남", "여")</f>
        <v>여</v>
      </c>
    </row>
    <row r="270" spans="2:11" x14ac:dyDescent="0.25">
      <c r="B270">
        <f>ROW(B270)-9</f>
        <v>261</v>
      </c>
      <c r="J270">
        <f>YEAR(TODAY())-VALUE(LEFT(I270,2))-IF(OR(VALUE(RIGHT(I270))=1, VALUE(RIGHT(I270))=2), 1900, 2000)</f>
        <v>26</v>
      </c>
      <c r="K270" t="str">
        <f>IF(OR(VALUE(RIGHT(I270))=1, VALUE(RIGHT(I270))=3), "남", "여")</f>
        <v>여</v>
      </c>
    </row>
    <row r="271" spans="2:11" x14ac:dyDescent="0.25">
      <c r="B271">
        <f>ROW(B271)-9</f>
        <v>262</v>
      </c>
      <c r="J271">
        <f>YEAR(TODAY())-VALUE(LEFT(I271,2))-IF(OR(VALUE(RIGHT(I271))=1, VALUE(RIGHT(I271))=2), 1900, 2000)</f>
        <v>26</v>
      </c>
      <c r="K271" t="str">
        <f>IF(OR(VALUE(RIGHT(I271))=1, VALUE(RIGHT(I271))=3), "남", "여")</f>
        <v>여</v>
      </c>
    </row>
    <row r="272" spans="2:11" x14ac:dyDescent="0.25">
      <c r="B272">
        <f>ROW(B272)-9</f>
        <v>263</v>
      </c>
      <c r="J272">
        <f>YEAR(TODAY())-VALUE(LEFT(I272,2))-IF(OR(VALUE(RIGHT(I272))=1, VALUE(RIGHT(I272))=2), 1900, 2000)</f>
        <v>26</v>
      </c>
      <c r="K272" t="str">
        <f>IF(OR(VALUE(RIGHT(I272))=1, VALUE(RIGHT(I272))=3), "남", "여")</f>
        <v>여</v>
      </c>
    </row>
    <row r="273" spans="2:11" x14ac:dyDescent="0.25">
      <c r="B273">
        <f>ROW(B273)-9</f>
        <v>264</v>
      </c>
      <c r="J273">
        <f>YEAR(TODAY())-VALUE(LEFT(I273,2))-IF(OR(VALUE(RIGHT(I273))=1, VALUE(RIGHT(I273))=2), 1900, 2000)</f>
        <v>26</v>
      </c>
      <c r="K273" t="str">
        <f>IF(OR(VALUE(RIGHT(I273))=1, VALUE(RIGHT(I273))=3), "남", "여")</f>
        <v>여</v>
      </c>
    </row>
    <row r="274" spans="2:11" x14ac:dyDescent="0.25">
      <c r="B274">
        <f>ROW(B274)-9</f>
        <v>265</v>
      </c>
      <c r="J274">
        <f>YEAR(TODAY())-VALUE(LEFT(I274,2))-IF(OR(VALUE(RIGHT(I274))=1, VALUE(RIGHT(I274))=2), 1900, 2000)</f>
        <v>26</v>
      </c>
      <c r="K274" t="str">
        <f>IF(OR(VALUE(RIGHT(I274))=1, VALUE(RIGHT(I274))=3), "남", "여")</f>
        <v>여</v>
      </c>
    </row>
    <row r="275" spans="2:11" x14ac:dyDescent="0.25">
      <c r="B275">
        <f>ROW(B275)-9</f>
        <v>266</v>
      </c>
      <c r="J275">
        <f>YEAR(TODAY())-VALUE(LEFT(I275,2))-IF(OR(VALUE(RIGHT(I275))=1, VALUE(RIGHT(I275))=2), 1900, 2000)</f>
        <v>26</v>
      </c>
      <c r="K275" t="str">
        <f>IF(OR(VALUE(RIGHT(I275))=1, VALUE(RIGHT(I275))=3), "남", "여")</f>
        <v>여</v>
      </c>
    </row>
    <row r="276" spans="2:11" x14ac:dyDescent="0.25">
      <c r="B276">
        <f>ROW(B276)-9</f>
        <v>267</v>
      </c>
      <c r="J276">
        <f>YEAR(TODAY())-VALUE(LEFT(I276,2))-IF(OR(VALUE(RIGHT(I276))=1, VALUE(RIGHT(I276))=2), 1900, 2000)</f>
        <v>26</v>
      </c>
      <c r="K276" t="str">
        <f>IF(OR(VALUE(RIGHT(I276))=1, VALUE(RIGHT(I276))=3), "남", "여")</f>
        <v>여</v>
      </c>
    </row>
    <row r="277" spans="2:11" x14ac:dyDescent="0.25">
      <c r="B277">
        <f>ROW(B277)-9</f>
        <v>268</v>
      </c>
      <c r="J277">
        <f>YEAR(TODAY())-VALUE(LEFT(I277,2))-IF(OR(VALUE(RIGHT(I277))=1, VALUE(RIGHT(I277))=2), 1900, 2000)</f>
        <v>26</v>
      </c>
      <c r="K277" t="str">
        <f>IF(OR(VALUE(RIGHT(I277))=1, VALUE(RIGHT(I277))=3), "남", "여")</f>
        <v>여</v>
      </c>
    </row>
    <row r="278" spans="2:11" x14ac:dyDescent="0.25">
      <c r="B278">
        <f>ROW(B278)-9</f>
        <v>269</v>
      </c>
      <c r="J278">
        <f>YEAR(TODAY())-VALUE(LEFT(I278,2))-IF(OR(VALUE(RIGHT(I278))=1, VALUE(RIGHT(I278))=2), 1900, 2000)</f>
        <v>26</v>
      </c>
      <c r="K278" t="str">
        <f>IF(OR(VALUE(RIGHT(I278))=1, VALUE(RIGHT(I278))=3), "남", "여")</f>
        <v>여</v>
      </c>
    </row>
    <row r="279" spans="2:11" x14ac:dyDescent="0.25">
      <c r="B279">
        <f>ROW(B279)-9</f>
        <v>270</v>
      </c>
      <c r="J279">
        <f>YEAR(TODAY())-VALUE(LEFT(I279,2))-IF(OR(VALUE(RIGHT(I279))=1, VALUE(RIGHT(I279))=2), 1900, 2000)</f>
        <v>26</v>
      </c>
      <c r="K279" t="str">
        <f>IF(OR(VALUE(RIGHT(I279))=1, VALUE(RIGHT(I279))=3), "남", "여")</f>
        <v>여</v>
      </c>
    </row>
    <row r="280" spans="2:11" x14ac:dyDescent="0.25">
      <c r="B280">
        <f>ROW(B280)-9</f>
        <v>271</v>
      </c>
      <c r="J280">
        <f>YEAR(TODAY())-VALUE(LEFT(I280,2))-IF(OR(VALUE(RIGHT(I280))=1, VALUE(RIGHT(I280))=2), 1900, 2000)</f>
        <v>26</v>
      </c>
      <c r="K280" t="str">
        <f>IF(OR(VALUE(RIGHT(I280))=1, VALUE(RIGHT(I280))=3), "남", "여")</f>
        <v>여</v>
      </c>
    </row>
    <row r="281" spans="2:11" x14ac:dyDescent="0.25">
      <c r="B281">
        <f>ROW(B281)-9</f>
        <v>272</v>
      </c>
      <c r="J281">
        <f>YEAR(TODAY())-VALUE(LEFT(I281,2))-IF(OR(VALUE(RIGHT(I281))=1, VALUE(RIGHT(I281))=2), 1900, 2000)</f>
        <v>26</v>
      </c>
      <c r="K281" t="str">
        <f>IF(OR(VALUE(RIGHT(I281))=1, VALUE(RIGHT(I281))=3), "남", "여")</f>
        <v>여</v>
      </c>
    </row>
    <row r="282" spans="2:11" x14ac:dyDescent="0.25">
      <c r="B282">
        <f>ROW(B282)-9</f>
        <v>273</v>
      </c>
      <c r="J282">
        <f>YEAR(TODAY())-VALUE(LEFT(I282,2))-IF(OR(VALUE(RIGHT(I282))=1, VALUE(RIGHT(I282))=2), 1900, 2000)</f>
        <v>26</v>
      </c>
      <c r="K282" t="str">
        <f>IF(OR(VALUE(RIGHT(I282))=1, VALUE(RIGHT(I282))=3), "남", "여")</f>
        <v>여</v>
      </c>
    </row>
    <row r="283" spans="2:11" x14ac:dyDescent="0.25">
      <c r="B283">
        <f>ROW(B283)-9</f>
        <v>274</v>
      </c>
      <c r="J283">
        <f>YEAR(TODAY())-VALUE(LEFT(I283,2))-IF(OR(VALUE(RIGHT(I283))=1, VALUE(RIGHT(I283))=2), 1900, 2000)</f>
        <v>26</v>
      </c>
      <c r="K283" t="str">
        <f>IF(OR(VALUE(RIGHT(I283))=1, VALUE(RIGHT(I283))=3), "남", "여")</f>
        <v>여</v>
      </c>
    </row>
    <row r="284" spans="2:11" x14ac:dyDescent="0.25">
      <c r="B284">
        <f>ROW(B284)-9</f>
        <v>275</v>
      </c>
      <c r="J284">
        <f>YEAR(TODAY())-VALUE(LEFT(I284,2))-IF(OR(VALUE(RIGHT(I284))=1, VALUE(RIGHT(I284))=2), 1900, 2000)</f>
        <v>26</v>
      </c>
      <c r="K284" t="str">
        <f>IF(OR(VALUE(RIGHT(I284))=1, VALUE(RIGHT(I284))=3), "남", "여")</f>
        <v>여</v>
      </c>
    </row>
    <row r="285" spans="2:11" x14ac:dyDescent="0.25">
      <c r="B285">
        <f>ROW(B285)-9</f>
        <v>276</v>
      </c>
      <c r="J285">
        <f>YEAR(TODAY())-VALUE(LEFT(I285,2))-IF(OR(VALUE(RIGHT(I285))=1, VALUE(RIGHT(I285))=2), 1900, 2000)</f>
        <v>26</v>
      </c>
      <c r="K285" t="str">
        <f>IF(OR(VALUE(RIGHT(I285))=1, VALUE(RIGHT(I285))=3), "남", "여")</f>
        <v>여</v>
      </c>
    </row>
    <row r="286" spans="2:11" x14ac:dyDescent="0.25">
      <c r="B286">
        <f>ROW(B286)-9</f>
        <v>277</v>
      </c>
      <c r="J286">
        <f>YEAR(TODAY())-VALUE(LEFT(I286,2))-IF(OR(VALUE(RIGHT(I286))=1, VALUE(RIGHT(I286))=2), 1900, 2000)</f>
        <v>26</v>
      </c>
      <c r="K286" t="str">
        <f>IF(OR(VALUE(RIGHT(I286))=1, VALUE(RIGHT(I286))=3), "남", "여")</f>
        <v>여</v>
      </c>
    </row>
    <row r="287" spans="2:11" x14ac:dyDescent="0.25">
      <c r="B287">
        <f>ROW(B287)-9</f>
        <v>278</v>
      </c>
      <c r="J287">
        <f>YEAR(TODAY())-VALUE(LEFT(I287,2))-IF(OR(VALUE(RIGHT(I287))=1, VALUE(RIGHT(I287))=2), 1900, 2000)</f>
        <v>26</v>
      </c>
      <c r="K287" t="str">
        <f>IF(OR(VALUE(RIGHT(I287))=1, VALUE(RIGHT(I287))=3), "남", "여")</f>
        <v>여</v>
      </c>
    </row>
    <row r="288" spans="2:11" x14ac:dyDescent="0.25">
      <c r="B288">
        <f>ROW(B288)-9</f>
        <v>279</v>
      </c>
      <c r="J288">
        <f>YEAR(TODAY())-VALUE(LEFT(I288,2))-IF(OR(VALUE(RIGHT(I288))=1, VALUE(RIGHT(I288))=2), 1900, 2000)</f>
        <v>26</v>
      </c>
      <c r="K288" t="str">
        <f>IF(OR(VALUE(RIGHT(I288))=1, VALUE(RIGHT(I288))=3), "남", "여")</f>
        <v>여</v>
      </c>
    </row>
    <row r="289" spans="2:11" x14ac:dyDescent="0.25">
      <c r="B289">
        <f>ROW(B289)-9</f>
        <v>280</v>
      </c>
      <c r="J289">
        <f>YEAR(TODAY())-VALUE(LEFT(I289,2))-IF(OR(VALUE(RIGHT(I289))=1, VALUE(RIGHT(I289))=2), 1900, 2000)</f>
        <v>26</v>
      </c>
      <c r="K289" t="str">
        <f>IF(OR(VALUE(RIGHT(I289))=1, VALUE(RIGHT(I289))=3), "남", "여")</f>
        <v>여</v>
      </c>
    </row>
    <row r="290" spans="2:11" x14ac:dyDescent="0.25">
      <c r="B290">
        <f>ROW(B290)-9</f>
        <v>281</v>
      </c>
      <c r="J290">
        <f>YEAR(TODAY())-VALUE(LEFT(I290,2))-IF(OR(VALUE(RIGHT(I290))=1, VALUE(RIGHT(I290))=2), 1900, 2000)</f>
        <v>26</v>
      </c>
      <c r="K290" t="str">
        <f>IF(OR(VALUE(RIGHT(I290))=1, VALUE(RIGHT(I290))=3), "남", "여")</f>
        <v>여</v>
      </c>
    </row>
    <row r="291" spans="2:11" x14ac:dyDescent="0.25">
      <c r="B291">
        <f>ROW(B291)-9</f>
        <v>282</v>
      </c>
      <c r="J291">
        <f>YEAR(TODAY())-VALUE(LEFT(I291,2))-IF(OR(VALUE(RIGHT(I291))=1, VALUE(RIGHT(I291))=2), 1900, 2000)</f>
        <v>26</v>
      </c>
      <c r="K291" t="str">
        <f>IF(OR(VALUE(RIGHT(I291))=1, VALUE(RIGHT(I291))=3), "남", "여")</f>
        <v>여</v>
      </c>
    </row>
    <row r="292" spans="2:11" x14ac:dyDescent="0.25">
      <c r="B292">
        <f>ROW(B292)-9</f>
        <v>283</v>
      </c>
      <c r="J292">
        <f>YEAR(TODAY())-VALUE(LEFT(I292,2))-IF(OR(VALUE(RIGHT(I292))=1, VALUE(RIGHT(I292))=2), 1900, 2000)</f>
        <v>26</v>
      </c>
      <c r="K292" t="str">
        <f>IF(OR(VALUE(RIGHT(I292))=1, VALUE(RIGHT(I292))=3), "남", "여")</f>
        <v>여</v>
      </c>
    </row>
    <row r="293" spans="2:11" x14ac:dyDescent="0.25">
      <c r="B293">
        <f>ROW(B293)-9</f>
        <v>284</v>
      </c>
      <c r="J293">
        <f>YEAR(TODAY())-VALUE(LEFT(I293,2))-IF(OR(VALUE(RIGHT(I293))=1, VALUE(RIGHT(I293))=2), 1900, 2000)</f>
        <v>26</v>
      </c>
      <c r="K293" t="str">
        <f>IF(OR(VALUE(RIGHT(I293))=1, VALUE(RIGHT(I293))=3), "남", "여")</f>
        <v>여</v>
      </c>
    </row>
    <row r="294" spans="2:11" x14ac:dyDescent="0.25">
      <c r="B294">
        <f>ROW(B294)-9</f>
        <v>285</v>
      </c>
      <c r="J294">
        <f>YEAR(TODAY())-VALUE(LEFT(I294,2))-IF(OR(VALUE(RIGHT(I294))=1, VALUE(RIGHT(I294))=2), 1900, 2000)</f>
        <v>26</v>
      </c>
      <c r="K294" t="str">
        <f>IF(OR(VALUE(RIGHT(I294))=1, VALUE(RIGHT(I294))=3), "남", "여")</f>
        <v>여</v>
      </c>
    </row>
    <row r="295" spans="2:11" x14ac:dyDescent="0.25">
      <c r="B295">
        <f>ROW(B295)-9</f>
        <v>286</v>
      </c>
      <c r="J295">
        <f>YEAR(TODAY())-VALUE(LEFT(I295,2))-IF(OR(VALUE(RIGHT(I295))=1, VALUE(RIGHT(I295))=2), 1900, 2000)</f>
        <v>26</v>
      </c>
      <c r="K295" t="str">
        <f>IF(OR(VALUE(RIGHT(I295))=1, VALUE(RIGHT(I295))=3), "남", "여")</f>
        <v>여</v>
      </c>
    </row>
    <row r="296" spans="2:11" x14ac:dyDescent="0.25">
      <c r="B296">
        <f>ROW(B296)-9</f>
        <v>287</v>
      </c>
      <c r="J296">
        <f>YEAR(TODAY())-VALUE(LEFT(I296,2))-IF(OR(VALUE(RIGHT(I296))=1, VALUE(RIGHT(I296))=2), 1900, 2000)</f>
        <v>26</v>
      </c>
      <c r="K296" t="str">
        <f>IF(OR(VALUE(RIGHT(I296))=1, VALUE(RIGHT(I296))=3), "남", "여")</f>
        <v>여</v>
      </c>
    </row>
    <row r="297" spans="2:11" x14ac:dyDescent="0.25">
      <c r="B297">
        <f>ROW(B297)-9</f>
        <v>288</v>
      </c>
      <c r="J297">
        <f>YEAR(TODAY())-VALUE(LEFT(I297,2))-IF(OR(VALUE(RIGHT(I297))=1, VALUE(RIGHT(I297))=2), 1900, 2000)</f>
        <v>26</v>
      </c>
      <c r="K297" t="str">
        <f>IF(OR(VALUE(RIGHT(I297))=1, VALUE(RIGHT(I297))=3), "남", "여")</f>
        <v>여</v>
      </c>
    </row>
    <row r="298" spans="2:11" x14ac:dyDescent="0.25">
      <c r="B298">
        <f>ROW(B298)-9</f>
        <v>289</v>
      </c>
      <c r="J298">
        <f>YEAR(TODAY())-VALUE(LEFT(I298,2))-IF(OR(VALUE(RIGHT(I298))=1, VALUE(RIGHT(I298))=2), 1900, 2000)</f>
        <v>26</v>
      </c>
      <c r="K298" t="str">
        <f>IF(OR(VALUE(RIGHT(I298))=1, VALUE(RIGHT(I298))=3), "남", "여")</f>
        <v>여</v>
      </c>
    </row>
    <row r="299" spans="2:11" x14ac:dyDescent="0.25">
      <c r="B299">
        <f>ROW(B299)-9</f>
        <v>290</v>
      </c>
      <c r="J299">
        <f>YEAR(TODAY())-VALUE(LEFT(I299,2))-IF(OR(VALUE(RIGHT(I299))=1, VALUE(RIGHT(I299))=2), 1900, 2000)</f>
        <v>26</v>
      </c>
      <c r="K299" t="str">
        <f>IF(OR(VALUE(RIGHT(I299))=1, VALUE(RIGHT(I299))=3), "남", "여")</f>
        <v>여</v>
      </c>
    </row>
    <row r="300" spans="2:11" x14ac:dyDescent="0.25">
      <c r="B300">
        <f>ROW(B300)-9</f>
        <v>291</v>
      </c>
      <c r="J300">
        <f>YEAR(TODAY())-VALUE(LEFT(I300,2))-IF(OR(VALUE(RIGHT(I300))=1, VALUE(RIGHT(I300))=2), 1900, 2000)</f>
        <v>26</v>
      </c>
      <c r="K300" t="str">
        <f>IF(OR(VALUE(RIGHT(I300))=1, VALUE(RIGHT(I300))=3), "남", "여")</f>
        <v>여</v>
      </c>
    </row>
    <row r="301" spans="2:11" x14ac:dyDescent="0.25">
      <c r="B301">
        <f>ROW(B301)-9</f>
        <v>292</v>
      </c>
      <c r="J301">
        <f>YEAR(TODAY())-VALUE(LEFT(I301,2))-IF(OR(VALUE(RIGHT(I301))=1, VALUE(RIGHT(I301))=2), 1900, 2000)</f>
        <v>26</v>
      </c>
      <c r="K301" t="str">
        <f>IF(OR(VALUE(RIGHT(I301))=1, VALUE(RIGHT(I301))=3), "남", "여")</f>
        <v>여</v>
      </c>
    </row>
    <row r="302" spans="2:11" x14ac:dyDescent="0.25">
      <c r="B302">
        <f>ROW(B302)-9</f>
        <v>293</v>
      </c>
      <c r="J302">
        <f>YEAR(TODAY())-VALUE(LEFT(I302,2))-IF(OR(VALUE(RIGHT(I302))=1, VALUE(RIGHT(I302))=2), 1900, 2000)</f>
        <v>26</v>
      </c>
      <c r="K302" t="str">
        <f>IF(OR(VALUE(RIGHT(I302))=1, VALUE(RIGHT(I302))=3), "남", "여")</f>
        <v>여</v>
      </c>
    </row>
    <row r="303" spans="2:11" x14ac:dyDescent="0.25">
      <c r="B303">
        <f>ROW(B303)-9</f>
        <v>294</v>
      </c>
      <c r="J303">
        <f>YEAR(TODAY())-VALUE(LEFT(I303,2))-IF(OR(VALUE(RIGHT(I303))=1, VALUE(RIGHT(I303))=2), 1900, 2000)</f>
        <v>26</v>
      </c>
      <c r="K303" t="str">
        <f>IF(OR(VALUE(RIGHT(I303))=1, VALUE(RIGHT(I303))=3), "남", "여")</f>
        <v>여</v>
      </c>
    </row>
    <row r="304" spans="2:11" x14ac:dyDescent="0.25">
      <c r="B304">
        <f>ROW(B304)-9</f>
        <v>295</v>
      </c>
      <c r="J304">
        <f>YEAR(TODAY())-VALUE(LEFT(I304,2))-IF(OR(VALUE(RIGHT(I304))=1, VALUE(RIGHT(I304))=2), 1900, 2000)</f>
        <v>26</v>
      </c>
      <c r="K304" t="str">
        <f>IF(OR(VALUE(RIGHT(I304))=1, VALUE(RIGHT(I304))=3), "남", "여")</f>
        <v>여</v>
      </c>
    </row>
    <row r="305" spans="2:11" x14ac:dyDescent="0.25">
      <c r="B305">
        <f>ROW(B305)-9</f>
        <v>296</v>
      </c>
      <c r="J305">
        <f>YEAR(TODAY())-VALUE(LEFT(I305,2))-IF(OR(VALUE(RIGHT(I305))=1, VALUE(RIGHT(I305))=2), 1900, 2000)</f>
        <v>26</v>
      </c>
      <c r="K305" t="str">
        <f>IF(OR(VALUE(RIGHT(I305))=1, VALUE(RIGHT(I305))=3), "남", "여")</f>
        <v>여</v>
      </c>
    </row>
    <row r="306" spans="2:11" x14ac:dyDescent="0.25">
      <c r="B306">
        <f>ROW(B306)-9</f>
        <v>297</v>
      </c>
      <c r="J306">
        <f>YEAR(TODAY())-VALUE(LEFT(I306,2))-IF(OR(VALUE(RIGHT(I306))=1, VALUE(RIGHT(I306))=2), 1900, 2000)</f>
        <v>26</v>
      </c>
      <c r="K306" t="str">
        <f>IF(OR(VALUE(RIGHT(I306))=1, VALUE(RIGHT(I306))=3), "남", "여")</f>
        <v>여</v>
      </c>
    </row>
    <row r="307" spans="2:11" x14ac:dyDescent="0.25">
      <c r="B307">
        <f>ROW(B307)-9</f>
        <v>298</v>
      </c>
      <c r="J307">
        <f>YEAR(TODAY())-VALUE(LEFT(I307,2))-IF(OR(VALUE(RIGHT(I307))=1, VALUE(RIGHT(I307))=2), 1900, 2000)</f>
        <v>26</v>
      </c>
      <c r="K307" t="str">
        <f>IF(OR(VALUE(RIGHT(I307))=1, VALUE(RIGHT(I307))=3), "남", "여")</f>
        <v>여</v>
      </c>
    </row>
    <row r="308" spans="2:11" x14ac:dyDescent="0.25">
      <c r="B308">
        <f>ROW(B308)-9</f>
        <v>299</v>
      </c>
      <c r="J308">
        <f>YEAR(TODAY())-VALUE(LEFT(I308,2))-IF(OR(VALUE(RIGHT(I308))=1, VALUE(RIGHT(I308))=2), 1900, 2000)</f>
        <v>26</v>
      </c>
      <c r="K308" t="str">
        <f>IF(OR(VALUE(RIGHT(I308))=1, VALUE(RIGHT(I308))=3), "남", "여")</f>
        <v>여</v>
      </c>
    </row>
    <row r="309" spans="2:11" x14ac:dyDescent="0.25">
      <c r="B309">
        <f>ROW(B309)-9</f>
        <v>300</v>
      </c>
      <c r="J309">
        <f>YEAR(TODAY())-VALUE(LEFT(I309,2))-IF(OR(VALUE(RIGHT(I309))=1, VALUE(RIGHT(I309))=2), 1900, 2000)</f>
        <v>26</v>
      </c>
      <c r="K309" t="str">
        <f>IF(OR(VALUE(RIGHT(I309))=1, VALUE(RIGHT(I309))=3), "남", "여")</f>
        <v>여</v>
      </c>
    </row>
    <row r="310" spans="2:11" x14ac:dyDescent="0.25">
      <c r="B310">
        <f>ROW(B310)-9</f>
        <v>301</v>
      </c>
      <c r="J310">
        <f>YEAR(TODAY())-VALUE(LEFT(I310,2))-IF(OR(VALUE(RIGHT(I310))=1, VALUE(RIGHT(I310))=2), 1900, 2000)</f>
        <v>26</v>
      </c>
      <c r="K310" t="str">
        <f>IF(OR(VALUE(RIGHT(I310))=1, VALUE(RIGHT(I310))=3), "남", "여")</f>
        <v>여</v>
      </c>
    </row>
    <row r="311" spans="2:11" x14ac:dyDescent="0.25">
      <c r="B311">
        <f>ROW(B311)-9</f>
        <v>302</v>
      </c>
      <c r="J311">
        <f>YEAR(TODAY())-VALUE(LEFT(I311,2))-IF(OR(VALUE(RIGHT(I311))=1, VALUE(RIGHT(I311))=2), 1900, 2000)</f>
        <v>26</v>
      </c>
      <c r="K311" t="str">
        <f>IF(OR(VALUE(RIGHT(I311))=1, VALUE(RIGHT(I311))=3), "남", "여")</f>
        <v>여</v>
      </c>
    </row>
    <row r="312" spans="2:11" x14ac:dyDescent="0.25">
      <c r="B312">
        <f>ROW(B312)-9</f>
        <v>303</v>
      </c>
      <c r="J312">
        <f>YEAR(TODAY())-VALUE(LEFT(I312,2))-IF(OR(VALUE(RIGHT(I312))=1, VALUE(RIGHT(I312))=2), 1900, 2000)</f>
        <v>26</v>
      </c>
      <c r="K312" t="str">
        <f>IF(OR(VALUE(RIGHT(I312))=1, VALUE(RIGHT(I312))=3), "남", "여")</f>
        <v>여</v>
      </c>
    </row>
    <row r="313" spans="2:11" x14ac:dyDescent="0.25">
      <c r="B313">
        <f>ROW(B313)-9</f>
        <v>304</v>
      </c>
      <c r="J313">
        <f>YEAR(TODAY())-VALUE(LEFT(I313,2))-IF(OR(VALUE(RIGHT(I313))=1, VALUE(RIGHT(I313))=2), 1900, 2000)</f>
        <v>26</v>
      </c>
      <c r="K313" t="str">
        <f>IF(OR(VALUE(RIGHT(I313))=1, VALUE(RIGHT(I313))=3), "남", "여")</f>
        <v>여</v>
      </c>
    </row>
    <row r="314" spans="2:11" x14ac:dyDescent="0.25">
      <c r="B314">
        <f>ROW(B314)-9</f>
        <v>305</v>
      </c>
      <c r="J314">
        <f>YEAR(TODAY())-VALUE(LEFT(I314,2))-IF(OR(VALUE(RIGHT(I314))=1, VALUE(RIGHT(I314))=2), 1900, 2000)</f>
        <v>26</v>
      </c>
      <c r="K314" t="str">
        <f>IF(OR(VALUE(RIGHT(I314))=1, VALUE(RIGHT(I314))=3), "남", "여")</f>
        <v>여</v>
      </c>
    </row>
    <row r="315" spans="2:11" x14ac:dyDescent="0.25">
      <c r="B315">
        <f>ROW(B315)-9</f>
        <v>306</v>
      </c>
      <c r="J315">
        <f>YEAR(TODAY())-VALUE(LEFT(I315,2))-IF(OR(VALUE(RIGHT(I315))=1, VALUE(RIGHT(I315))=2), 1900, 2000)</f>
        <v>26</v>
      </c>
      <c r="K315" t="str">
        <f>IF(OR(VALUE(RIGHT(I315))=1, VALUE(RIGHT(I315))=3), "남", "여")</f>
        <v>여</v>
      </c>
    </row>
    <row r="316" spans="2:11" x14ac:dyDescent="0.25">
      <c r="B316">
        <f>ROW(B316)-9</f>
        <v>307</v>
      </c>
      <c r="J316">
        <f>YEAR(TODAY())-VALUE(LEFT(I316,2))-IF(OR(VALUE(RIGHT(I316))=1, VALUE(RIGHT(I316))=2), 1900, 2000)</f>
        <v>26</v>
      </c>
      <c r="K316" t="str">
        <f>IF(OR(VALUE(RIGHT(I316))=1, VALUE(RIGHT(I316))=3), "남", "여")</f>
        <v>여</v>
      </c>
    </row>
    <row r="317" spans="2:11" x14ac:dyDescent="0.25">
      <c r="B317">
        <f>ROW(B317)-9</f>
        <v>308</v>
      </c>
      <c r="J317">
        <f>YEAR(TODAY())-VALUE(LEFT(I317,2))-IF(OR(VALUE(RIGHT(I317))=1, VALUE(RIGHT(I317))=2), 1900, 2000)</f>
        <v>26</v>
      </c>
      <c r="K317" t="str">
        <f>IF(OR(VALUE(RIGHT(I317))=1, VALUE(RIGHT(I317))=3), "남", "여")</f>
        <v>여</v>
      </c>
    </row>
    <row r="318" spans="2:11" x14ac:dyDescent="0.25">
      <c r="B318">
        <f>ROW(B318)-9</f>
        <v>309</v>
      </c>
      <c r="J318">
        <f>YEAR(TODAY())-VALUE(LEFT(I318,2))-IF(OR(VALUE(RIGHT(I318))=1, VALUE(RIGHT(I318))=2), 1900, 2000)</f>
        <v>26</v>
      </c>
      <c r="K318" t="str">
        <f>IF(OR(VALUE(RIGHT(I318))=1, VALUE(RIGHT(I318))=3), "남", "여")</f>
        <v>여</v>
      </c>
    </row>
    <row r="319" spans="2:11" x14ac:dyDescent="0.25">
      <c r="B319">
        <f>ROW(B319)-9</f>
        <v>310</v>
      </c>
      <c r="J319">
        <f>YEAR(TODAY())-VALUE(LEFT(I319,2))-IF(OR(VALUE(RIGHT(I319))=1, VALUE(RIGHT(I319))=2), 1900, 2000)</f>
        <v>26</v>
      </c>
      <c r="K319" t="str">
        <f>IF(OR(VALUE(RIGHT(I319))=1, VALUE(RIGHT(I319))=3), "남", "여")</f>
        <v>여</v>
      </c>
    </row>
    <row r="320" spans="2:11" x14ac:dyDescent="0.25">
      <c r="B320">
        <f>ROW(B320)-9</f>
        <v>311</v>
      </c>
      <c r="J320">
        <f>YEAR(TODAY())-VALUE(LEFT(I320,2))-IF(OR(VALUE(RIGHT(I320))=1, VALUE(RIGHT(I320))=2), 1900, 2000)</f>
        <v>26</v>
      </c>
      <c r="K320" t="str">
        <f>IF(OR(VALUE(RIGHT(I320))=1, VALUE(RIGHT(I320))=3), "남", "여")</f>
        <v>여</v>
      </c>
    </row>
    <row r="321" spans="2:11" x14ac:dyDescent="0.25">
      <c r="B321">
        <f>ROW(B321)-9</f>
        <v>312</v>
      </c>
      <c r="J321">
        <f>YEAR(TODAY())-VALUE(LEFT(I321,2))-IF(OR(VALUE(RIGHT(I321))=1, VALUE(RIGHT(I321))=2), 1900, 2000)</f>
        <v>26</v>
      </c>
      <c r="K321" t="str">
        <f>IF(OR(VALUE(RIGHT(I321))=1, VALUE(RIGHT(I321))=3), "남", "여")</f>
        <v>여</v>
      </c>
    </row>
    <row r="322" spans="2:11" x14ac:dyDescent="0.25">
      <c r="B322">
        <f>ROW(B322)-9</f>
        <v>313</v>
      </c>
      <c r="J322">
        <f>YEAR(TODAY())-VALUE(LEFT(I322,2))-IF(OR(VALUE(RIGHT(I322))=1, VALUE(RIGHT(I322))=2), 1900, 2000)</f>
        <v>26</v>
      </c>
      <c r="K322" t="str">
        <f>IF(OR(VALUE(RIGHT(I322))=1, VALUE(RIGHT(I322))=3), "남", "여")</f>
        <v>여</v>
      </c>
    </row>
    <row r="323" spans="2:11" x14ac:dyDescent="0.25">
      <c r="B323">
        <f>ROW(B323)-9</f>
        <v>314</v>
      </c>
      <c r="J323">
        <f>YEAR(TODAY())-VALUE(LEFT(I323,2))-IF(OR(VALUE(RIGHT(I323))=1, VALUE(RIGHT(I323))=2), 1900, 2000)</f>
        <v>26</v>
      </c>
      <c r="K323" t="str">
        <f>IF(OR(VALUE(RIGHT(I323))=1, VALUE(RIGHT(I323))=3), "남", "여")</f>
        <v>여</v>
      </c>
    </row>
    <row r="324" spans="2:11" x14ac:dyDescent="0.25">
      <c r="B324">
        <f>ROW(B324)-9</f>
        <v>315</v>
      </c>
      <c r="J324">
        <f>YEAR(TODAY())-VALUE(LEFT(I324,2))-IF(OR(VALUE(RIGHT(I324))=1, VALUE(RIGHT(I324))=2), 1900, 2000)</f>
        <v>26</v>
      </c>
      <c r="K324" t="str">
        <f>IF(OR(VALUE(RIGHT(I324))=1, VALUE(RIGHT(I324))=3), "남", "여")</f>
        <v>여</v>
      </c>
    </row>
    <row r="325" spans="2:11" x14ac:dyDescent="0.25">
      <c r="B325">
        <f>ROW(B325)-9</f>
        <v>316</v>
      </c>
      <c r="J325">
        <f>YEAR(TODAY())-VALUE(LEFT(I325,2))-IF(OR(VALUE(RIGHT(I325))=1, VALUE(RIGHT(I325))=2), 1900, 2000)</f>
        <v>26</v>
      </c>
      <c r="K325" t="str">
        <f>IF(OR(VALUE(RIGHT(I325))=1, VALUE(RIGHT(I325))=3), "남", "여")</f>
        <v>여</v>
      </c>
    </row>
    <row r="326" spans="2:11" x14ac:dyDescent="0.25">
      <c r="B326">
        <f>ROW(B326)-9</f>
        <v>317</v>
      </c>
      <c r="J326">
        <f>YEAR(TODAY())-VALUE(LEFT(I326,2))-IF(OR(VALUE(RIGHT(I326))=1, VALUE(RIGHT(I326))=2), 1900, 2000)</f>
        <v>26</v>
      </c>
      <c r="K326" t="str">
        <f>IF(OR(VALUE(RIGHT(I326))=1, VALUE(RIGHT(I326))=3), "남", "여")</f>
        <v>여</v>
      </c>
    </row>
    <row r="327" spans="2:11" x14ac:dyDescent="0.25">
      <c r="B327">
        <f>ROW(B327)-9</f>
        <v>318</v>
      </c>
      <c r="J327">
        <f>YEAR(TODAY())-VALUE(LEFT(I327,2))-IF(OR(VALUE(RIGHT(I327))=1, VALUE(RIGHT(I327))=2), 1900, 2000)</f>
        <v>26</v>
      </c>
      <c r="K327" t="str">
        <f>IF(OR(VALUE(RIGHT(I327))=1, VALUE(RIGHT(I327))=3), "남", "여")</f>
        <v>여</v>
      </c>
    </row>
    <row r="328" spans="2:11" x14ac:dyDescent="0.25">
      <c r="B328">
        <f>ROW(B328)-9</f>
        <v>319</v>
      </c>
      <c r="J328">
        <f>YEAR(TODAY())-VALUE(LEFT(I328,2))-IF(OR(VALUE(RIGHT(I328))=1, VALUE(RIGHT(I328))=2), 1900, 2000)</f>
        <v>26</v>
      </c>
      <c r="K328" t="str">
        <f>IF(OR(VALUE(RIGHT(I328))=1, VALUE(RIGHT(I328))=3), "남", "여")</f>
        <v>여</v>
      </c>
    </row>
    <row r="329" spans="2:11" x14ac:dyDescent="0.25">
      <c r="B329">
        <f>ROW(B329)-9</f>
        <v>320</v>
      </c>
      <c r="J329">
        <f>YEAR(TODAY())-VALUE(LEFT(I329,2))-IF(OR(VALUE(RIGHT(I329))=1, VALUE(RIGHT(I329))=2), 1900, 2000)</f>
        <v>26</v>
      </c>
      <c r="K329" t="str">
        <f>IF(OR(VALUE(RIGHT(I329))=1, VALUE(RIGHT(I329))=3), "남", "여")</f>
        <v>여</v>
      </c>
    </row>
    <row r="330" spans="2:11" x14ac:dyDescent="0.25">
      <c r="B330">
        <f>ROW(B330)-9</f>
        <v>321</v>
      </c>
      <c r="J330">
        <f>YEAR(TODAY())-VALUE(LEFT(I330,2))-IF(OR(VALUE(RIGHT(I330))=1, VALUE(RIGHT(I330))=2), 1900, 2000)</f>
        <v>26</v>
      </c>
      <c r="K330" t="str">
        <f>IF(OR(VALUE(RIGHT(I330))=1, VALUE(RIGHT(I330))=3), "남", "여")</f>
        <v>여</v>
      </c>
    </row>
    <row r="331" spans="2:11" x14ac:dyDescent="0.25">
      <c r="B331">
        <f>ROW(B331)-9</f>
        <v>322</v>
      </c>
      <c r="J331">
        <f>YEAR(TODAY())-VALUE(LEFT(I331,2))-IF(OR(VALUE(RIGHT(I331))=1, VALUE(RIGHT(I331))=2), 1900, 2000)</f>
        <v>26</v>
      </c>
      <c r="K331" t="str">
        <f>IF(OR(VALUE(RIGHT(I331))=1, VALUE(RIGHT(I331))=3), "남", "여")</f>
        <v>여</v>
      </c>
    </row>
    <row r="332" spans="2:11" x14ac:dyDescent="0.25">
      <c r="B332">
        <f>ROW(B332)-9</f>
        <v>323</v>
      </c>
      <c r="J332">
        <f>YEAR(TODAY())-VALUE(LEFT(I332,2))-IF(OR(VALUE(RIGHT(I332))=1, VALUE(RIGHT(I332))=2), 1900, 2000)</f>
        <v>26</v>
      </c>
      <c r="K332" t="str">
        <f>IF(OR(VALUE(RIGHT(I332))=1, VALUE(RIGHT(I332))=3), "남", "여")</f>
        <v>여</v>
      </c>
    </row>
    <row r="333" spans="2:11" x14ac:dyDescent="0.25">
      <c r="B333">
        <f>ROW(B333)-9</f>
        <v>324</v>
      </c>
      <c r="J333">
        <f>YEAR(TODAY())-VALUE(LEFT(I333,2))-IF(OR(VALUE(RIGHT(I333))=1, VALUE(RIGHT(I333))=2), 1900, 2000)</f>
        <v>26</v>
      </c>
      <c r="K333" t="str">
        <f>IF(OR(VALUE(RIGHT(I333))=1, VALUE(RIGHT(I333))=3), "남", "여")</f>
        <v>여</v>
      </c>
    </row>
    <row r="334" spans="2:11" x14ac:dyDescent="0.25">
      <c r="B334">
        <f>ROW(B334)-9</f>
        <v>325</v>
      </c>
      <c r="J334">
        <f>YEAR(TODAY())-VALUE(LEFT(I334,2))-IF(OR(VALUE(RIGHT(I334))=1, VALUE(RIGHT(I334))=2), 1900, 2000)</f>
        <v>26</v>
      </c>
      <c r="K334" t="str">
        <f>IF(OR(VALUE(RIGHT(I334))=1, VALUE(RIGHT(I334))=3), "남", "여")</f>
        <v>여</v>
      </c>
    </row>
    <row r="335" spans="2:11" x14ac:dyDescent="0.25">
      <c r="B335">
        <f>ROW(B335)-9</f>
        <v>326</v>
      </c>
      <c r="J335">
        <f>YEAR(TODAY())-VALUE(LEFT(I335,2))-IF(OR(VALUE(RIGHT(I335))=1, VALUE(RIGHT(I335))=2), 1900, 2000)</f>
        <v>26</v>
      </c>
      <c r="K335" t="str">
        <f>IF(OR(VALUE(RIGHT(I335))=1, VALUE(RIGHT(I335))=3), "남", "여")</f>
        <v>여</v>
      </c>
    </row>
    <row r="336" spans="2:11" x14ac:dyDescent="0.25">
      <c r="B336">
        <f>ROW(B336)-9</f>
        <v>327</v>
      </c>
      <c r="J336">
        <f>YEAR(TODAY())-VALUE(LEFT(I336,2))-IF(OR(VALUE(RIGHT(I336))=1, VALUE(RIGHT(I336))=2), 1900, 2000)</f>
        <v>26</v>
      </c>
      <c r="K336" t="str">
        <f>IF(OR(VALUE(RIGHT(I336))=1, VALUE(RIGHT(I336))=3), "남", "여")</f>
        <v>여</v>
      </c>
    </row>
    <row r="337" spans="2:11" x14ac:dyDescent="0.25">
      <c r="B337">
        <f>ROW(B337)-9</f>
        <v>328</v>
      </c>
      <c r="J337">
        <f>YEAR(TODAY())-VALUE(LEFT(I337,2))-IF(OR(VALUE(RIGHT(I337))=1, VALUE(RIGHT(I337))=2), 1900, 2000)</f>
        <v>26</v>
      </c>
      <c r="K337" t="str">
        <f>IF(OR(VALUE(RIGHT(I337))=1, VALUE(RIGHT(I337))=3), "남", "여")</f>
        <v>여</v>
      </c>
    </row>
    <row r="338" spans="2:11" x14ac:dyDescent="0.25">
      <c r="B338">
        <f>ROW(B338)-9</f>
        <v>329</v>
      </c>
      <c r="J338">
        <f>YEAR(TODAY())-VALUE(LEFT(I338,2))-IF(OR(VALUE(RIGHT(I338))=1, VALUE(RIGHT(I338))=2), 1900, 2000)</f>
        <v>26</v>
      </c>
      <c r="K338" t="str">
        <f>IF(OR(VALUE(RIGHT(I338))=1, VALUE(RIGHT(I338))=3), "남", "여")</f>
        <v>여</v>
      </c>
    </row>
    <row r="339" spans="2:11" x14ac:dyDescent="0.25">
      <c r="B339">
        <f>ROW(B339)-9</f>
        <v>330</v>
      </c>
      <c r="J339">
        <f>YEAR(TODAY())-VALUE(LEFT(I339,2))-IF(OR(VALUE(RIGHT(I339))=1, VALUE(RIGHT(I339))=2), 1900, 2000)</f>
        <v>26</v>
      </c>
      <c r="K339" t="str">
        <f>IF(OR(VALUE(RIGHT(I339))=1, VALUE(RIGHT(I339))=3), "남", "여")</f>
        <v>여</v>
      </c>
    </row>
    <row r="340" spans="2:11" x14ac:dyDescent="0.25">
      <c r="B340">
        <f>ROW(B340)-9</f>
        <v>331</v>
      </c>
      <c r="J340">
        <f>YEAR(TODAY())-VALUE(LEFT(I340,2))-IF(OR(VALUE(RIGHT(I340))=1, VALUE(RIGHT(I340))=2), 1900, 2000)</f>
        <v>26</v>
      </c>
      <c r="K340" t="str">
        <f>IF(OR(VALUE(RIGHT(I340))=1, VALUE(RIGHT(I340))=3), "남", "여")</f>
        <v>여</v>
      </c>
    </row>
    <row r="341" spans="2:11" x14ac:dyDescent="0.25">
      <c r="B341">
        <f>ROW(B341)-9</f>
        <v>332</v>
      </c>
      <c r="J341">
        <f>YEAR(TODAY())-VALUE(LEFT(I341,2))-IF(OR(VALUE(RIGHT(I341))=1, VALUE(RIGHT(I341))=2), 1900, 2000)</f>
        <v>26</v>
      </c>
      <c r="K341" t="str">
        <f>IF(OR(VALUE(RIGHT(I341))=1, VALUE(RIGHT(I341))=3), "남", "여")</f>
        <v>여</v>
      </c>
    </row>
    <row r="342" spans="2:11" x14ac:dyDescent="0.25">
      <c r="B342">
        <f>ROW(B342)-9</f>
        <v>333</v>
      </c>
      <c r="J342">
        <f>YEAR(TODAY())-VALUE(LEFT(I342,2))-IF(OR(VALUE(RIGHT(I342))=1, VALUE(RIGHT(I342))=2), 1900, 2000)</f>
        <v>26</v>
      </c>
      <c r="K342" t="str">
        <f>IF(OR(VALUE(RIGHT(I342))=1, VALUE(RIGHT(I342))=3), "남", "여")</f>
        <v>여</v>
      </c>
    </row>
    <row r="343" spans="2:11" x14ac:dyDescent="0.25">
      <c r="B343">
        <f>ROW(B343)-9</f>
        <v>334</v>
      </c>
      <c r="J343">
        <f>YEAR(TODAY())-VALUE(LEFT(I343,2))-IF(OR(VALUE(RIGHT(I343))=1, VALUE(RIGHT(I343))=2), 1900, 2000)</f>
        <v>26</v>
      </c>
      <c r="K343" t="str">
        <f>IF(OR(VALUE(RIGHT(I343))=1, VALUE(RIGHT(I343))=3), "남", "여")</f>
        <v>여</v>
      </c>
    </row>
    <row r="344" spans="2:11" x14ac:dyDescent="0.25">
      <c r="B344">
        <f>ROW(B344)-9</f>
        <v>335</v>
      </c>
      <c r="J344">
        <f>YEAR(TODAY())-VALUE(LEFT(I344,2))-IF(OR(VALUE(RIGHT(I344))=1, VALUE(RIGHT(I344))=2), 1900, 2000)</f>
        <v>26</v>
      </c>
      <c r="K344" t="str">
        <f>IF(OR(VALUE(RIGHT(I344))=1, VALUE(RIGHT(I344))=3), "남", "여")</f>
        <v>여</v>
      </c>
    </row>
    <row r="345" spans="2:11" x14ac:dyDescent="0.25">
      <c r="B345">
        <f>ROW(B345)-9</f>
        <v>336</v>
      </c>
      <c r="J345">
        <f>YEAR(TODAY())-VALUE(LEFT(I345,2))-IF(OR(VALUE(RIGHT(I345))=1, VALUE(RIGHT(I345))=2), 1900, 2000)</f>
        <v>26</v>
      </c>
      <c r="K345" t="str">
        <f>IF(OR(VALUE(RIGHT(I345))=1, VALUE(RIGHT(I345))=3), "남", "여")</f>
        <v>여</v>
      </c>
    </row>
    <row r="346" spans="2:11" x14ac:dyDescent="0.25">
      <c r="B346">
        <f>ROW(B346)-9</f>
        <v>337</v>
      </c>
      <c r="J346">
        <f>YEAR(TODAY())-VALUE(LEFT(I346,2))-IF(OR(VALUE(RIGHT(I346))=1, VALUE(RIGHT(I346))=2), 1900, 2000)</f>
        <v>26</v>
      </c>
      <c r="K346" t="str">
        <f>IF(OR(VALUE(RIGHT(I346))=1, VALUE(RIGHT(I346))=3), "남", "여")</f>
        <v>여</v>
      </c>
    </row>
    <row r="347" spans="2:11" x14ac:dyDescent="0.25">
      <c r="B347">
        <f>ROW(B347)-9</f>
        <v>338</v>
      </c>
      <c r="J347">
        <f>YEAR(TODAY())-VALUE(LEFT(I347,2))-IF(OR(VALUE(RIGHT(I347))=1, VALUE(RIGHT(I347))=2), 1900, 2000)</f>
        <v>26</v>
      </c>
      <c r="K347" t="str">
        <f>IF(OR(VALUE(RIGHT(I347))=1, VALUE(RIGHT(I347))=3), "남", "여")</f>
        <v>여</v>
      </c>
    </row>
    <row r="348" spans="2:11" x14ac:dyDescent="0.25">
      <c r="B348">
        <f>ROW(B348)-9</f>
        <v>339</v>
      </c>
      <c r="J348">
        <f>YEAR(TODAY())-VALUE(LEFT(I348,2))-IF(OR(VALUE(RIGHT(I348))=1, VALUE(RIGHT(I348))=2), 1900, 2000)</f>
        <v>26</v>
      </c>
      <c r="K348" t="str">
        <f>IF(OR(VALUE(RIGHT(I348))=1, VALUE(RIGHT(I348))=3), "남", "여")</f>
        <v>여</v>
      </c>
    </row>
    <row r="349" spans="2:11" x14ac:dyDescent="0.25">
      <c r="B349">
        <f>ROW(B349)-9</f>
        <v>340</v>
      </c>
      <c r="J349">
        <f>YEAR(TODAY())-VALUE(LEFT(I349,2))-IF(OR(VALUE(RIGHT(I349))=1, VALUE(RIGHT(I349))=2), 1900, 2000)</f>
        <v>26</v>
      </c>
      <c r="K349" t="str">
        <f>IF(OR(VALUE(RIGHT(I349))=1, VALUE(RIGHT(I349))=3), "남", "여")</f>
        <v>여</v>
      </c>
    </row>
    <row r="350" spans="2:11" x14ac:dyDescent="0.25">
      <c r="B350">
        <f>ROW(B350)-9</f>
        <v>341</v>
      </c>
      <c r="J350">
        <f>YEAR(TODAY())-VALUE(LEFT(I350,2))-IF(OR(VALUE(RIGHT(I350))=1, VALUE(RIGHT(I350))=2), 1900, 2000)</f>
        <v>26</v>
      </c>
      <c r="K350" t="str">
        <f>IF(OR(VALUE(RIGHT(I350))=1, VALUE(RIGHT(I350))=3), "남", "여")</f>
        <v>여</v>
      </c>
    </row>
    <row r="351" spans="2:11" x14ac:dyDescent="0.25">
      <c r="B351">
        <f>ROW(B351)-9</f>
        <v>342</v>
      </c>
      <c r="J351">
        <f>YEAR(TODAY())-VALUE(LEFT(I351,2))-IF(OR(VALUE(RIGHT(I351))=1, VALUE(RIGHT(I351))=2), 1900, 2000)</f>
        <v>26</v>
      </c>
      <c r="K351" t="str">
        <f>IF(OR(VALUE(RIGHT(I351))=1, VALUE(RIGHT(I351))=3), "남", "여")</f>
        <v>여</v>
      </c>
    </row>
    <row r="352" spans="2:11" x14ac:dyDescent="0.25">
      <c r="B352">
        <f>ROW(B352)-9</f>
        <v>343</v>
      </c>
      <c r="J352">
        <f>YEAR(TODAY())-VALUE(LEFT(I352,2))-IF(OR(VALUE(RIGHT(I352))=1, VALUE(RIGHT(I352))=2), 1900, 2000)</f>
        <v>26</v>
      </c>
      <c r="K352" t="str">
        <f>IF(OR(VALUE(RIGHT(I352))=1, VALUE(RIGHT(I352))=3), "남", "여")</f>
        <v>여</v>
      </c>
    </row>
    <row r="353" spans="2:11" x14ac:dyDescent="0.25">
      <c r="B353">
        <f>ROW(B353)-9</f>
        <v>344</v>
      </c>
      <c r="J353">
        <f>YEAR(TODAY())-VALUE(LEFT(I353,2))-IF(OR(VALUE(RIGHT(I353))=1, VALUE(RIGHT(I353))=2), 1900, 2000)</f>
        <v>26</v>
      </c>
      <c r="K353" t="str">
        <f>IF(OR(VALUE(RIGHT(I353))=1, VALUE(RIGHT(I353))=3), "남", "여")</f>
        <v>여</v>
      </c>
    </row>
    <row r="354" spans="2:11" x14ac:dyDescent="0.25">
      <c r="B354">
        <f>ROW(B354)-9</f>
        <v>345</v>
      </c>
      <c r="J354">
        <f>YEAR(TODAY())-VALUE(LEFT(I354,2))-IF(OR(VALUE(RIGHT(I354))=1, VALUE(RIGHT(I354))=2), 1900, 2000)</f>
        <v>26</v>
      </c>
      <c r="K354" t="str">
        <f>IF(OR(VALUE(RIGHT(I354))=1, VALUE(RIGHT(I354))=3), "남", "여")</f>
        <v>여</v>
      </c>
    </row>
    <row r="355" spans="2:11" x14ac:dyDescent="0.25">
      <c r="B355">
        <f>ROW(B355)-9</f>
        <v>346</v>
      </c>
      <c r="J355">
        <f>YEAR(TODAY())-VALUE(LEFT(I355,2))-IF(OR(VALUE(RIGHT(I355))=1, VALUE(RIGHT(I355))=2), 1900, 2000)</f>
        <v>26</v>
      </c>
      <c r="K355" t="str">
        <f>IF(OR(VALUE(RIGHT(I355))=1, VALUE(RIGHT(I355))=3), "남", "여")</f>
        <v>여</v>
      </c>
    </row>
    <row r="356" spans="2:11" x14ac:dyDescent="0.25">
      <c r="B356">
        <f>ROW(B356)-9</f>
        <v>347</v>
      </c>
      <c r="J356">
        <f>YEAR(TODAY())-VALUE(LEFT(I356,2))-IF(OR(VALUE(RIGHT(I356))=1, VALUE(RIGHT(I356))=2), 1900, 2000)</f>
        <v>26</v>
      </c>
      <c r="K356" t="str">
        <f>IF(OR(VALUE(RIGHT(I356))=1, VALUE(RIGHT(I356))=3), "남", "여")</f>
        <v>여</v>
      </c>
    </row>
    <row r="357" spans="2:11" x14ac:dyDescent="0.25">
      <c r="B357">
        <f>ROW(B357)-9</f>
        <v>348</v>
      </c>
      <c r="J357">
        <f>YEAR(TODAY())-VALUE(LEFT(I357,2))-IF(OR(VALUE(RIGHT(I357))=1, VALUE(RIGHT(I357))=2), 1900, 2000)</f>
        <v>26</v>
      </c>
      <c r="K357" t="str">
        <f>IF(OR(VALUE(RIGHT(I357))=1, VALUE(RIGHT(I357))=3), "남", "여")</f>
        <v>여</v>
      </c>
    </row>
    <row r="358" spans="2:11" x14ac:dyDescent="0.25">
      <c r="B358">
        <f>ROW(B358)-9</f>
        <v>349</v>
      </c>
      <c r="J358">
        <f>YEAR(TODAY())-VALUE(LEFT(I358,2))-IF(OR(VALUE(RIGHT(I358))=1, VALUE(RIGHT(I358))=2), 1900, 2000)</f>
        <v>26</v>
      </c>
      <c r="K358" t="str">
        <f>IF(OR(VALUE(RIGHT(I358))=1, VALUE(RIGHT(I358))=3), "남", "여")</f>
        <v>여</v>
      </c>
    </row>
    <row r="359" spans="2:11" x14ac:dyDescent="0.25">
      <c r="B359">
        <f>ROW(B359)-9</f>
        <v>350</v>
      </c>
      <c r="J359">
        <f>YEAR(TODAY())-VALUE(LEFT(I359,2))-IF(OR(VALUE(RIGHT(I359))=1, VALUE(RIGHT(I359))=2), 1900, 2000)</f>
        <v>26</v>
      </c>
      <c r="K359" t="str">
        <f>IF(OR(VALUE(RIGHT(I359))=1, VALUE(RIGHT(I359))=3), "남", "여")</f>
        <v>여</v>
      </c>
    </row>
    <row r="360" spans="2:11" x14ac:dyDescent="0.25">
      <c r="B360">
        <f>ROW(B360)-9</f>
        <v>351</v>
      </c>
      <c r="J360">
        <f>YEAR(TODAY())-VALUE(LEFT(I360,2))-IF(OR(VALUE(RIGHT(I360))=1, VALUE(RIGHT(I360))=2), 1900, 2000)</f>
        <v>26</v>
      </c>
      <c r="K360" t="str">
        <f>IF(OR(VALUE(RIGHT(I360))=1, VALUE(RIGHT(I360))=3), "남", "여")</f>
        <v>여</v>
      </c>
    </row>
    <row r="361" spans="2:11" x14ac:dyDescent="0.25">
      <c r="B361">
        <f>ROW(B361)-9</f>
        <v>352</v>
      </c>
      <c r="J361">
        <f>YEAR(TODAY())-VALUE(LEFT(I361,2))-IF(OR(VALUE(RIGHT(I361))=1, VALUE(RIGHT(I361))=2), 1900, 2000)</f>
        <v>26</v>
      </c>
      <c r="K361" t="str">
        <f>IF(OR(VALUE(RIGHT(I361))=1, VALUE(RIGHT(I361))=3), "남", "여")</f>
        <v>여</v>
      </c>
    </row>
    <row r="362" spans="2:11" x14ac:dyDescent="0.25">
      <c r="B362">
        <f>ROW(B362)-9</f>
        <v>353</v>
      </c>
      <c r="J362">
        <f>YEAR(TODAY())-VALUE(LEFT(I362,2))-IF(OR(VALUE(RIGHT(I362))=1, VALUE(RIGHT(I362))=2), 1900, 2000)</f>
        <v>26</v>
      </c>
      <c r="K362" t="str">
        <f>IF(OR(VALUE(RIGHT(I362))=1, VALUE(RIGHT(I362))=3), "남", "여")</f>
        <v>여</v>
      </c>
    </row>
    <row r="363" spans="2:11" x14ac:dyDescent="0.25">
      <c r="B363">
        <f>ROW(B363)-9</f>
        <v>354</v>
      </c>
      <c r="J363">
        <f>YEAR(TODAY())-VALUE(LEFT(I363,2))-IF(OR(VALUE(RIGHT(I363))=1, VALUE(RIGHT(I363))=2), 1900, 2000)</f>
        <v>26</v>
      </c>
      <c r="K363" t="str">
        <f>IF(OR(VALUE(RIGHT(I363))=1, VALUE(RIGHT(I363))=3), "남", "여")</f>
        <v>여</v>
      </c>
    </row>
    <row r="364" spans="2:11" x14ac:dyDescent="0.25">
      <c r="B364">
        <f>ROW(B364)-9</f>
        <v>355</v>
      </c>
      <c r="J364">
        <f>YEAR(TODAY())-VALUE(LEFT(I364,2))-IF(OR(VALUE(RIGHT(I364))=1, VALUE(RIGHT(I364))=2), 1900, 2000)</f>
        <v>26</v>
      </c>
      <c r="K364" t="str">
        <f>IF(OR(VALUE(RIGHT(I364))=1, VALUE(RIGHT(I364))=3), "남", "여")</f>
        <v>여</v>
      </c>
    </row>
    <row r="365" spans="2:11" x14ac:dyDescent="0.25">
      <c r="B365">
        <f>ROW(B365)-9</f>
        <v>356</v>
      </c>
      <c r="J365">
        <f>YEAR(TODAY())-VALUE(LEFT(I365,2))-IF(OR(VALUE(RIGHT(I365))=1, VALUE(RIGHT(I365))=2), 1900, 2000)</f>
        <v>26</v>
      </c>
      <c r="K365" t="str">
        <f>IF(OR(VALUE(RIGHT(I365))=1, VALUE(RIGHT(I365))=3), "남", "여")</f>
        <v>여</v>
      </c>
    </row>
    <row r="366" spans="2:11" x14ac:dyDescent="0.25">
      <c r="B366">
        <f>ROW(B366)-9</f>
        <v>357</v>
      </c>
      <c r="J366">
        <f>YEAR(TODAY())-VALUE(LEFT(I366,2))-IF(OR(VALUE(RIGHT(I366))=1, VALUE(RIGHT(I366))=2), 1900, 2000)</f>
        <v>26</v>
      </c>
      <c r="K366" t="str">
        <f>IF(OR(VALUE(RIGHT(I366))=1, VALUE(RIGHT(I366))=3), "남", "여")</f>
        <v>여</v>
      </c>
    </row>
    <row r="367" spans="2:11" x14ac:dyDescent="0.25">
      <c r="B367">
        <f>ROW(B367)-9</f>
        <v>358</v>
      </c>
      <c r="J367">
        <f>YEAR(TODAY())-VALUE(LEFT(I367,2))-IF(OR(VALUE(RIGHT(I367))=1, VALUE(RIGHT(I367))=2), 1900, 2000)</f>
        <v>26</v>
      </c>
      <c r="K367" t="str">
        <f>IF(OR(VALUE(RIGHT(I367))=1, VALUE(RIGHT(I367))=3), "남", "여")</f>
        <v>여</v>
      </c>
    </row>
    <row r="368" spans="2:11" x14ac:dyDescent="0.25">
      <c r="B368">
        <f>ROW(B368)-9</f>
        <v>359</v>
      </c>
      <c r="J368">
        <f>YEAR(TODAY())-VALUE(LEFT(I368,2))-IF(OR(VALUE(RIGHT(I368))=1, VALUE(RIGHT(I368))=2), 1900, 2000)</f>
        <v>26</v>
      </c>
      <c r="K368" t="str">
        <f>IF(OR(VALUE(RIGHT(I368))=1, VALUE(RIGHT(I368))=3), "남", "여")</f>
        <v>여</v>
      </c>
    </row>
    <row r="369" spans="2:11" x14ac:dyDescent="0.25">
      <c r="B369">
        <f>ROW(B369)-9</f>
        <v>360</v>
      </c>
      <c r="J369">
        <f>YEAR(TODAY())-VALUE(LEFT(I369,2))-IF(OR(VALUE(RIGHT(I369))=1, VALUE(RIGHT(I369))=2), 1900, 2000)</f>
        <v>26</v>
      </c>
      <c r="K369" t="str">
        <f>IF(OR(VALUE(RIGHT(I369))=1, VALUE(RIGHT(I369))=3), "남", "여")</f>
        <v>여</v>
      </c>
    </row>
    <row r="370" spans="2:11" x14ac:dyDescent="0.25">
      <c r="B370">
        <f>ROW(B370)-9</f>
        <v>361</v>
      </c>
      <c r="J370">
        <f>YEAR(TODAY())-VALUE(LEFT(I370,2))-IF(OR(VALUE(RIGHT(I370))=1, VALUE(RIGHT(I370))=2), 1900, 2000)</f>
        <v>26</v>
      </c>
      <c r="K370" t="str">
        <f>IF(OR(VALUE(RIGHT(I370))=1, VALUE(RIGHT(I370))=3), "남", "여")</f>
        <v>여</v>
      </c>
    </row>
    <row r="371" spans="2:11" x14ac:dyDescent="0.25">
      <c r="B371">
        <f>ROW(B371)-9</f>
        <v>362</v>
      </c>
      <c r="J371">
        <f>YEAR(TODAY())-VALUE(LEFT(I371,2))-IF(OR(VALUE(RIGHT(I371))=1, VALUE(RIGHT(I371))=2), 1900, 2000)</f>
        <v>26</v>
      </c>
      <c r="K371" t="str">
        <f>IF(OR(VALUE(RIGHT(I371))=1, VALUE(RIGHT(I371))=3), "남", "여")</f>
        <v>여</v>
      </c>
    </row>
    <row r="372" spans="2:11" x14ac:dyDescent="0.25">
      <c r="B372">
        <f>ROW(B372)-9</f>
        <v>363</v>
      </c>
      <c r="J372">
        <f>YEAR(TODAY())-VALUE(LEFT(I372,2))-IF(OR(VALUE(RIGHT(I372))=1, VALUE(RIGHT(I372))=2), 1900, 2000)</f>
        <v>26</v>
      </c>
      <c r="K372" t="str">
        <f>IF(OR(VALUE(RIGHT(I372))=1, VALUE(RIGHT(I372))=3), "남", "여")</f>
        <v>여</v>
      </c>
    </row>
    <row r="373" spans="2:11" x14ac:dyDescent="0.25">
      <c r="B373">
        <f>ROW(B373)-9</f>
        <v>364</v>
      </c>
      <c r="J373">
        <f>YEAR(TODAY())-VALUE(LEFT(I373,2))-IF(OR(VALUE(RIGHT(I373))=1, VALUE(RIGHT(I373))=2), 1900, 2000)</f>
        <v>26</v>
      </c>
      <c r="K373" t="str">
        <f>IF(OR(VALUE(RIGHT(I373))=1, VALUE(RIGHT(I373))=3), "남", "여")</f>
        <v>여</v>
      </c>
    </row>
    <row r="374" spans="2:11" x14ac:dyDescent="0.25">
      <c r="B374">
        <f>ROW(B374)-9</f>
        <v>365</v>
      </c>
      <c r="J374">
        <f>YEAR(TODAY())-VALUE(LEFT(I374,2))-IF(OR(VALUE(RIGHT(I374))=1, VALUE(RIGHT(I374))=2), 1900, 2000)</f>
        <v>26</v>
      </c>
      <c r="K374" t="str">
        <f>IF(OR(VALUE(RIGHT(I374))=1, VALUE(RIGHT(I374))=3), "남", "여")</f>
        <v>여</v>
      </c>
    </row>
    <row r="375" spans="2:11" x14ac:dyDescent="0.25">
      <c r="B375">
        <f>ROW(B375)-9</f>
        <v>366</v>
      </c>
      <c r="J375">
        <f>YEAR(TODAY())-VALUE(LEFT(I375,2))-IF(OR(VALUE(RIGHT(I375))=1, VALUE(RIGHT(I375))=2), 1900, 2000)</f>
        <v>26</v>
      </c>
      <c r="K375" t="str">
        <f>IF(OR(VALUE(RIGHT(I375))=1, VALUE(RIGHT(I375))=3), "남", "여")</f>
        <v>여</v>
      </c>
    </row>
    <row r="376" spans="2:11" x14ac:dyDescent="0.25">
      <c r="B376">
        <f>ROW(B376)-9</f>
        <v>367</v>
      </c>
      <c r="J376">
        <f>YEAR(TODAY())-VALUE(LEFT(I376,2))-IF(OR(VALUE(RIGHT(I376))=1, VALUE(RIGHT(I376))=2), 1900, 2000)</f>
        <v>26</v>
      </c>
      <c r="K376" t="str">
        <f>IF(OR(VALUE(RIGHT(I376))=1, VALUE(RIGHT(I376))=3), "남", "여")</f>
        <v>여</v>
      </c>
    </row>
    <row r="377" spans="2:11" x14ac:dyDescent="0.25">
      <c r="B377">
        <f>ROW(B377)-9</f>
        <v>368</v>
      </c>
      <c r="J377">
        <f>YEAR(TODAY())-VALUE(LEFT(I377,2))-IF(OR(VALUE(RIGHT(I377))=1, VALUE(RIGHT(I377))=2), 1900, 2000)</f>
        <v>26</v>
      </c>
      <c r="K377" t="str">
        <f>IF(OR(VALUE(RIGHT(I377))=1, VALUE(RIGHT(I377))=3), "남", "여")</f>
        <v>여</v>
      </c>
    </row>
    <row r="378" spans="2:11" x14ac:dyDescent="0.25">
      <c r="B378">
        <f>ROW(B378)-9</f>
        <v>369</v>
      </c>
      <c r="J378">
        <f>YEAR(TODAY())-VALUE(LEFT(I378,2))-IF(OR(VALUE(RIGHT(I378))=1, VALUE(RIGHT(I378))=2), 1900, 2000)</f>
        <v>26</v>
      </c>
      <c r="K378" t="str">
        <f>IF(OR(VALUE(RIGHT(I378))=1, VALUE(RIGHT(I378))=3), "남", "여")</f>
        <v>여</v>
      </c>
    </row>
    <row r="379" spans="2:11" x14ac:dyDescent="0.25">
      <c r="B379">
        <f>ROW(B379)-9</f>
        <v>370</v>
      </c>
      <c r="J379">
        <f>YEAR(TODAY())-VALUE(LEFT(I379,2))-IF(OR(VALUE(RIGHT(I379))=1, VALUE(RIGHT(I379))=2), 1900, 2000)</f>
        <v>26</v>
      </c>
      <c r="K379" t="str">
        <f>IF(OR(VALUE(RIGHT(I379))=1, VALUE(RIGHT(I379))=3), "남", "여")</f>
        <v>여</v>
      </c>
    </row>
    <row r="380" spans="2:11" x14ac:dyDescent="0.25">
      <c r="B380">
        <f>ROW(B380)-9</f>
        <v>371</v>
      </c>
      <c r="J380">
        <f>YEAR(TODAY())-VALUE(LEFT(I380,2))-IF(OR(VALUE(RIGHT(I380))=1, VALUE(RIGHT(I380))=2), 1900, 2000)</f>
        <v>26</v>
      </c>
      <c r="K380" t="str">
        <f>IF(OR(VALUE(RIGHT(I380))=1, VALUE(RIGHT(I380))=3), "남", "여")</f>
        <v>여</v>
      </c>
    </row>
    <row r="381" spans="2:11" x14ac:dyDescent="0.25">
      <c r="B381">
        <f>ROW(B381)-9</f>
        <v>372</v>
      </c>
      <c r="J381">
        <f>YEAR(TODAY())-VALUE(LEFT(I381,2))-IF(OR(VALUE(RIGHT(I381))=1, VALUE(RIGHT(I381))=2), 1900, 2000)</f>
        <v>26</v>
      </c>
      <c r="K381" t="str">
        <f>IF(OR(VALUE(RIGHT(I381))=1, VALUE(RIGHT(I381))=3), "남", "여")</f>
        <v>여</v>
      </c>
    </row>
    <row r="382" spans="2:11" x14ac:dyDescent="0.25">
      <c r="B382">
        <f>ROW(B382)-9</f>
        <v>373</v>
      </c>
      <c r="J382">
        <f>YEAR(TODAY())-VALUE(LEFT(I382,2))-IF(OR(VALUE(RIGHT(I382))=1, VALUE(RIGHT(I382))=2), 1900, 2000)</f>
        <v>26</v>
      </c>
      <c r="K382" t="str">
        <f>IF(OR(VALUE(RIGHT(I382))=1, VALUE(RIGHT(I382))=3), "남", "여")</f>
        <v>여</v>
      </c>
    </row>
    <row r="383" spans="2:11" x14ac:dyDescent="0.25">
      <c r="B383">
        <f>ROW(B383)-9</f>
        <v>374</v>
      </c>
      <c r="J383">
        <f>YEAR(TODAY())-VALUE(LEFT(I383,2))-IF(OR(VALUE(RIGHT(I383))=1, VALUE(RIGHT(I383))=2), 1900, 2000)</f>
        <v>26</v>
      </c>
      <c r="K383" t="str">
        <f>IF(OR(VALUE(RIGHT(I383))=1, VALUE(RIGHT(I383))=3), "남", "여")</f>
        <v>여</v>
      </c>
    </row>
    <row r="384" spans="2:11" x14ac:dyDescent="0.25">
      <c r="B384">
        <f>ROW(B384)-9</f>
        <v>375</v>
      </c>
      <c r="J384">
        <f>YEAR(TODAY())-VALUE(LEFT(I384,2))-IF(OR(VALUE(RIGHT(I384))=1, VALUE(RIGHT(I384))=2), 1900, 2000)</f>
        <v>26</v>
      </c>
      <c r="K384" t="str">
        <f>IF(OR(VALUE(RIGHT(I384))=1, VALUE(RIGHT(I384))=3), "남", "여")</f>
        <v>여</v>
      </c>
    </row>
    <row r="385" spans="2:11" x14ac:dyDescent="0.25">
      <c r="B385">
        <f>ROW(B385)-9</f>
        <v>376</v>
      </c>
      <c r="J385">
        <f>YEAR(TODAY())-VALUE(LEFT(I385,2))-IF(OR(VALUE(RIGHT(I385))=1, VALUE(RIGHT(I385))=2), 1900, 2000)</f>
        <v>26</v>
      </c>
      <c r="K385" t="str">
        <f>IF(OR(VALUE(RIGHT(I385))=1, VALUE(RIGHT(I385))=3), "남", "여")</f>
        <v>여</v>
      </c>
    </row>
    <row r="386" spans="2:11" x14ac:dyDescent="0.25">
      <c r="B386">
        <f>ROW(B386)-9</f>
        <v>377</v>
      </c>
      <c r="J386">
        <f>YEAR(TODAY())-VALUE(LEFT(I386,2))-IF(OR(VALUE(RIGHT(I386))=1, VALUE(RIGHT(I386))=2), 1900, 2000)</f>
        <v>26</v>
      </c>
      <c r="K386" t="str">
        <f>IF(OR(VALUE(RIGHT(I386))=1, VALUE(RIGHT(I386))=3), "남", "여")</f>
        <v>여</v>
      </c>
    </row>
    <row r="387" spans="2:11" x14ac:dyDescent="0.25">
      <c r="B387">
        <f>ROW(B387)-9</f>
        <v>378</v>
      </c>
      <c r="J387">
        <f>YEAR(TODAY())-VALUE(LEFT(I387,2))-IF(OR(VALUE(RIGHT(I387))=1, VALUE(RIGHT(I387))=2), 1900, 2000)</f>
        <v>26</v>
      </c>
      <c r="K387" t="str">
        <f>IF(OR(VALUE(RIGHT(I387))=1, VALUE(RIGHT(I387))=3), "남", "여")</f>
        <v>여</v>
      </c>
    </row>
    <row r="388" spans="2:11" x14ac:dyDescent="0.25">
      <c r="B388">
        <f>ROW(B388)-9</f>
        <v>379</v>
      </c>
      <c r="J388">
        <f>YEAR(TODAY())-VALUE(LEFT(I388,2))-IF(OR(VALUE(RIGHT(I388))=1, VALUE(RIGHT(I388))=2), 1900, 2000)</f>
        <v>26</v>
      </c>
      <c r="K388" t="str">
        <f>IF(OR(VALUE(RIGHT(I388))=1, VALUE(RIGHT(I388))=3), "남", "여")</f>
        <v>여</v>
      </c>
    </row>
    <row r="389" spans="2:11" x14ac:dyDescent="0.25">
      <c r="B389">
        <f>ROW(B389)-9</f>
        <v>380</v>
      </c>
      <c r="J389">
        <f>YEAR(TODAY())-VALUE(LEFT(I389,2))-IF(OR(VALUE(RIGHT(I389))=1, VALUE(RIGHT(I389))=2), 1900, 2000)</f>
        <v>26</v>
      </c>
      <c r="K389" t="str">
        <f>IF(OR(VALUE(RIGHT(I389))=1, VALUE(RIGHT(I389))=3), "남", "여")</f>
        <v>여</v>
      </c>
    </row>
    <row r="390" spans="2:11" x14ac:dyDescent="0.25">
      <c r="B390">
        <f>ROW(B390)-9</f>
        <v>381</v>
      </c>
      <c r="J390">
        <f>YEAR(TODAY())-VALUE(LEFT(I390,2))-IF(OR(VALUE(RIGHT(I390))=1, VALUE(RIGHT(I390))=2), 1900, 2000)</f>
        <v>26</v>
      </c>
      <c r="K390" t="str">
        <f>IF(OR(VALUE(RIGHT(I390))=1, VALUE(RIGHT(I390))=3), "남", "여")</f>
        <v>여</v>
      </c>
    </row>
    <row r="391" spans="2:11" x14ac:dyDescent="0.25">
      <c r="B391">
        <f>ROW(B391)-9</f>
        <v>382</v>
      </c>
      <c r="J391">
        <f>YEAR(TODAY())-VALUE(LEFT(I391,2))-IF(OR(VALUE(RIGHT(I391))=1, VALUE(RIGHT(I391))=2), 1900, 2000)</f>
        <v>26</v>
      </c>
      <c r="K391" t="str">
        <f>IF(OR(VALUE(RIGHT(I391))=1, VALUE(RIGHT(I391))=3), "남", "여")</f>
        <v>여</v>
      </c>
    </row>
    <row r="392" spans="2:11" x14ac:dyDescent="0.25">
      <c r="B392">
        <f>ROW(B392)-9</f>
        <v>383</v>
      </c>
      <c r="J392">
        <f>YEAR(TODAY())-VALUE(LEFT(I392,2))-IF(OR(VALUE(RIGHT(I392))=1, VALUE(RIGHT(I392))=2), 1900, 2000)</f>
        <v>26</v>
      </c>
      <c r="K392" t="str">
        <f>IF(OR(VALUE(RIGHT(I392))=1, VALUE(RIGHT(I392))=3), "남", "여")</f>
        <v>여</v>
      </c>
    </row>
    <row r="393" spans="2:11" x14ac:dyDescent="0.25">
      <c r="B393">
        <f>ROW(B393)-9</f>
        <v>384</v>
      </c>
      <c r="J393">
        <f>YEAR(TODAY())-VALUE(LEFT(I393,2))-IF(OR(VALUE(RIGHT(I393))=1, VALUE(RIGHT(I393))=2), 1900, 2000)</f>
        <v>26</v>
      </c>
      <c r="K393" t="str">
        <f>IF(OR(VALUE(RIGHT(I393))=1, VALUE(RIGHT(I393))=3), "남", "여")</f>
        <v>여</v>
      </c>
    </row>
    <row r="394" spans="2:11" x14ac:dyDescent="0.25">
      <c r="B394">
        <f>ROW(B394)-9</f>
        <v>385</v>
      </c>
      <c r="J394">
        <f>YEAR(TODAY())-VALUE(LEFT(I394,2))-IF(OR(VALUE(RIGHT(I394))=1, VALUE(RIGHT(I394))=2), 1900, 2000)</f>
        <v>26</v>
      </c>
      <c r="K394" t="str">
        <f>IF(OR(VALUE(RIGHT(I394))=1, VALUE(RIGHT(I394))=3), "남", "여")</f>
        <v>여</v>
      </c>
    </row>
    <row r="395" spans="2:11" x14ac:dyDescent="0.25">
      <c r="B395">
        <f>ROW(B395)-9</f>
        <v>386</v>
      </c>
      <c r="J395">
        <f>YEAR(TODAY())-VALUE(LEFT(I395,2))-IF(OR(VALUE(RIGHT(I395))=1, VALUE(RIGHT(I395))=2), 1900, 2000)</f>
        <v>26</v>
      </c>
      <c r="K395" t="str">
        <f>IF(OR(VALUE(RIGHT(I395))=1, VALUE(RIGHT(I395))=3), "남", "여")</f>
        <v>여</v>
      </c>
    </row>
    <row r="396" spans="2:11" x14ac:dyDescent="0.25">
      <c r="B396">
        <f>ROW(B396)-9</f>
        <v>387</v>
      </c>
      <c r="J396">
        <f>YEAR(TODAY())-VALUE(LEFT(I396,2))-IF(OR(VALUE(RIGHT(I396))=1, VALUE(RIGHT(I396))=2), 1900, 2000)</f>
        <v>26</v>
      </c>
      <c r="K396" t="str">
        <f>IF(OR(VALUE(RIGHT(I396))=1, VALUE(RIGHT(I396))=3), "남", "여")</f>
        <v>여</v>
      </c>
    </row>
    <row r="397" spans="2:11" x14ac:dyDescent="0.25">
      <c r="B397">
        <f>ROW(B397)-9</f>
        <v>388</v>
      </c>
      <c r="J397">
        <f>YEAR(TODAY())-VALUE(LEFT(I397,2))-IF(OR(VALUE(RIGHT(I397))=1, VALUE(RIGHT(I397))=2), 1900, 2000)</f>
        <v>26</v>
      </c>
      <c r="K397" t="str">
        <f>IF(OR(VALUE(RIGHT(I397))=1, VALUE(RIGHT(I397))=3), "남", "여")</f>
        <v>여</v>
      </c>
    </row>
    <row r="398" spans="2:11" x14ac:dyDescent="0.25">
      <c r="B398">
        <f>ROW(B398)-9</f>
        <v>389</v>
      </c>
      <c r="J398">
        <f>YEAR(TODAY())-VALUE(LEFT(I398,2))-IF(OR(VALUE(RIGHT(I398))=1, VALUE(RIGHT(I398))=2), 1900, 2000)</f>
        <v>26</v>
      </c>
      <c r="K398" t="str">
        <f>IF(OR(VALUE(RIGHT(I398))=1, VALUE(RIGHT(I398))=3), "남", "여")</f>
        <v>여</v>
      </c>
    </row>
    <row r="399" spans="2:11" x14ac:dyDescent="0.25">
      <c r="B399">
        <f>ROW(B399)-9</f>
        <v>390</v>
      </c>
      <c r="J399">
        <f>YEAR(TODAY())-VALUE(LEFT(I399,2))-IF(OR(VALUE(RIGHT(I399))=1, VALUE(RIGHT(I399))=2), 1900, 2000)</f>
        <v>26</v>
      </c>
      <c r="K399" t="str">
        <f>IF(OR(VALUE(RIGHT(I399))=1, VALUE(RIGHT(I399))=3), "남", "여")</f>
        <v>여</v>
      </c>
    </row>
    <row r="400" spans="2:11" x14ac:dyDescent="0.25">
      <c r="B400">
        <f>ROW(B400)-9</f>
        <v>391</v>
      </c>
      <c r="J400">
        <f>YEAR(TODAY())-VALUE(LEFT(I400,2))-IF(OR(VALUE(RIGHT(I400))=1, VALUE(RIGHT(I400))=2), 1900, 2000)</f>
        <v>26</v>
      </c>
      <c r="K400" t="str">
        <f>IF(OR(VALUE(RIGHT(I400))=1, VALUE(RIGHT(I400))=3), "남", "여")</f>
        <v>여</v>
      </c>
    </row>
    <row r="401" spans="2:11" x14ac:dyDescent="0.25">
      <c r="B401">
        <f>ROW(B401)-9</f>
        <v>392</v>
      </c>
      <c r="J401">
        <f>YEAR(TODAY())-VALUE(LEFT(I401,2))-IF(OR(VALUE(RIGHT(I401))=1, VALUE(RIGHT(I401))=2), 1900, 2000)</f>
        <v>26</v>
      </c>
      <c r="K401" t="str">
        <f>IF(OR(VALUE(RIGHT(I401))=1, VALUE(RIGHT(I401))=3), "남", "여")</f>
        <v>여</v>
      </c>
    </row>
    <row r="402" spans="2:11" x14ac:dyDescent="0.25">
      <c r="B402">
        <f>ROW(B402)-9</f>
        <v>393</v>
      </c>
      <c r="J402">
        <f>YEAR(TODAY())-VALUE(LEFT(I402,2))-IF(OR(VALUE(RIGHT(I402))=1, VALUE(RIGHT(I402))=2), 1900, 2000)</f>
        <v>26</v>
      </c>
      <c r="K402" t="str">
        <f>IF(OR(VALUE(RIGHT(I402))=1, VALUE(RIGHT(I402))=3), "남", "여")</f>
        <v>여</v>
      </c>
    </row>
    <row r="403" spans="2:11" x14ac:dyDescent="0.25">
      <c r="B403">
        <f>ROW(B403)-9</f>
        <v>394</v>
      </c>
      <c r="J403">
        <f>YEAR(TODAY())-VALUE(LEFT(I403,2))-IF(OR(VALUE(RIGHT(I403))=1, VALUE(RIGHT(I403))=2), 1900, 2000)</f>
        <v>26</v>
      </c>
      <c r="K403" t="str">
        <f>IF(OR(VALUE(RIGHT(I403))=1, VALUE(RIGHT(I403))=3), "남", "여")</f>
        <v>여</v>
      </c>
    </row>
    <row r="404" spans="2:11" x14ac:dyDescent="0.25">
      <c r="B404">
        <f>ROW(B404)-9</f>
        <v>395</v>
      </c>
      <c r="J404">
        <f>YEAR(TODAY())-VALUE(LEFT(I404,2))-IF(OR(VALUE(RIGHT(I404))=1, VALUE(RIGHT(I404))=2), 1900, 2000)</f>
        <v>26</v>
      </c>
      <c r="K404" t="str">
        <f>IF(OR(VALUE(RIGHT(I404))=1, VALUE(RIGHT(I404))=3), "남", "여")</f>
        <v>여</v>
      </c>
    </row>
    <row r="405" spans="2:11" x14ac:dyDescent="0.25">
      <c r="B405">
        <f>ROW(B405)-9</f>
        <v>396</v>
      </c>
      <c r="J405">
        <f>YEAR(TODAY())-VALUE(LEFT(I405,2))-IF(OR(VALUE(RIGHT(I405))=1, VALUE(RIGHT(I405))=2), 1900, 2000)</f>
        <v>26</v>
      </c>
      <c r="K405" t="str">
        <f>IF(OR(VALUE(RIGHT(I405))=1, VALUE(RIGHT(I405))=3), "남", "여")</f>
        <v>여</v>
      </c>
    </row>
    <row r="406" spans="2:11" x14ac:dyDescent="0.25">
      <c r="B406">
        <f>ROW(B406)-9</f>
        <v>397</v>
      </c>
      <c r="J406">
        <f>YEAR(TODAY())-VALUE(LEFT(I406,2))-IF(OR(VALUE(RIGHT(I406))=1, VALUE(RIGHT(I406))=2), 1900, 2000)</f>
        <v>26</v>
      </c>
      <c r="K406" t="str">
        <f>IF(OR(VALUE(RIGHT(I406))=1, VALUE(RIGHT(I406))=3), "남", "여")</f>
        <v>여</v>
      </c>
    </row>
    <row r="407" spans="2:11" x14ac:dyDescent="0.25">
      <c r="B407">
        <f>ROW(B407)-9</f>
        <v>398</v>
      </c>
      <c r="J407">
        <f>YEAR(TODAY())-VALUE(LEFT(I407,2))-IF(OR(VALUE(RIGHT(I407))=1, VALUE(RIGHT(I407))=2), 1900, 2000)</f>
        <v>26</v>
      </c>
      <c r="K407" t="str">
        <f>IF(OR(VALUE(RIGHT(I407))=1, VALUE(RIGHT(I407))=3), "남", "여")</f>
        <v>여</v>
      </c>
    </row>
    <row r="408" spans="2:11" x14ac:dyDescent="0.25">
      <c r="B408">
        <f>ROW(B408)-9</f>
        <v>399</v>
      </c>
      <c r="J408">
        <f>YEAR(TODAY())-VALUE(LEFT(I408,2))-IF(OR(VALUE(RIGHT(I408))=1, VALUE(RIGHT(I408))=2), 1900, 2000)</f>
        <v>26</v>
      </c>
      <c r="K408" t="str">
        <f>IF(OR(VALUE(RIGHT(I408))=1, VALUE(RIGHT(I408))=3), "남", "여")</f>
        <v>여</v>
      </c>
    </row>
    <row r="409" spans="2:11" x14ac:dyDescent="0.25">
      <c r="B409">
        <f>ROW(B409)-9</f>
        <v>400</v>
      </c>
      <c r="J409">
        <f>YEAR(TODAY())-VALUE(LEFT(I409,2))-IF(OR(VALUE(RIGHT(I409))=1, VALUE(RIGHT(I409))=2), 1900, 2000)</f>
        <v>26</v>
      </c>
      <c r="K409" t="str">
        <f>IF(OR(VALUE(RIGHT(I409))=1, VALUE(RIGHT(I409))=3), "남", "여")</f>
        <v>여</v>
      </c>
    </row>
    <row r="410" spans="2:11" x14ac:dyDescent="0.25">
      <c r="B410">
        <f>ROW(B410)-9</f>
        <v>401</v>
      </c>
      <c r="J410">
        <f>YEAR(TODAY())-VALUE(LEFT(I410,2))-IF(OR(VALUE(RIGHT(I410))=1, VALUE(RIGHT(I410))=2), 1900, 2000)</f>
        <v>26</v>
      </c>
      <c r="K410" t="str">
        <f>IF(OR(VALUE(RIGHT(I410))=1, VALUE(RIGHT(I410))=3), "남", "여")</f>
        <v>여</v>
      </c>
    </row>
    <row r="411" spans="2:11" x14ac:dyDescent="0.25">
      <c r="B411">
        <f>ROW(B411)-9</f>
        <v>402</v>
      </c>
      <c r="J411">
        <f>YEAR(TODAY())-VALUE(LEFT(I411,2))-IF(OR(VALUE(RIGHT(I411))=1, VALUE(RIGHT(I411))=2), 1900, 2000)</f>
        <v>26</v>
      </c>
      <c r="K411" t="str">
        <f>IF(OR(VALUE(RIGHT(I411))=1, VALUE(RIGHT(I411))=3), "남", "여")</f>
        <v>여</v>
      </c>
    </row>
    <row r="412" spans="2:11" x14ac:dyDescent="0.25">
      <c r="B412">
        <f>ROW(B412)-9</f>
        <v>403</v>
      </c>
      <c r="J412">
        <f>YEAR(TODAY())-VALUE(LEFT(I412,2))-IF(OR(VALUE(RIGHT(I412))=1, VALUE(RIGHT(I412))=2), 1900, 2000)</f>
        <v>26</v>
      </c>
      <c r="K412" t="str">
        <f>IF(OR(VALUE(RIGHT(I412))=1, VALUE(RIGHT(I412))=3), "남", "여")</f>
        <v>여</v>
      </c>
    </row>
    <row r="413" spans="2:11" x14ac:dyDescent="0.25">
      <c r="B413">
        <f>ROW(B413)-9</f>
        <v>404</v>
      </c>
      <c r="J413">
        <f>YEAR(TODAY())-VALUE(LEFT(I413,2))-IF(OR(VALUE(RIGHT(I413))=1, VALUE(RIGHT(I413))=2), 1900, 2000)</f>
        <v>26</v>
      </c>
      <c r="K413" t="str">
        <f>IF(OR(VALUE(RIGHT(I413))=1, VALUE(RIGHT(I413))=3), "남", "여")</f>
        <v>여</v>
      </c>
    </row>
    <row r="414" spans="2:11" x14ac:dyDescent="0.25">
      <c r="B414">
        <f>ROW(B414)-9</f>
        <v>405</v>
      </c>
      <c r="J414">
        <f>YEAR(TODAY())-VALUE(LEFT(I414,2))-IF(OR(VALUE(RIGHT(I414))=1, VALUE(RIGHT(I414))=2), 1900, 2000)</f>
        <v>26</v>
      </c>
      <c r="K414" t="str">
        <f>IF(OR(VALUE(RIGHT(I414))=1, VALUE(RIGHT(I414))=3), "남", "여")</f>
        <v>여</v>
      </c>
    </row>
    <row r="415" spans="2:11" x14ac:dyDescent="0.25">
      <c r="B415">
        <f>ROW(B415)-9</f>
        <v>406</v>
      </c>
      <c r="J415">
        <f>YEAR(TODAY())-VALUE(LEFT(I415,2))-IF(OR(VALUE(RIGHT(I415))=1, VALUE(RIGHT(I415))=2), 1900, 2000)</f>
        <v>26</v>
      </c>
      <c r="K415" t="str">
        <f>IF(OR(VALUE(RIGHT(I415))=1, VALUE(RIGHT(I415))=3), "남", "여")</f>
        <v>여</v>
      </c>
    </row>
    <row r="416" spans="2:11" x14ac:dyDescent="0.25">
      <c r="B416">
        <f>ROW(B416)-9</f>
        <v>407</v>
      </c>
      <c r="J416">
        <f>YEAR(TODAY())-VALUE(LEFT(I416,2))-IF(OR(VALUE(RIGHT(I416))=1, VALUE(RIGHT(I416))=2), 1900, 2000)</f>
        <v>26</v>
      </c>
      <c r="K416" t="str">
        <f>IF(OR(VALUE(RIGHT(I416))=1, VALUE(RIGHT(I416))=3), "남", "여")</f>
        <v>여</v>
      </c>
    </row>
    <row r="417" spans="2:11" x14ac:dyDescent="0.25">
      <c r="B417">
        <f>ROW(B417)-9</f>
        <v>408</v>
      </c>
      <c r="J417">
        <f>YEAR(TODAY())-VALUE(LEFT(I417,2))-IF(OR(VALUE(RIGHT(I417))=1, VALUE(RIGHT(I417))=2), 1900, 2000)</f>
        <v>26</v>
      </c>
      <c r="K417" t="str">
        <f>IF(OR(VALUE(RIGHT(I417))=1, VALUE(RIGHT(I417))=3), "남", "여")</f>
        <v>여</v>
      </c>
    </row>
    <row r="418" spans="2:11" x14ac:dyDescent="0.25">
      <c r="B418">
        <f>ROW(B418)-9</f>
        <v>409</v>
      </c>
      <c r="J418">
        <f>YEAR(TODAY())-VALUE(LEFT(I418,2))-IF(OR(VALUE(RIGHT(I418))=1, VALUE(RIGHT(I418))=2), 1900, 2000)</f>
        <v>26</v>
      </c>
      <c r="K418" t="str">
        <f>IF(OR(VALUE(RIGHT(I418))=1, VALUE(RIGHT(I418))=3), "남", "여")</f>
        <v>여</v>
      </c>
    </row>
    <row r="419" spans="2:11" x14ac:dyDescent="0.25">
      <c r="B419">
        <f>ROW(B419)-9</f>
        <v>410</v>
      </c>
      <c r="J419">
        <f>YEAR(TODAY())-VALUE(LEFT(I419,2))-IF(OR(VALUE(RIGHT(I419))=1, VALUE(RIGHT(I419))=2), 1900, 2000)</f>
        <v>26</v>
      </c>
      <c r="K419" t="str">
        <f>IF(OR(VALUE(RIGHT(I419))=1, VALUE(RIGHT(I419))=3), "남", "여")</f>
        <v>여</v>
      </c>
    </row>
    <row r="420" spans="2:11" x14ac:dyDescent="0.25">
      <c r="B420">
        <f>ROW(B420)-9</f>
        <v>411</v>
      </c>
      <c r="J420">
        <f>YEAR(TODAY())-VALUE(LEFT(I420,2))-IF(OR(VALUE(RIGHT(I420))=1, VALUE(RIGHT(I420))=2), 1900, 2000)</f>
        <v>26</v>
      </c>
      <c r="K420" t="str">
        <f>IF(OR(VALUE(RIGHT(I420))=1, VALUE(RIGHT(I420))=3), "남", "여")</f>
        <v>여</v>
      </c>
    </row>
    <row r="421" spans="2:11" x14ac:dyDescent="0.25">
      <c r="B421">
        <f>ROW(B421)-9</f>
        <v>412</v>
      </c>
      <c r="J421">
        <f>YEAR(TODAY())-VALUE(LEFT(I421,2))-IF(OR(VALUE(RIGHT(I421))=1, VALUE(RIGHT(I421))=2), 1900, 2000)</f>
        <v>26</v>
      </c>
      <c r="K421" t="str">
        <f>IF(OR(VALUE(RIGHT(I421))=1, VALUE(RIGHT(I421))=3), "남", "여")</f>
        <v>여</v>
      </c>
    </row>
    <row r="422" spans="2:11" x14ac:dyDescent="0.25">
      <c r="B422">
        <f>ROW(B422)-9</f>
        <v>413</v>
      </c>
      <c r="J422">
        <f>YEAR(TODAY())-VALUE(LEFT(I422,2))-IF(OR(VALUE(RIGHT(I422))=1, VALUE(RIGHT(I422))=2), 1900, 2000)</f>
        <v>26</v>
      </c>
      <c r="K422" t="str">
        <f>IF(OR(VALUE(RIGHT(I422))=1, VALUE(RIGHT(I422))=3), "남", "여")</f>
        <v>여</v>
      </c>
    </row>
    <row r="423" spans="2:11" x14ac:dyDescent="0.25">
      <c r="B423">
        <f>ROW(B423)-9</f>
        <v>414</v>
      </c>
      <c r="J423">
        <f>YEAR(TODAY())-VALUE(LEFT(I423,2))-IF(OR(VALUE(RIGHT(I423))=1, VALUE(RIGHT(I423))=2), 1900, 2000)</f>
        <v>26</v>
      </c>
      <c r="K423" t="str">
        <f>IF(OR(VALUE(RIGHT(I423))=1, VALUE(RIGHT(I423))=3), "남", "여")</f>
        <v>여</v>
      </c>
    </row>
    <row r="424" spans="2:11" x14ac:dyDescent="0.25">
      <c r="B424">
        <f>ROW(B424)-9</f>
        <v>415</v>
      </c>
      <c r="J424">
        <f>YEAR(TODAY())-VALUE(LEFT(I424,2))-IF(OR(VALUE(RIGHT(I424))=1, VALUE(RIGHT(I424))=2), 1900, 2000)</f>
        <v>26</v>
      </c>
      <c r="K424" t="str">
        <f>IF(OR(VALUE(RIGHT(I424))=1, VALUE(RIGHT(I424))=3), "남", "여")</f>
        <v>여</v>
      </c>
    </row>
    <row r="425" spans="2:11" x14ac:dyDescent="0.25">
      <c r="B425">
        <f>ROW(B425)-9</f>
        <v>416</v>
      </c>
      <c r="J425">
        <f>YEAR(TODAY())-VALUE(LEFT(I425,2))-IF(OR(VALUE(RIGHT(I425))=1, VALUE(RIGHT(I425))=2), 1900, 2000)</f>
        <v>26</v>
      </c>
      <c r="K425" t="str">
        <f>IF(OR(VALUE(RIGHT(I425))=1, VALUE(RIGHT(I425))=3), "남", "여")</f>
        <v>여</v>
      </c>
    </row>
    <row r="426" spans="2:11" x14ac:dyDescent="0.25">
      <c r="B426">
        <f>ROW(B426)-9</f>
        <v>417</v>
      </c>
      <c r="J426">
        <f>YEAR(TODAY())-VALUE(LEFT(I426,2))-IF(OR(VALUE(RIGHT(I426))=1, VALUE(RIGHT(I426))=2), 1900, 2000)</f>
        <v>26</v>
      </c>
      <c r="K426" t="str">
        <f>IF(OR(VALUE(RIGHT(I426))=1, VALUE(RIGHT(I426))=3), "남", "여")</f>
        <v>여</v>
      </c>
    </row>
    <row r="427" spans="2:11" x14ac:dyDescent="0.25">
      <c r="B427">
        <f>ROW(B427)-9</f>
        <v>418</v>
      </c>
      <c r="J427">
        <f>YEAR(TODAY())-VALUE(LEFT(I427,2))-IF(OR(VALUE(RIGHT(I427))=1, VALUE(RIGHT(I427))=2), 1900, 2000)</f>
        <v>26</v>
      </c>
      <c r="K427" t="str">
        <f>IF(OR(VALUE(RIGHT(I427))=1, VALUE(RIGHT(I427))=3), "남", "여")</f>
        <v>여</v>
      </c>
    </row>
    <row r="428" spans="2:11" x14ac:dyDescent="0.25">
      <c r="B428">
        <f>ROW(B428)-9</f>
        <v>419</v>
      </c>
      <c r="J428">
        <f>YEAR(TODAY())-VALUE(LEFT(I428,2))-IF(OR(VALUE(RIGHT(I428))=1, VALUE(RIGHT(I428))=2), 1900, 2000)</f>
        <v>26</v>
      </c>
      <c r="K428" t="str">
        <f>IF(OR(VALUE(RIGHT(I428))=1, VALUE(RIGHT(I428))=3), "남", "여")</f>
        <v>여</v>
      </c>
    </row>
    <row r="429" spans="2:11" x14ac:dyDescent="0.25">
      <c r="B429">
        <f>ROW(B429)-9</f>
        <v>420</v>
      </c>
      <c r="J429">
        <f>YEAR(TODAY())-VALUE(LEFT(I429,2))-IF(OR(VALUE(RIGHT(I429))=1, VALUE(RIGHT(I429))=2), 1900, 2000)</f>
        <v>26</v>
      </c>
      <c r="K429" t="str">
        <f>IF(OR(VALUE(RIGHT(I429))=1, VALUE(RIGHT(I429))=3), "남", "여")</f>
        <v>여</v>
      </c>
    </row>
    <row r="430" spans="2:11" x14ac:dyDescent="0.25">
      <c r="B430">
        <f>ROW(B430)-9</f>
        <v>421</v>
      </c>
      <c r="J430">
        <f>YEAR(TODAY())-VALUE(LEFT(I430,2))-IF(OR(VALUE(RIGHT(I430))=1, VALUE(RIGHT(I430))=2), 1900, 2000)</f>
        <v>26</v>
      </c>
      <c r="K430" t="str">
        <f>IF(OR(VALUE(RIGHT(I430))=1, VALUE(RIGHT(I430))=3), "남", "여")</f>
        <v>여</v>
      </c>
    </row>
    <row r="431" spans="2:11" x14ac:dyDescent="0.25">
      <c r="B431">
        <f>ROW(B431)-9</f>
        <v>422</v>
      </c>
      <c r="J431">
        <f>YEAR(TODAY())-VALUE(LEFT(I431,2))-IF(OR(VALUE(RIGHT(I431))=1, VALUE(RIGHT(I431))=2), 1900, 2000)</f>
        <v>26</v>
      </c>
      <c r="K431" t="str">
        <f>IF(OR(VALUE(RIGHT(I431))=1, VALUE(RIGHT(I431))=3), "남", "여")</f>
        <v>여</v>
      </c>
    </row>
    <row r="432" spans="2:11" x14ac:dyDescent="0.25">
      <c r="B432">
        <f>ROW(B432)-9</f>
        <v>423</v>
      </c>
      <c r="J432">
        <f>YEAR(TODAY())-VALUE(LEFT(I432,2))-IF(OR(VALUE(RIGHT(I432))=1, VALUE(RIGHT(I432))=2), 1900, 2000)</f>
        <v>26</v>
      </c>
      <c r="K432" t="str">
        <f>IF(OR(VALUE(RIGHT(I432))=1, VALUE(RIGHT(I432))=3), "남", "여")</f>
        <v>여</v>
      </c>
    </row>
    <row r="433" spans="2:11" x14ac:dyDescent="0.25">
      <c r="B433">
        <f>ROW(B433)-9</f>
        <v>424</v>
      </c>
      <c r="J433">
        <f>YEAR(TODAY())-VALUE(LEFT(I433,2))-IF(OR(VALUE(RIGHT(I433))=1, VALUE(RIGHT(I433))=2), 1900, 2000)</f>
        <v>26</v>
      </c>
      <c r="K433" t="str">
        <f>IF(OR(VALUE(RIGHT(I433))=1, VALUE(RIGHT(I433))=3), "남", "여")</f>
        <v>여</v>
      </c>
    </row>
    <row r="434" spans="2:11" x14ac:dyDescent="0.25">
      <c r="B434">
        <f>ROW(B434)-9</f>
        <v>425</v>
      </c>
      <c r="J434">
        <f>YEAR(TODAY())-VALUE(LEFT(I434,2))-IF(OR(VALUE(RIGHT(I434))=1, VALUE(RIGHT(I434))=2), 1900, 2000)</f>
        <v>26</v>
      </c>
      <c r="K434" t="str">
        <f>IF(OR(VALUE(RIGHT(I434))=1, VALUE(RIGHT(I434))=3), "남", "여")</f>
        <v>여</v>
      </c>
    </row>
    <row r="435" spans="2:11" x14ac:dyDescent="0.25">
      <c r="B435">
        <f>ROW(B435)-9</f>
        <v>426</v>
      </c>
      <c r="J435">
        <f>YEAR(TODAY())-VALUE(LEFT(I435,2))-IF(OR(VALUE(RIGHT(I435))=1, VALUE(RIGHT(I435))=2), 1900, 2000)</f>
        <v>26</v>
      </c>
      <c r="K435" t="str">
        <f>IF(OR(VALUE(RIGHT(I435))=1, VALUE(RIGHT(I435))=3), "남", "여")</f>
        <v>여</v>
      </c>
    </row>
    <row r="436" spans="2:11" x14ac:dyDescent="0.25">
      <c r="B436">
        <f>ROW(B436)-9</f>
        <v>427</v>
      </c>
      <c r="J436">
        <f>YEAR(TODAY())-VALUE(LEFT(I436,2))-IF(OR(VALUE(RIGHT(I436))=1, VALUE(RIGHT(I436))=2), 1900, 2000)</f>
        <v>26</v>
      </c>
      <c r="K436" t="str">
        <f>IF(OR(VALUE(RIGHT(I436))=1, VALUE(RIGHT(I436))=3), "남", "여")</f>
        <v>여</v>
      </c>
    </row>
    <row r="437" spans="2:2" x14ac:dyDescent="0.25">
      <c r="B437">
        <f>ROW(B437)-9</f>
        <v>428</v>
      </c>
    </row>
    <row r="438" spans="2:2" x14ac:dyDescent="0.25">
      <c r="B438">
        <f>ROW(B438)-9</f>
        <v>429</v>
      </c>
    </row>
    <row r="439" spans="2:2" x14ac:dyDescent="0.25">
      <c r="B439">
        <f>ROW(B439)-9</f>
        <v>430</v>
      </c>
    </row>
    <row r="440" spans="2:2" x14ac:dyDescent="0.25">
      <c r="B440">
        <f>ROW(B440)-9</f>
        <v>431</v>
      </c>
    </row>
    <row r="441" spans="2:2" x14ac:dyDescent="0.25">
      <c r="B441">
        <f>ROW(B441)-9</f>
        <v>432</v>
      </c>
    </row>
    <row r="442" spans="2:2" x14ac:dyDescent="0.25">
      <c r="B442">
        <f>ROW(B442)-9</f>
        <v>433</v>
      </c>
    </row>
    <row r="443" spans="2:2" x14ac:dyDescent="0.25">
      <c r="B443">
        <f>ROW(B443)-9</f>
        <v>434</v>
      </c>
    </row>
    <row r="444" spans="2:2" x14ac:dyDescent="0.25">
      <c r="B444">
        <f>ROW(B444)-9</f>
        <v>435</v>
      </c>
    </row>
    <row r="445" spans="2:2" x14ac:dyDescent="0.25">
      <c r="B445">
        <f>ROW(B445)-9</f>
        <v>436</v>
      </c>
    </row>
    <row r="446" spans="2:2" x14ac:dyDescent="0.25">
      <c r="B446">
        <f>ROW(B446)-9</f>
        <v>437</v>
      </c>
    </row>
    <row r="447" spans="2:2" x14ac:dyDescent="0.25">
      <c r="B447">
        <f>ROW(B447)-9</f>
        <v>438</v>
      </c>
    </row>
    <row r="448" spans="2:2" x14ac:dyDescent="0.25">
      <c r="B448">
        <f>ROW(B448)-9</f>
        <v>439</v>
      </c>
    </row>
    <row r="449" spans="2:2" x14ac:dyDescent="0.25">
      <c r="B449">
        <f>ROW(B449)-9</f>
        <v>440</v>
      </c>
    </row>
    <row r="450" spans="2:2" x14ac:dyDescent="0.25">
      <c r="B450">
        <f>ROW(B450)-9</f>
        <v>441</v>
      </c>
    </row>
    <row r="451" spans="2:2" x14ac:dyDescent="0.25">
      <c r="B451">
        <f>ROW(B451)-9</f>
        <v>442</v>
      </c>
    </row>
    <row r="452" spans="2:2" x14ac:dyDescent="0.25">
      <c r="B452">
        <f>ROW(B452)-9</f>
        <v>443</v>
      </c>
    </row>
    <row r="453" spans="2:2" x14ac:dyDescent="0.25">
      <c r="B453">
        <f>ROW(B453)-9</f>
        <v>444</v>
      </c>
    </row>
    <row r="454" spans="2:2" x14ac:dyDescent="0.25">
      <c r="B454">
        <f>ROW(B454)-9</f>
        <v>445</v>
      </c>
    </row>
    <row r="455" spans="2:2" x14ac:dyDescent="0.25">
      <c r="B455">
        <f>ROW(B455)-9</f>
        <v>446</v>
      </c>
    </row>
    <row r="456" spans="2:2" x14ac:dyDescent="0.25">
      <c r="B456">
        <f>ROW(B456)-9</f>
        <v>447</v>
      </c>
    </row>
    <row r="457" spans="2:2" x14ac:dyDescent="0.25">
      <c r="B457">
        <f>ROW(B457)-9</f>
        <v>448</v>
      </c>
    </row>
    <row r="458" spans="2:2" x14ac:dyDescent="0.25">
      <c r="B458">
        <f>ROW(B458)-9</f>
        <v>449</v>
      </c>
    </row>
    <row r="459" spans="2:2" x14ac:dyDescent="0.25">
      <c r="B459">
        <f>ROW(B459)-9</f>
        <v>450</v>
      </c>
    </row>
    <row r="460" spans="2:2" x14ac:dyDescent="0.25">
      <c r="B460">
        <f>ROW(B460)-9</f>
        <v>451</v>
      </c>
    </row>
    <row r="461" spans="2:2" x14ac:dyDescent="0.25">
      <c r="B461">
        <f>ROW(B461)-9</f>
        <v>452</v>
      </c>
    </row>
    <row r="462" spans="2:2" x14ac:dyDescent="0.25">
      <c r="B462">
        <f>ROW(B462)-9</f>
        <v>453</v>
      </c>
    </row>
    <row r="463" spans="2:2" x14ac:dyDescent="0.25">
      <c r="B463">
        <f>ROW(B463)-9</f>
        <v>454</v>
      </c>
    </row>
    <row r="464" spans="2:2" x14ac:dyDescent="0.25">
      <c r="B464">
        <f>ROW(B464)-9</f>
        <v>455</v>
      </c>
    </row>
    <row r="465" spans="2:2" x14ac:dyDescent="0.25">
      <c r="B465">
        <f>ROW(B465)-9</f>
        <v>456</v>
      </c>
    </row>
    <row r="466" spans="2:2" x14ac:dyDescent="0.25">
      <c r="B466">
        <f>ROW(B466)-9</f>
        <v>457</v>
      </c>
    </row>
    <row r="467" spans="2:2" x14ac:dyDescent="0.25">
      <c r="B467">
        <f>ROW(B467)-9</f>
        <v>458</v>
      </c>
    </row>
    <row r="468" spans="2:2" x14ac:dyDescent="0.25">
      <c r="B468">
        <f>ROW(B468)-9</f>
        <v>459</v>
      </c>
    </row>
    <row r="469" spans="2:2" x14ac:dyDescent="0.25">
      <c r="B469">
        <f>ROW(B469)-9</f>
        <v>460</v>
      </c>
    </row>
    <row r="470" spans="2:2" x14ac:dyDescent="0.25">
      <c r="B470">
        <f>ROW(B470)-9</f>
        <v>461</v>
      </c>
    </row>
    <row r="471" spans="2:2" x14ac:dyDescent="0.25">
      <c r="B471">
        <f>ROW(B471)-9</f>
        <v>462</v>
      </c>
    </row>
    <row r="472" spans="2:2" x14ac:dyDescent="0.25">
      <c r="B472">
        <f>ROW(B472)-9</f>
        <v>463</v>
      </c>
    </row>
    <row r="473" spans="2:2" x14ac:dyDescent="0.25">
      <c r="B473">
        <f>ROW(B473)-9</f>
        <v>464</v>
      </c>
    </row>
    <row r="474" spans="2:2" x14ac:dyDescent="0.25">
      <c r="B474">
        <f>ROW(B474)-9</f>
        <v>465</v>
      </c>
    </row>
    <row r="475" spans="2:2" x14ac:dyDescent="0.25">
      <c r="B475">
        <f>ROW(B475)-9</f>
        <v>466</v>
      </c>
    </row>
    <row r="476" spans="2:2" x14ac:dyDescent="0.25">
      <c r="B476">
        <f>ROW(B476)-9</f>
        <v>467</v>
      </c>
    </row>
    <row r="477" spans="2:2" x14ac:dyDescent="0.25">
      <c r="B477">
        <f>ROW(B477)-9</f>
        <v>468</v>
      </c>
    </row>
    <row r="478" spans="2:2" x14ac:dyDescent="0.25">
      <c r="B478">
        <f>ROW(B478)-9</f>
        <v>469</v>
      </c>
    </row>
    <row r="479" spans="2:2" x14ac:dyDescent="0.25">
      <c r="B479">
        <f>ROW(B479)-9</f>
        <v>470</v>
      </c>
    </row>
    <row r="480" spans="2:2" x14ac:dyDescent="0.25">
      <c r="B480">
        <f>ROW(B480)-9</f>
        <v>471</v>
      </c>
    </row>
    <row r="481" spans="2:2" x14ac:dyDescent="0.25">
      <c r="B481">
        <f>ROW(B481)-9</f>
        <v>472</v>
      </c>
    </row>
    <row r="482" spans="2:2" x14ac:dyDescent="0.25">
      <c r="B482">
        <f>ROW(B482)-9</f>
        <v>473</v>
      </c>
    </row>
    <row r="483" spans="2:2" x14ac:dyDescent="0.25">
      <c r="B483">
        <f>ROW(B483)-9</f>
        <v>474</v>
      </c>
    </row>
    <row r="484" spans="2:2" x14ac:dyDescent="0.25">
      <c r="B484">
        <f>ROW(B484)-9</f>
        <v>475</v>
      </c>
    </row>
    <row r="485" spans="2:2" x14ac:dyDescent="0.25">
      <c r="B485">
        <f>ROW(B485)-9</f>
        <v>476</v>
      </c>
    </row>
    <row r="486" spans="2:2" x14ac:dyDescent="0.25">
      <c r="B486">
        <f>ROW(B486)-9</f>
        <v>477</v>
      </c>
    </row>
    <row r="487" spans="2:2" x14ac:dyDescent="0.25">
      <c r="B487">
        <f>ROW(B487)-9</f>
        <v>478</v>
      </c>
    </row>
    <row r="488" spans="2:2" x14ac:dyDescent="0.25">
      <c r="B488">
        <f>ROW(B488)-9</f>
        <v>479</v>
      </c>
    </row>
    <row r="489" spans="2:2" x14ac:dyDescent="0.25">
      <c r="B489">
        <f>ROW(B489)-9</f>
        <v>480</v>
      </c>
    </row>
    <row r="490" spans="2:2" x14ac:dyDescent="0.25">
      <c r="B490">
        <f>ROW(B490)-9</f>
        <v>481</v>
      </c>
    </row>
    <row r="491" spans="2:2" x14ac:dyDescent="0.25">
      <c r="B491">
        <f>ROW(B491)-9</f>
        <v>482</v>
      </c>
    </row>
    <row r="492" spans="2:2" x14ac:dyDescent="0.25">
      <c r="B492">
        <f>ROW(B492)-9</f>
        <v>483</v>
      </c>
    </row>
    <row r="493" spans="2:2" x14ac:dyDescent="0.25">
      <c r="B493">
        <f>ROW(B493)-9</f>
        <v>484</v>
      </c>
    </row>
    <row r="494" spans="2:2" x14ac:dyDescent="0.25">
      <c r="B494">
        <f>ROW(B494)-9</f>
        <v>485</v>
      </c>
    </row>
    <row r="495" spans="2:2" x14ac:dyDescent="0.25">
      <c r="B495">
        <f>ROW(B495)-9</f>
        <v>486</v>
      </c>
    </row>
    <row r="496" spans="2:2" x14ac:dyDescent="0.25">
      <c r="B496">
        <f>ROW(B496)-9</f>
        <v>487</v>
      </c>
    </row>
    <row r="497" spans="2:2" x14ac:dyDescent="0.25">
      <c r="B497">
        <f>ROW(B497)-9</f>
        <v>488</v>
      </c>
    </row>
    <row r="498" spans="2:2" x14ac:dyDescent="0.25">
      <c r="B498">
        <f>ROW(B498)-9</f>
        <v>489</v>
      </c>
    </row>
    <row r="499" spans="2:2" x14ac:dyDescent="0.25">
      <c r="B499">
        <f>ROW(B499)-9</f>
        <v>490</v>
      </c>
    </row>
    <row r="500" spans="2:2" x14ac:dyDescent="0.25">
      <c r="B500">
        <f>ROW(B500)-9</f>
        <v>491</v>
      </c>
    </row>
    <row r="501" spans="2:2" x14ac:dyDescent="0.25">
      <c r="B501">
        <f>ROW(B501)-9</f>
        <v>492</v>
      </c>
    </row>
    <row r="502" spans="2:2" x14ac:dyDescent="0.25">
      <c r="B502">
        <f>ROW(B502)-9</f>
        <v>493</v>
      </c>
    </row>
    <row r="503" spans="2:2" x14ac:dyDescent="0.25">
      <c r="B503">
        <f>ROW(B503)-9</f>
        <v>494</v>
      </c>
    </row>
    <row r="504" spans="2:2" x14ac:dyDescent="0.25">
      <c r="B504">
        <f>ROW(B504)-9</f>
        <v>495</v>
      </c>
    </row>
    <row r="505" spans="2:2" x14ac:dyDescent="0.25">
      <c r="B505">
        <f>ROW(B505)-9</f>
        <v>496</v>
      </c>
    </row>
    <row r="506" spans="2:2" x14ac:dyDescent="0.25">
      <c r="B506">
        <f>ROW(B506)-9</f>
        <v>497</v>
      </c>
    </row>
    <row r="507" spans="2:2" x14ac:dyDescent="0.25">
      <c r="B507">
        <f>ROW(B507)-9</f>
        <v>498</v>
      </c>
    </row>
    <row r="508" spans="2:2" x14ac:dyDescent="0.25">
      <c r="B508">
        <f>ROW(B508)-9</f>
        <v>499</v>
      </c>
    </row>
    <row r="509" spans="2:2" x14ac:dyDescent="0.25">
      <c r="B509">
        <f>ROW(B509)-9</f>
        <v>500</v>
      </c>
    </row>
    <row r="510" spans="2:2" x14ac:dyDescent="0.25">
      <c r="B510">
        <f>ROW(B510)-9</f>
        <v>501</v>
      </c>
    </row>
    <row r="511" spans="2:2" x14ac:dyDescent="0.25">
      <c r="B511">
        <f>ROW(B511)-9</f>
        <v>502</v>
      </c>
    </row>
    <row r="512" spans="2:2" x14ac:dyDescent="0.25">
      <c r="B512">
        <f>ROW(B512)-9</f>
        <v>503</v>
      </c>
    </row>
    <row r="513" spans="2:2" x14ac:dyDescent="0.25">
      <c r="B513">
        <f>ROW(B513)-9</f>
        <v>504</v>
      </c>
    </row>
    <row r="514" spans="2:2" x14ac:dyDescent="0.25">
      <c r="B514">
        <f>ROW(B514)-9</f>
        <v>505</v>
      </c>
    </row>
    <row r="515" spans="2:2" x14ac:dyDescent="0.25">
      <c r="B515">
        <f>ROW(B515)-9</f>
        <v>506</v>
      </c>
    </row>
    <row r="516" spans="2:2" x14ac:dyDescent="0.25">
      <c r="B516">
        <f>ROW(B516)-9</f>
        <v>507</v>
      </c>
    </row>
    <row r="517" spans="2:2" x14ac:dyDescent="0.25">
      <c r="B517">
        <f>ROW(B517)-9</f>
        <v>508</v>
      </c>
    </row>
    <row r="518" spans="2:2" x14ac:dyDescent="0.25">
      <c r="B518">
        <f>ROW(B518)-9</f>
        <v>509</v>
      </c>
    </row>
    <row r="519" spans="2:2" x14ac:dyDescent="0.25">
      <c r="B519">
        <f>ROW(B519)-9</f>
        <v>510</v>
      </c>
    </row>
    <row r="520" spans="2:2" x14ac:dyDescent="0.25">
      <c r="B520">
        <f>ROW(B520)-9</f>
        <v>511</v>
      </c>
    </row>
    <row r="521" spans="2:2" x14ac:dyDescent="0.25">
      <c r="B521">
        <f>ROW(B521)-9</f>
        <v>512</v>
      </c>
    </row>
    <row r="522" spans="2:2" x14ac:dyDescent="0.25">
      <c r="B522">
        <f>ROW(B522)-9</f>
        <v>513</v>
      </c>
    </row>
    <row r="523" spans="2:2" x14ac:dyDescent="0.25">
      <c r="B523">
        <f>ROW(B523)-9</f>
        <v>514</v>
      </c>
    </row>
    <row r="524" spans="2:2" x14ac:dyDescent="0.25">
      <c r="B524">
        <f>ROW(B524)-9</f>
        <v>515</v>
      </c>
    </row>
    <row r="525" spans="2:2" x14ac:dyDescent="0.25">
      <c r="B525">
        <f>ROW(B525)-9</f>
        <v>516</v>
      </c>
    </row>
    <row r="526" spans="2:2" x14ac:dyDescent="0.25">
      <c r="B526">
        <f>ROW(B526)-9</f>
        <v>517</v>
      </c>
    </row>
    <row r="527" spans="2:2" x14ac:dyDescent="0.25">
      <c r="B527">
        <f>ROW(B527)-9</f>
        <v>518</v>
      </c>
    </row>
    <row r="528" spans="2:2" x14ac:dyDescent="0.25">
      <c r="B528">
        <f>ROW(B528)-9</f>
        <v>519</v>
      </c>
    </row>
    <row r="529" spans="2:2" x14ac:dyDescent="0.25">
      <c r="B529">
        <f>ROW(B529)-9</f>
        <v>520</v>
      </c>
    </row>
    <row r="530" spans="2:2" x14ac:dyDescent="0.25">
      <c r="B530">
        <f>ROW(B530)-9</f>
        <v>521</v>
      </c>
    </row>
    <row r="531" spans="2:2" x14ac:dyDescent="0.25">
      <c r="B531">
        <f>ROW(B531)-9</f>
        <v>522</v>
      </c>
    </row>
    <row r="532" spans="2:2" x14ac:dyDescent="0.25">
      <c r="B532">
        <f>ROW(B532)-9</f>
        <v>523</v>
      </c>
    </row>
    <row r="533" spans="2:2" x14ac:dyDescent="0.25">
      <c r="B533">
        <f>ROW(B533)-9</f>
        <v>524</v>
      </c>
    </row>
    <row r="534" spans="2:2" x14ac:dyDescent="0.25">
      <c r="B534">
        <f>ROW(B534)-9</f>
        <v>525</v>
      </c>
    </row>
    <row r="535" spans="2:2" x14ac:dyDescent="0.25">
      <c r="B535">
        <f>ROW(B535)-9</f>
        <v>526</v>
      </c>
    </row>
    <row r="536" spans="2:2" x14ac:dyDescent="0.25">
      <c r="B536">
        <f>ROW(B536)-9</f>
        <v>527</v>
      </c>
    </row>
    <row r="537" spans="2:2" x14ac:dyDescent="0.25">
      <c r="B537">
        <f>ROW(B537)-9</f>
        <v>528</v>
      </c>
    </row>
    <row r="538" spans="2:2" x14ac:dyDescent="0.25">
      <c r="B538">
        <f>ROW(B538)-9</f>
        <v>529</v>
      </c>
    </row>
    <row r="539" spans="2:2" x14ac:dyDescent="0.25">
      <c r="B539">
        <f>ROW(B539)-9</f>
        <v>530</v>
      </c>
    </row>
    <row r="540" spans="2:2" x14ac:dyDescent="0.25">
      <c r="B540">
        <f>ROW(B540)-9</f>
        <v>531</v>
      </c>
    </row>
    <row r="541" spans="2:2" x14ac:dyDescent="0.25">
      <c r="B541">
        <f>ROW(B541)-9</f>
        <v>532</v>
      </c>
    </row>
    <row r="542" spans="2:2" x14ac:dyDescent="0.25">
      <c r="B542">
        <f>ROW(B542)-9</f>
        <v>533</v>
      </c>
    </row>
    <row r="543" spans="2:2" x14ac:dyDescent="0.25">
      <c r="B543">
        <f>ROW(B543)-9</f>
        <v>534</v>
      </c>
    </row>
    <row r="544" spans="2:2" x14ac:dyDescent="0.25">
      <c r="B544">
        <f>ROW(B544)-9</f>
        <v>535</v>
      </c>
    </row>
    <row r="545" spans="2:2" x14ac:dyDescent="0.25">
      <c r="B545">
        <f>ROW(B545)-9</f>
        <v>536</v>
      </c>
    </row>
    <row r="546" spans="2:2" x14ac:dyDescent="0.25">
      <c r="B546">
        <f>ROW(B546)-9</f>
        <v>537</v>
      </c>
    </row>
    <row r="547" spans="2:2" x14ac:dyDescent="0.25">
      <c r="B547">
        <f>ROW(B547)-9</f>
        <v>538</v>
      </c>
    </row>
    <row r="548" spans="2:2" x14ac:dyDescent="0.25">
      <c r="B548">
        <f>ROW(B548)-9</f>
        <v>539</v>
      </c>
    </row>
    <row r="549" spans="2:2" x14ac:dyDescent="0.25">
      <c r="B549">
        <f>ROW(B549)-9</f>
        <v>540</v>
      </c>
    </row>
    <row r="550" spans="2:2" x14ac:dyDescent="0.25">
      <c r="B550">
        <f>ROW(B550)-9</f>
        <v>541</v>
      </c>
    </row>
    <row r="551" spans="2:2" x14ac:dyDescent="0.25">
      <c r="B551">
        <f>ROW(B551)-9</f>
        <v>542</v>
      </c>
    </row>
    <row r="552" spans="2:2" x14ac:dyDescent="0.25">
      <c r="B552">
        <f>ROW(B552)-9</f>
        <v>543</v>
      </c>
    </row>
    <row r="553" spans="2:2" x14ac:dyDescent="0.25">
      <c r="B553">
        <f>ROW(B553)-9</f>
        <v>544</v>
      </c>
    </row>
    <row r="554" spans="2:2" x14ac:dyDescent="0.25">
      <c r="B554">
        <f>ROW(B554)-9</f>
        <v>545</v>
      </c>
    </row>
    <row r="555" spans="2:2" x14ac:dyDescent="0.25">
      <c r="B555">
        <f>ROW(B555)-9</f>
        <v>546</v>
      </c>
    </row>
    <row r="556" spans="2:2" x14ac:dyDescent="0.25">
      <c r="B556">
        <f>ROW(B556)-9</f>
        <v>547</v>
      </c>
    </row>
    <row r="557" spans="2:2" x14ac:dyDescent="0.25">
      <c r="B557">
        <f>ROW(B557)-9</f>
        <v>548</v>
      </c>
    </row>
    <row r="558" spans="2:2" x14ac:dyDescent="0.25">
      <c r="B558">
        <f>ROW(B558)-9</f>
        <v>549</v>
      </c>
    </row>
    <row r="559" spans="2:2" x14ac:dyDescent="0.25">
      <c r="B559">
        <f>ROW(B559)-9</f>
        <v>550</v>
      </c>
    </row>
    <row r="560" spans="2:2" x14ac:dyDescent="0.25">
      <c r="B560">
        <f>ROW(B560)-9</f>
        <v>551</v>
      </c>
    </row>
    <row r="561" spans="2:2" x14ac:dyDescent="0.25">
      <c r="B561">
        <f>ROW(B561)-9</f>
        <v>552</v>
      </c>
    </row>
    <row r="562" spans="2:2" x14ac:dyDescent="0.25">
      <c r="B562">
        <f>ROW(B562)-9</f>
        <v>553</v>
      </c>
    </row>
    <row r="563" spans="2:2" x14ac:dyDescent="0.25">
      <c r="B563">
        <f>ROW(B563)-9</f>
        <v>554</v>
      </c>
    </row>
    <row r="564" spans="2:2" x14ac:dyDescent="0.25">
      <c r="B564">
        <f>ROW(B564)-9</f>
        <v>555</v>
      </c>
    </row>
    <row r="565" spans="2:2" x14ac:dyDescent="0.25">
      <c r="B565">
        <f>ROW(B565)-9</f>
        <v>556</v>
      </c>
    </row>
    <row r="566" spans="2:2" x14ac:dyDescent="0.25">
      <c r="B566">
        <f>ROW(B566)-9</f>
        <v>557</v>
      </c>
    </row>
    <row r="567" spans="2:2" x14ac:dyDescent="0.25">
      <c r="B567">
        <f>ROW(B567)-9</f>
        <v>558</v>
      </c>
    </row>
    <row r="568" spans="2:2" x14ac:dyDescent="0.25">
      <c r="B568">
        <f>ROW(B568)-9</f>
        <v>559</v>
      </c>
    </row>
    <row r="569" spans="2:2" x14ac:dyDescent="0.25">
      <c r="B569">
        <f>ROW(B569)-9</f>
        <v>560</v>
      </c>
    </row>
    <row r="570" spans="2:2" x14ac:dyDescent="0.25">
      <c r="B570">
        <f>ROW(B570)-9</f>
        <v>561</v>
      </c>
    </row>
    <row r="571" spans="2:2" x14ac:dyDescent="0.25">
      <c r="B571">
        <f>ROW(B571)-9</f>
        <v>562</v>
      </c>
    </row>
    <row r="572" spans="2:2" x14ac:dyDescent="0.25">
      <c r="B572">
        <f>ROW(B572)-9</f>
        <v>563</v>
      </c>
    </row>
    <row r="573" spans="2:2" x14ac:dyDescent="0.25">
      <c r="B573">
        <f>ROW(B573)-9</f>
        <v>564</v>
      </c>
    </row>
    <row r="574" spans="2:2" x14ac:dyDescent="0.25">
      <c r="B574">
        <f>ROW(B574)-9</f>
        <v>565</v>
      </c>
    </row>
    <row r="575" spans="2:2" x14ac:dyDescent="0.25">
      <c r="B575">
        <f>ROW(B575)-9</f>
        <v>566</v>
      </c>
    </row>
    <row r="576" spans="2:2" x14ac:dyDescent="0.25">
      <c r="B576">
        <f>ROW(B576)-9</f>
        <v>567</v>
      </c>
    </row>
    <row r="577" spans="2:2" x14ac:dyDescent="0.25">
      <c r="B577">
        <f>ROW(B577)-9</f>
        <v>568</v>
      </c>
    </row>
    <row r="578" spans="2:2" x14ac:dyDescent="0.25">
      <c r="B578">
        <f>ROW(B578)-9</f>
        <v>569</v>
      </c>
    </row>
    <row r="579" spans="2:2" x14ac:dyDescent="0.25">
      <c r="B579">
        <f>ROW(B579)-9</f>
        <v>570</v>
      </c>
    </row>
    <row r="580" spans="2:2" x14ac:dyDescent="0.25">
      <c r="B580">
        <f>ROW(B580)-9</f>
        <v>571</v>
      </c>
    </row>
    <row r="581" spans="2:2" x14ac:dyDescent="0.25">
      <c r="B581">
        <f>ROW(B581)-9</f>
        <v>572</v>
      </c>
    </row>
    <row r="582" spans="2:2" x14ac:dyDescent="0.25">
      <c r="B582">
        <f>ROW(B582)-9</f>
        <v>573</v>
      </c>
    </row>
    <row r="583" spans="2:2" x14ac:dyDescent="0.25">
      <c r="B583">
        <f>ROW(B583)-9</f>
        <v>574</v>
      </c>
    </row>
    <row r="584" spans="2:2" x14ac:dyDescent="0.25">
      <c r="B584">
        <f>ROW(B584)-9</f>
        <v>575</v>
      </c>
    </row>
    <row r="585" spans="2:2" x14ac:dyDescent="0.25">
      <c r="B585">
        <f>ROW(B585)-9</f>
        <v>576</v>
      </c>
    </row>
    <row r="586" spans="2:2" x14ac:dyDescent="0.25">
      <c r="B586">
        <f>ROW(B586)-9</f>
        <v>577</v>
      </c>
    </row>
    <row r="587" spans="2:2" x14ac:dyDescent="0.25">
      <c r="B587">
        <f>ROW(B587)-9</f>
        <v>578</v>
      </c>
    </row>
    <row r="588" spans="2:2" x14ac:dyDescent="0.25">
      <c r="B588">
        <f>ROW(B588)-9</f>
        <v>579</v>
      </c>
    </row>
    <row r="589" spans="2:2" x14ac:dyDescent="0.25">
      <c r="B589">
        <f>ROW(B589)-9</f>
        <v>580</v>
      </c>
    </row>
    <row r="590" spans="2:2" x14ac:dyDescent="0.25">
      <c r="B590">
        <f>ROW(B590)-9</f>
        <v>581</v>
      </c>
    </row>
    <row r="591" spans="2:2" x14ac:dyDescent="0.25">
      <c r="B591">
        <f>ROW(B591)-9</f>
        <v>582</v>
      </c>
    </row>
    <row r="592" spans="2:2" x14ac:dyDescent="0.25">
      <c r="B592">
        <f>ROW(B592)-9</f>
        <v>583</v>
      </c>
    </row>
    <row r="593" spans="2:2" x14ac:dyDescent="0.25">
      <c r="B593">
        <f>ROW(B593)-9</f>
        <v>584</v>
      </c>
    </row>
    <row r="594" spans="2:2" x14ac:dyDescent="0.25">
      <c r="B594">
        <f>ROW(B594)-9</f>
        <v>585</v>
      </c>
    </row>
    <row r="595" spans="2:2" x14ac:dyDescent="0.25">
      <c r="B595">
        <f>ROW(B595)-9</f>
        <v>586</v>
      </c>
    </row>
    <row r="596" spans="2:2" x14ac:dyDescent="0.25">
      <c r="B596">
        <f>ROW(B596)-9</f>
        <v>587</v>
      </c>
    </row>
    <row r="597" spans="2:2" x14ac:dyDescent="0.25">
      <c r="B597">
        <f>ROW(B597)-9</f>
        <v>588</v>
      </c>
    </row>
    <row r="598" spans="2:2" x14ac:dyDescent="0.25">
      <c r="B598">
        <f>ROW(B598)-9</f>
        <v>589</v>
      </c>
    </row>
    <row r="599" spans="2:2" x14ac:dyDescent="0.25">
      <c r="B599">
        <f>ROW(B599)-9</f>
        <v>590</v>
      </c>
    </row>
    <row r="600" spans="2:2" x14ac:dyDescent="0.25">
      <c r="B600">
        <f>ROW(B600)-9</f>
        <v>591</v>
      </c>
    </row>
  </sheetData>
  <autoFilter ref="$A$9:$AQ$600"/>
  <mergeCells count="55">
    <mergeCell ref="O2:R2"/>
    <mergeCell ref="C3:D3"/>
    <mergeCell ref="F3:G3"/>
    <mergeCell ref="C4:D4"/>
    <mergeCell ref="F4:G4"/>
    <mergeCell ref="S4:AI4"/>
    <mergeCell ref="AJ4:AO4"/>
    <mergeCell ref="A4:A8"/>
    <mergeCell ref="B4:B8"/>
    <mergeCell ref="E4:E6"/>
    <mergeCell ref="H4:H8"/>
    <mergeCell ref="I4:I8"/>
    <mergeCell ref="J4:J8"/>
    <mergeCell ref="K4:K8"/>
    <mergeCell ref="L4:L8"/>
    <mergeCell ref="M4:M8"/>
    <mergeCell ref="N4:N8"/>
    <mergeCell ref="O4:O8"/>
    <mergeCell ref="P4:P8"/>
    <mergeCell ref="Q4:Q8"/>
    <mergeCell ref="R4:R8"/>
    <mergeCell ref="S5:T5"/>
    <mergeCell ref="V5:X5"/>
    <mergeCell ref="AB5:AD5"/>
    <mergeCell ref="AF5:AH5"/>
    <mergeCell ref="AK5:AM5"/>
    <mergeCell ref="C5:C6"/>
    <mergeCell ref="D5:D6"/>
    <mergeCell ref="F5:F8"/>
    <mergeCell ref="G5:G8"/>
    <mergeCell ref="AI5:AI8"/>
    <mergeCell ref="AJ5:AJ8"/>
    <mergeCell ref="AN5:AN8"/>
    <mergeCell ref="AO5:AO8"/>
    <mergeCell ref="C7:E7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D8"/>
    <mergeCell ref="AE6:AE8"/>
    <mergeCell ref="AF6:AF8"/>
    <mergeCell ref="AG6:AG8"/>
    <mergeCell ref="AH6:AH8"/>
    <mergeCell ref="AK6:AK8"/>
    <mergeCell ref="AL6:AL8"/>
    <mergeCell ref="AM6:AM8"/>
    <mergeCell ref="C8:D8"/>
  </mergeCells>
  <pageMargins left="0.35433070866141736" right="0.35" top="0.7480314960629921" bottom="0.7480314960629921" header="0" footer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0"/>
  <sheetViews>
    <sheetView workbookViewId="0" zoomScale="100" zoomScaleNormal="100"/>
  </sheetViews>
  <sheetFormatPr customHeight="1"/>
  <sheetData>
    <row r="1" spans="1:6" x14ac:dyDescent="0.25">
      <c r="A1" t="s">
        <v>685</v>
      </c>
      <c r="B1" t="s">
        <v>686</v>
      </c>
      <c r="C1" t="s">
        <v>687</v>
      </c>
      <c r="D1" t="s">
        <v>688</v>
      </c>
      <c r="E1" t="s">
        <v>689</v>
      </c>
      <c r="F1" t="s">
        <v>690</v>
      </c>
    </row>
    <row r="2" spans="1:5" x14ac:dyDescent="0.25">
      <c r="A2" t="s">
        <v>691</v>
      </c>
      <c r="B2" t="s">
        <v>692</v>
      </c>
      <c r="E2" t="s">
        <v>693</v>
      </c>
    </row>
    <row r="3" spans="1:6" x14ac:dyDescent="0.25">
      <c r="A3" t="s">
        <v>694</v>
      </c>
      <c r="B3" t="s">
        <v>695</v>
      </c>
      <c r="C3" t="s">
        <v>696</v>
      </c>
      <c r="D3" t="s">
        <v>697</v>
      </c>
      <c r="E3" t="s">
        <v>698</v>
      </c>
      <c r="F3" t="s">
        <v>694</v>
      </c>
    </row>
    <row r="4" spans="1:5" x14ac:dyDescent="0.25">
      <c r="A4" t="s">
        <v>699</v>
      </c>
      <c r="B4" t="s">
        <v>692</v>
      </c>
      <c r="E4" t="s">
        <v>327</v>
      </c>
    </row>
    <row r="5" spans="1:6" x14ac:dyDescent="0.25">
      <c r="A5" t="s">
        <v>700</v>
      </c>
      <c r="B5" t="s">
        <v>701</v>
      </c>
      <c r="C5" t="s">
        <v>702</v>
      </c>
      <c r="D5" t="s">
        <v>134</v>
      </c>
      <c r="E5" t="s">
        <v>135</v>
      </c>
      <c r="F5" t="s">
        <v>703</v>
      </c>
    </row>
    <row r="6" spans="1:6" x14ac:dyDescent="0.25">
      <c r="A6" t="s">
        <v>704</v>
      </c>
      <c r="B6" t="s">
        <v>705</v>
      </c>
      <c r="C6" t="s">
        <v>706</v>
      </c>
      <c r="D6" t="s">
        <v>707</v>
      </c>
      <c r="E6" t="s">
        <v>708</v>
      </c>
      <c r="F6" t="s">
        <v>709</v>
      </c>
    </row>
    <row r="7" spans="1:6" x14ac:dyDescent="0.25">
      <c r="A7" t="s">
        <v>710</v>
      </c>
      <c r="B7" t="s">
        <v>705</v>
      </c>
      <c r="C7" t="s">
        <v>706</v>
      </c>
      <c r="D7" t="s">
        <v>707</v>
      </c>
      <c r="E7" t="s">
        <v>708</v>
      </c>
      <c r="F7" t="s">
        <v>709</v>
      </c>
    </row>
    <row r="8" spans="1:6" x14ac:dyDescent="0.25">
      <c r="A8" t="s">
        <v>711</v>
      </c>
      <c r="B8" t="s">
        <v>705</v>
      </c>
      <c r="C8" t="s">
        <v>706</v>
      </c>
      <c r="D8" t="s">
        <v>707</v>
      </c>
      <c r="E8" t="s">
        <v>708</v>
      </c>
      <c r="F8" t="s">
        <v>709</v>
      </c>
    </row>
    <row r="9" spans="1:6" x14ac:dyDescent="0.25">
      <c r="A9" t="s">
        <v>712</v>
      </c>
      <c r="B9" t="s">
        <v>705</v>
      </c>
      <c r="C9" t="s">
        <v>706</v>
      </c>
      <c r="D9" t="s">
        <v>707</v>
      </c>
      <c r="E9" t="s">
        <v>708</v>
      </c>
      <c r="F9" t="s">
        <v>709</v>
      </c>
    </row>
    <row r="10" spans="1:5" x14ac:dyDescent="0.25">
      <c r="A10" t="s">
        <v>713</v>
      </c>
      <c r="B10" t="s">
        <v>692</v>
      </c>
      <c r="E10" t="s">
        <v>708</v>
      </c>
    </row>
    <row r="11" spans="1:6" x14ac:dyDescent="0.25">
      <c r="A11" t="s">
        <v>714</v>
      </c>
      <c r="B11" t="s">
        <v>695</v>
      </c>
      <c r="C11" t="s">
        <v>706</v>
      </c>
      <c r="D11" t="s">
        <v>707</v>
      </c>
      <c r="E11" t="s">
        <v>708</v>
      </c>
      <c r="F11" t="s">
        <v>715</v>
      </c>
    </row>
    <row r="12" spans="1:6" x14ac:dyDescent="0.25">
      <c r="A12" t="s">
        <v>716</v>
      </c>
      <c r="B12" t="s">
        <v>695</v>
      </c>
      <c r="C12" t="s">
        <v>706</v>
      </c>
      <c r="D12" t="s">
        <v>707</v>
      </c>
      <c r="E12" t="s">
        <v>708</v>
      </c>
      <c r="F12" t="s">
        <v>717</v>
      </c>
    </row>
    <row r="13" spans="1:6" x14ac:dyDescent="0.25">
      <c r="A13" t="s">
        <v>718</v>
      </c>
      <c r="B13" t="s">
        <v>695</v>
      </c>
      <c r="C13" t="s">
        <v>706</v>
      </c>
      <c r="D13" t="s">
        <v>707</v>
      </c>
      <c r="E13" t="s">
        <v>708</v>
      </c>
      <c r="F13" t="s">
        <v>719</v>
      </c>
    </row>
    <row r="14" spans="1:6" x14ac:dyDescent="0.25">
      <c r="A14" t="s">
        <v>720</v>
      </c>
      <c r="B14" t="s">
        <v>705</v>
      </c>
      <c r="C14" t="s">
        <v>706</v>
      </c>
      <c r="D14" t="s">
        <v>707</v>
      </c>
      <c r="E14" t="s">
        <v>708</v>
      </c>
      <c r="F14" t="s">
        <v>709</v>
      </c>
    </row>
    <row r="15" spans="1:9" x14ac:dyDescent="0.25">
      <c r="A15" t="s">
        <v>721</v>
      </c>
      <c r="B15" t="s">
        <v>705</v>
      </c>
      <c r="C15" t="s">
        <v>706</v>
      </c>
      <c r="D15" t="s">
        <v>707</v>
      </c>
      <c r="E15" t="s">
        <v>708</v>
      </c>
      <c r="F15" t="s">
        <v>709</v>
      </c>
      <c r="I15" t="s">
        <v>722</v>
      </c>
    </row>
    <row r="16" spans="1:6" x14ac:dyDescent="0.25">
      <c r="A16" t="s">
        <v>723</v>
      </c>
      <c r="B16" t="s">
        <v>695</v>
      </c>
      <c r="C16" t="s">
        <v>706</v>
      </c>
      <c r="D16" t="s">
        <v>707</v>
      </c>
      <c r="E16" t="s">
        <v>708</v>
      </c>
      <c r="F16" t="s">
        <v>724</v>
      </c>
    </row>
    <row r="17" spans="1:6" x14ac:dyDescent="0.25">
      <c r="A17" t="s">
        <v>725</v>
      </c>
      <c r="B17" t="s">
        <v>695</v>
      </c>
      <c r="C17" t="s">
        <v>706</v>
      </c>
      <c r="D17" t="s">
        <v>707</v>
      </c>
      <c r="E17" t="s">
        <v>708</v>
      </c>
      <c r="F17" t="s">
        <v>726</v>
      </c>
    </row>
    <row r="18" spans="1:5" x14ac:dyDescent="0.25">
      <c r="A18" t="s">
        <v>727</v>
      </c>
      <c r="B18" t="s">
        <v>692</v>
      </c>
      <c r="E18" t="s">
        <v>708</v>
      </c>
    </row>
    <row r="19" spans="1:6" x14ac:dyDescent="0.25">
      <c r="A19" t="s">
        <v>728</v>
      </c>
      <c r="B19" t="s">
        <v>695</v>
      </c>
      <c r="C19" t="s">
        <v>706</v>
      </c>
      <c r="D19" t="s">
        <v>707</v>
      </c>
      <c r="E19" t="s">
        <v>708</v>
      </c>
      <c r="F19" t="s">
        <v>729</v>
      </c>
    </row>
    <row r="20" spans="1:6" x14ac:dyDescent="0.25">
      <c r="A20" t="s">
        <v>730</v>
      </c>
      <c r="B20" t="s">
        <v>695</v>
      </c>
      <c r="C20" t="s">
        <v>706</v>
      </c>
      <c r="D20" t="s">
        <v>707</v>
      </c>
      <c r="E20" t="s">
        <v>708</v>
      </c>
      <c r="F20" t="s">
        <v>731</v>
      </c>
    </row>
    <row r="21" spans="1:6" x14ac:dyDescent="0.25">
      <c r="A21" t="s">
        <v>730</v>
      </c>
      <c r="B21" t="s">
        <v>705</v>
      </c>
      <c r="C21" t="s">
        <v>706</v>
      </c>
      <c r="D21" t="s">
        <v>707</v>
      </c>
      <c r="E21" t="s">
        <v>708</v>
      </c>
      <c r="F21" t="s">
        <v>709</v>
      </c>
    </row>
    <row r="22" spans="1:6" x14ac:dyDescent="0.25">
      <c r="A22" t="s">
        <v>732</v>
      </c>
      <c r="B22" t="s">
        <v>701</v>
      </c>
      <c r="C22" t="s">
        <v>702</v>
      </c>
      <c r="D22" t="s">
        <v>134</v>
      </c>
      <c r="E22" t="s">
        <v>135</v>
      </c>
      <c r="F22" t="s">
        <v>722</v>
      </c>
    </row>
    <row r="23" spans="1:5" x14ac:dyDescent="0.25">
      <c r="A23" t="s">
        <v>733</v>
      </c>
      <c r="B23" t="s">
        <v>692</v>
      </c>
      <c r="E23" t="s">
        <v>327</v>
      </c>
    </row>
    <row r="24" spans="1:6" x14ac:dyDescent="0.25">
      <c r="A24" t="s">
        <v>734</v>
      </c>
      <c r="B24" t="s">
        <v>695</v>
      </c>
      <c r="C24" t="s">
        <v>706</v>
      </c>
      <c r="D24" t="s">
        <v>707</v>
      </c>
      <c r="E24" t="s">
        <v>708</v>
      </c>
      <c r="F24" t="s">
        <v>735</v>
      </c>
    </row>
    <row r="25" spans="1:6" x14ac:dyDescent="0.25">
      <c r="A25" t="s">
        <v>734</v>
      </c>
      <c r="B25" t="s">
        <v>705</v>
      </c>
      <c r="C25" t="s">
        <v>706</v>
      </c>
      <c r="D25" t="s">
        <v>707</v>
      </c>
      <c r="E25" t="s">
        <v>708</v>
      </c>
      <c r="F25" t="s">
        <v>709</v>
      </c>
    </row>
    <row r="26" spans="1:6" x14ac:dyDescent="0.25">
      <c r="A26" t="s">
        <v>736</v>
      </c>
      <c r="B26" t="s">
        <v>695</v>
      </c>
      <c r="C26" t="s">
        <v>706</v>
      </c>
      <c r="D26" t="s">
        <v>707</v>
      </c>
      <c r="E26" t="s">
        <v>708</v>
      </c>
      <c r="F26" t="s">
        <v>737</v>
      </c>
    </row>
    <row r="27" spans="1:6" x14ac:dyDescent="0.25">
      <c r="A27" t="s">
        <v>738</v>
      </c>
      <c r="B27" t="s">
        <v>695</v>
      </c>
      <c r="C27" t="s">
        <v>706</v>
      </c>
      <c r="D27" t="s">
        <v>707</v>
      </c>
      <c r="E27" t="s">
        <v>708</v>
      </c>
      <c r="F27" t="s">
        <v>739</v>
      </c>
    </row>
    <row r="28" spans="1:6" x14ac:dyDescent="0.25">
      <c r="A28" t="s">
        <v>740</v>
      </c>
      <c r="B28" t="s">
        <v>695</v>
      </c>
      <c r="C28" t="s">
        <v>706</v>
      </c>
      <c r="D28" t="s">
        <v>707</v>
      </c>
      <c r="E28" t="s">
        <v>708</v>
      </c>
      <c r="F28" t="s">
        <v>741</v>
      </c>
    </row>
    <row r="29" spans="1:6" x14ac:dyDescent="0.25">
      <c r="A29" t="s">
        <v>742</v>
      </c>
      <c r="B29" t="s">
        <v>695</v>
      </c>
      <c r="C29" t="s">
        <v>706</v>
      </c>
      <c r="D29" t="s">
        <v>707</v>
      </c>
      <c r="E29" t="s">
        <v>708</v>
      </c>
      <c r="F29" t="s">
        <v>743</v>
      </c>
    </row>
    <row r="30" spans="1:5" x14ac:dyDescent="0.25">
      <c r="A30" t="s">
        <v>744</v>
      </c>
      <c r="B30" t="s">
        <v>692</v>
      </c>
      <c r="E30" t="s">
        <v>110</v>
      </c>
    </row>
    <row r="31" spans="1:6" x14ac:dyDescent="0.25">
      <c r="A31" t="s">
        <v>745</v>
      </c>
      <c r="B31" t="s">
        <v>701</v>
      </c>
      <c r="C31" t="s">
        <v>746</v>
      </c>
      <c r="D31" t="s">
        <v>747</v>
      </c>
      <c r="E31" t="s">
        <v>748</v>
      </c>
      <c r="F31" t="s">
        <v>748</v>
      </c>
    </row>
    <row r="32" spans="1:6" x14ac:dyDescent="0.25">
      <c r="A32" t="s">
        <v>749</v>
      </c>
      <c r="B32" t="s">
        <v>701</v>
      </c>
      <c r="C32" t="s">
        <v>702</v>
      </c>
      <c r="D32" t="s">
        <v>750</v>
      </c>
      <c r="E32" t="s">
        <v>539</v>
      </c>
      <c r="F32" t="s">
        <v>751</v>
      </c>
    </row>
    <row r="33" spans="1:6" x14ac:dyDescent="0.25">
      <c r="A33" t="s">
        <v>752</v>
      </c>
      <c r="B33" t="s">
        <v>695</v>
      </c>
      <c r="C33" t="s">
        <v>706</v>
      </c>
      <c r="D33" t="s">
        <v>753</v>
      </c>
      <c r="E33" t="s">
        <v>638</v>
      </c>
      <c r="F33" t="s">
        <v>754</v>
      </c>
    </row>
    <row r="34" spans="1:5" x14ac:dyDescent="0.25">
      <c r="A34" t="s">
        <v>752</v>
      </c>
      <c r="B34" t="s">
        <v>692</v>
      </c>
      <c r="E34" t="s">
        <v>638</v>
      </c>
    </row>
    <row r="35" spans="1:5" x14ac:dyDescent="0.25">
      <c r="A35" t="s">
        <v>755</v>
      </c>
      <c r="B35" t="s">
        <v>692</v>
      </c>
      <c r="E35" t="s">
        <v>638</v>
      </c>
    </row>
    <row r="36" spans="1:5" x14ac:dyDescent="0.25">
      <c r="A36" t="s">
        <v>756</v>
      </c>
      <c r="B36" t="s">
        <v>692</v>
      </c>
      <c r="E36" t="s">
        <v>353</v>
      </c>
    </row>
    <row r="37" spans="1:5" x14ac:dyDescent="0.25">
      <c r="A37" t="s">
        <v>757</v>
      </c>
      <c r="B37" t="s">
        <v>692</v>
      </c>
      <c r="E37" t="s">
        <v>85</v>
      </c>
    </row>
    <row r="38" spans="1:6" x14ac:dyDescent="0.25">
      <c r="A38" t="s">
        <v>245</v>
      </c>
      <c r="B38" t="s">
        <v>701</v>
      </c>
      <c r="C38" t="s">
        <v>758</v>
      </c>
      <c r="D38" t="s">
        <v>759</v>
      </c>
      <c r="E38" t="s">
        <v>246</v>
      </c>
      <c r="F38" t="s">
        <v>246</v>
      </c>
    </row>
    <row r="39" spans="1:6" x14ac:dyDescent="0.25">
      <c r="A39" t="s">
        <v>760</v>
      </c>
      <c r="B39" t="s">
        <v>701</v>
      </c>
      <c r="C39" t="s">
        <v>702</v>
      </c>
      <c r="D39" t="s">
        <v>761</v>
      </c>
      <c r="E39" t="s">
        <v>389</v>
      </c>
      <c r="F39" t="s">
        <v>762</v>
      </c>
    </row>
    <row r="40" spans="1:6" x14ac:dyDescent="0.25">
      <c r="A40" t="s">
        <v>763</v>
      </c>
      <c r="B40" t="s">
        <v>764</v>
      </c>
      <c r="C40" t="s">
        <v>758</v>
      </c>
      <c r="D40" t="s">
        <v>765</v>
      </c>
      <c r="E40" t="s">
        <v>337</v>
      </c>
      <c r="F40" t="s">
        <v>337</v>
      </c>
    </row>
    <row r="41" spans="1:6" x14ac:dyDescent="0.25">
      <c r="A41" t="s">
        <v>766</v>
      </c>
      <c r="B41" t="s">
        <v>764</v>
      </c>
      <c r="C41" t="s">
        <v>758</v>
      </c>
      <c r="D41" t="s">
        <v>765</v>
      </c>
      <c r="E41" t="s">
        <v>337</v>
      </c>
      <c r="F41" t="s">
        <v>337</v>
      </c>
    </row>
    <row r="42" spans="1:6" x14ac:dyDescent="0.25">
      <c r="A42" t="s">
        <v>767</v>
      </c>
      <c r="B42" t="s">
        <v>764</v>
      </c>
      <c r="C42" t="s">
        <v>758</v>
      </c>
      <c r="D42" t="s">
        <v>765</v>
      </c>
      <c r="E42" t="s">
        <v>337</v>
      </c>
      <c r="F42" t="s">
        <v>337</v>
      </c>
    </row>
    <row r="43" spans="1:6" x14ac:dyDescent="0.25">
      <c r="A43" t="s">
        <v>768</v>
      </c>
      <c r="B43" t="s">
        <v>764</v>
      </c>
      <c r="C43" t="s">
        <v>758</v>
      </c>
      <c r="D43" t="s">
        <v>765</v>
      </c>
      <c r="E43" t="s">
        <v>337</v>
      </c>
      <c r="F43" t="s">
        <v>337</v>
      </c>
    </row>
    <row r="44" spans="1:6" x14ac:dyDescent="0.25">
      <c r="A44" t="s">
        <v>769</v>
      </c>
      <c r="B44" t="s">
        <v>764</v>
      </c>
      <c r="C44" t="s">
        <v>758</v>
      </c>
      <c r="D44" t="s">
        <v>765</v>
      </c>
      <c r="E44" t="s">
        <v>337</v>
      </c>
      <c r="F44" t="s">
        <v>337</v>
      </c>
    </row>
    <row r="45" spans="1:6" x14ac:dyDescent="0.25">
      <c r="A45" t="s">
        <v>770</v>
      </c>
      <c r="B45" t="s">
        <v>764</v>
      </c>
      <c r="C45" t="s">
        <v>758</v>
      </c>
      <c r="D45" t="s">
        <v>765</v>
      </c>
      <c r="E45" t="s">
        <v>337</v>
      </c>
      <c r="F45" t="s">
        <v>337</v>
      </c>
    </row>
    <row r="46" spans="1:6" x14ac:dyDescent="0.25">
      <c r="A46" t="s">
        <v>771</v>
      </c>
      <c r="B46" t="s">
        <v>764</v>
      </c>
      <c r="C46" t="s">
        <v>758</v>
      </c>
      <c r="D46" t="s">
        <v>765</v>
      </c>
      <c r="E46" t="s">
        <v>337</v>
      </c>
      <c r="F46" t="s">
        <v>337</v>
      </c>
    </row>
    <row r="47" spans="1:6" x14ac:dyDescent="0.25">
      <c r="A47" t="s">
        <v>772</v>
      </c>
      <c r="B47" t="s">
        <v>764</v>
      </c>
      <c r="C47" t="s">
        <v>758</v>
      </c>
      <c r="D47" t="s">
        <v>765</v>
      </c>
      <c r="E47" t="s">
        <v>337</v>
      </c>
      <c r="F47" t="s">
        <v>337</v>
      </c>
    </row>
    <row r="48" spans="1:6" x14ac:dyDescent="0.25">
      <c r="A48" t="s">
        <v>773</v>
      </c>
      <c r="B48" t="s">
        <v>764</v>
      </c>
      <c r="C48" t="s">
        <v>758</v>
      </c>
      <c r="D48" t="s">
        <v>765</v>
      </c>
      <c r="E48" t="s">
        <v>337</v>
      </c>
      <c r="F48" t="s">
        <v>337</v>
      </c>
    </row>
    <row r="49" spans="1:6" x14ac:dyDescent="0.25">
      <c r="A49" t="s">
        <v>774</v>
      </c>
      <c r="B49" t="s">
        <v>764</v>
      </c>
      <c r="C49" t="s">
        <v>758</v>
      </c>
      <c r="D49" t="s">
        <v>765</v>
      </c>
      <c r="E49" t="s">
        <v>337</v>
      </c>
      <c r="F49" t="s">
        <v>337</v>
      </c>
    </row>
    <row r="50" spans="1:6" x14ac:dyDescent="0.25">
      <c r="A50" t="s">
        <v>775</v>
      </c>
      <c r="B50" t="s">
        <v>764</v>
      </c>
      <c r="C50" t="s">
        <v>758</v>
      </c>
      <c r="D50" t="s">
        <v>765</v>
      </c>
      <c r="E50" t="s">
        <v>337</v>
      </c>
      <c r="F50" t="s">
        <v>337</v>
      </c>
    </row>
    <row r="51" spans="1:6" x14ac:dyDescent="0.25">
      <c r="A51" t="s">
        <v>776</v>
      </c>
      <c r="B51" t="s">
        <v>764</v>
      </c>
      <c r="C51" t="s">
        <v>758</v>
      </c>
      <c r="D51" t="s">
        <v>765</v>
      </c>
      <c r="E51" t="s">
        <v>337</v>
      </c>
      <c r="F51" t="s">
        <v>337</v>
      </c>
    </row>
    <row r="52" spans="1:6" x14ac:dyDescent="0.25">
      <c r="A52" t="s">
        <v>777</v>
      </c>
      <c r="B52" t="s">
        <v>764</v>
      </c>
      <c r="C52" t="s">
        <v>758</v>
      </c>
      <c r="D52" t="s">
        <v>765</v>
      </c>
      <c r="E52" t="s">
        <v>337</v>
      </c>
      <c r="F52" t="s">
        <v>337</v>
      </c>
    </row>
    <row r="53" spans="1:6" x14ac:dyDescent="0.25">
      <c r="A53" t="s">
        <v>778</v>
      </c>
      <c r="B53" t="s">
        <v>692</v>
      </c>
      <c r="E53" t="s">
        <v>103</v>
      </c>
      <c r="F53" t="s">
        <v>91</v>
      </c>
    </row>
    <row r="54" spans="1:6" x14ac:dyDescent="0.25">
      <c r="A54" t="s">
        <v>779</v>
      </c>
      <c r="B54" t="s">
        <v>692</v>
      </c>
      <c r="E54" t="s">
        <v>327</v>
      </c>
      <c r="F54" t="s">
        <v>780</v>
      </c>
    </row>
    <row r="55" spans="1:6" x14ac:dyDescent="0.25">
      <c r="A55" t="s">
        <v>781</v>
      </c>
      <c r="B55" t="s">
        <v>764</v>
      </c>
      <c r="C55" t="s">
        <v>782</v>
      </c>
      <c r="D55" t="s">
        <v>783</v>
      </c>
      <c r="E55" t="s">
        <v>633</v>
      </c>
      <c r="F55" t="s">
        <v>784</v>
      </c>
    </row>
    <row r="56" spans="1:6" x14ac:dyDescent="0.25">
      <c r="A56" t="s">
        <v>785</v>
      </c>
      <c r="B56" t="s">
        <v>764</v>
      </c>
      <c r="C56" t="s">
        <v>702</v>
      </c>
      <c r="D56" t="s">
        <v>786</v>
      </c>
      <c r="E56" t="s">
        <v>787</v>
      </c>
      <c r="F56" t="s">
        <v>788</v>
      </c>
    </row>
    <row r="57" spans="1:6" x14ac:dyDescent="0.25">
      <c r="A57" t="s">
        <v>789</v>
      </c>
      <c r="B57" t="s">
        <v>764</v>
      </c>
      <c r="C57" t="s">
        <v>790</v>
      </c>
      <c r="D57" t="s">
        <v>791</v>
      </c>
      <c r="E57" t="s">
        <v>598</v>
      </c>
      <c r="F57" t="s">
        <v>792</v>
      </c>
    </row>
    <row r="58" spans="1:6" x14ac:dyDescent="0.25">
      <c r="A58" t="s">
        <v>789</v>
      </c>
      <c r="B58" t="s">
        <v>701</v>
      </c>
      <c r="C58" t="s">
        <v>790</v>
      </c>
      <c r="D58" t="s">
        <v>791</v>
      </c>
      <c r="E58" t="s">
        <v>598</v>
      </c>
      <c r="F58" t="s">
        <v>793</v>
      </c>
    </row>
    <row r="59" spans="1:6" x14ac:dyDescent="0.25">
      <c r="A59" t="s">
        <v>789</v>
      </c>
      <c r="B59" t="s">
        <v>794</v>
      </c>
      <c r="C59" t="s">
        <v>790</v>
      </c>
      <c r="D59" t="s">
        <v>791</v>
      </c>
      <c r="E59" t="s">
        <v>598</v>
      </c>
      <c r="F59" t="s">
        <v>793</v>
      </c>
    </row>
    <row r="60" spans="1:6" x14ac:dyDescent="0.25">
      <c r="A60" t="s">
        <v>795</v>
      </c>
      <c r="B60" t="s">
        <v>701</v>
      </c>
      <c r="C60" t="s">
        <v>790</v>
      </c>
      <c r="D60" t="s">
        <v>791</v>
      </c>
      <c r="E60" t="s">
        <v>598</v>
      </c>
      <c r="F60" t="s">
        <v>793</v>
      </c>
    </row>
    <row r="61" spans="1:6" x14ac:dyDescent="0.25">
      <c r="A61" t="s">
        <v>795</v>
      </c>
      <c r="B61" t="s">
        <v>794</v>
      </c>
      <c r="C61" t="s">
        <v>790</v>
      </c>
      <c r="D61" t="s">
        <v>791</v>
      </c>
      <c r="E61" t="s">
        <v>598</v>
      </c>
      <c r="F61" t="s">
        <v>793</v>
      </c>
    </row>
    <row r="62" spans="1:6" x14ac:dyDescent="0.25">
      <c r="A62" t="s">
        <v>796</v>
      </c>
      <c r="B62" t="s">
        <v>764</v>
      </c>
      <c r="C62" t="s">
        <v>782</v>
      </c>
      <c r="D62" t="s">
        <v>783</v>
      </c>
      <c r="E62" t="s">
        <v>797</v>
      </c>
      <c r="F62" t="s">
        <v>798</v>
      </c>
    </row>
    <row r="63" spans="1:6" x14ac:dyDescent="0.25">
      <c r="A63" t="s">
        <v>799</v>
      </c>
      <c r="B63" t="s">
        <v>764</v>
      </c>
      <c r="C63" t="s">
        <v>782</v>
      </c>
      <c r="D63" t="s">
        <v>783</v>
      </c>
      <c r="E63" t="s">
        <v>797</v>
      </c>
      <c r="F63" t="s">
        <v>798</v>
      </c>
    </row>
    <row r="64" spans="1:6" x14ac:dyDescent="0.25">
      <c r="A64" t="s">
        <v>800</v>
      </c>
      <c r="B64" t="s">
        <v>764</v>
      </c>
      <c r="C64" t="s">
        <v>782</v>
      </c>
      <c r="D64" t="s">
        <v>783</v>
      </c>
      <c r="E64" t="s">
        <v>797</v>
      </c>
      <c r="F64" t="s">
        <v>798</v>
      </c>
    </row>
    <row r="65" spans="1:6" x14ac:dyDescent="0.25">
      <c r="A65" t="s">
        <v>801</v>
      </c>
      <c r="B65" t="s">
        <v>695</v>
      </c>
      <c r="C65" t="s">
        <v>790</v>
      </c>
      <c r="D65" t="s">
        <v>791</v>
      </c>
      <c r="E65" t="s">
        <v>598</v>
      </c>
      <c r="F65" t="s">
        <v>802</v>
      </c>
    </row>
    <row r="66" spans="1:5" x14ac:dyDescent="0.25">
      <c r="A66" t="s">
        <v>803</v>
      </c>
      <c r="B66" t="s">
        <v>692</v>
      </c>
      <c r="E66" t="s">
        <v>135</v>
      </c>
    </row>
    <row r="67" spans="1:6" x14ac:dyDescent="0.25">
      <c r="A67" t="s">
        <v>804</v>
      </c>
      <c r="B67" t="s">
        <v>764</v>
      </c>
      <c r="C67" t="s">
        <v>790</v>
      </c>
      <c r="D67" t="s">
        <v>791</v>
      </c>
      <c r="E67" t="s">
        <v>805</v>
      </c>
      <c r="F67" t="s">
        <v>806</v>
      </c>
    </row>
    <row r="68" spans="1:6" x14ac:dyDescent="0.25">
      <c r="A68" t="s">
        <v>807</v>
      </c>
      <c r="B68" t="s">
        <v>764</v>
      </c>
      <c r="C68" t="s">
        <v>790</v>
      </c>
      <c r="D68" t="s">
        <v>791</v>
      </c>
      <c r="E68" t="s">
        <v>805</v>
      </c>
      <c r="F68" t="s">
        <v>806</v>
      </c>
    </row>
    <row r="69" spans="1:6" x14ac:dyDescent="0.25">
      <c r="A69" t="s">
        <v>808</v>
      </c>
      <c r="B69" t="s">
        <v>764</v>
      </c>
      <c r="C69" t="s">
        <v>790</v>
      </c>
      <c r="D69" t="s">
        <v>791</v>
      </c>
      <c r="E69" t="s">
        <v>805</v>
      </c>
      <c r="F69" t="s">
        <v>806</v>
      </c>
    </row>
    <row r="70" spans="1:6" x14ac:dyDescent="0.25">
      <c r="A70" t="s">
        <v>808</v>
      </c>
      <c r="B70" t="s">
        <v>701</v>
      </c>
      <c r="C70" t="s">
        <v>790</v>
      </c>
      <c r="D70" t="s">
        <v>791</v>
      </c>
      <c r="E70" t="s">
        <v>805</v>
      </c>
      <c r="F70" t="s">
        <v>806</v>
      </c>
    </row>
    <row r="71" spans="1:6" x14ac:dyDescent="0.25">
      <c r="A71" t="s">
        <v>809</v>
      </c>
      <c r="B71" t="s">
        <v>764</v>
      </c>
      <c r="C71" t="s">
        <v>790</v>
      </c>
      <c r="D71" t="s">
        <v>791</v>
      </c>
      <c r="E71" t="s">
        <v>805</v>
      </c>
      <c r="F71" t="s">
        <v>806</v>
      </c>
    </row>
    <row r="72" spans="1:6" x14ac:dyDescent="0.25">
      <c r="A72" t="s">
        <v>809</v>
      </c>
      <c r="B72" t="s">
        <v>701</v>
      </c>
      <c r="C72" t="s">
        <v>790</v>
      </c>
      <c r="D72" t="s">
        <v>791</v>
      </c>
      <c r="E72" t="s">
        <v>805</v>
      </c>
      <c r="F72" t="s">
        <v>806</v>
      </c>
    </row>
    <row r="73" spans="1:5" x14ac:dyDescent="0.25">
      <c r="A73" t="s">
        <v>810</v>
      </c>
      <c r="B73" t="s">
        <v>692</v>
      </c>
      <c r="E73" t="s">
        <v>805</v>
      </c>
    </row>
    <row r="74" spans="1:5" x14ac:dyDescent="0.25">
      <c r="A74" t="s">
        <v>811</v>
      </c>
      <c r="B74" t="s">
        <v>692</v>
      </c>
      <c r="E74" t="s">
        <v>805</v>
      </c>
    </row>
    <row r="75" spans="1:6" x14ac:dyDescent="0.25">
      <c r="A75" t="s">
        <v>812</v>
      </c>
      <c r="B75" t="s">
        <v>764</v>
      </c>
      <c r="C75" t="s">
        <v>790</v>
      </c>
      <c r="D75" t="s">
        <v>791</v>
      </c>
      <c r="E75" t="s">
        <v>805</v>
      </c>
      <c r="F75" t="s">
        <v>806</v>
      </c>
    </row>
    <row r="76" spans="1:6" x14ac:dyDescent="0.25">
      <c r="A76" t="s">
        <v>812</v>
      </c>
      <c r="B76" t="s">
        <v>701</v>
      </c>
      <c r="C76" t="s">
        <v>790</v>
      </c>
      <c r="D76" t="s">
        <v>791</v>
      </c>
      <c r="E76" t="s">
        <v>805</v>
      </c>
      <c r="F76" t="s">
        <v>806</v>
      </c>
    </row>
    <row r="77" spans="1:5" x14ac:dyDescent="0.25">
      <c r="A77" t="s">
        <v>813</v>
      </c>
      <c r="B77" t="s">
        <v>692</v>
      </c>
      <c r="E77" t="s">
        <v>814</v>
      </c>
    </row>
    <row r="78" spans="1:5" x14ac:dyDescent="0.25">
      <c r="A78" t="s">
        <v>815</v>
      </c>
      <c r="B78" t="s">
        <v>692</v>
      </c>
      <c r="E78" t="s">
        <v>816</v>
      </c>
    </row>
    <row r="79" spans="1:6" x14ac:dyDescent="0.25">
      <c r="A79" t="s">
        <v>817</v>
      </c>
      <c r="B79" t="s">
        <v>764</v>
      </c>
      <c r="C79" t="s">
        <v>790</v>
      </c>
      <c r="D79" t="s">
        <v>791</v>
      </c>
      <c r="E79" t="s">
        <v>805</v>
      </c>
      <c r="F79" t="s">
        <v>806</v>
      </c>
    </row>
    <row r="80" spans="1:6" x14ac:dyDescent="0.25">
      <c r="A80" t="s">
        <v>817</v>
      </c>
      <c r="B80" t="s">
        <v>701</v>
      </c>
      <c r="C80" t="s">
        <v>790</v>
      </c>
      <c r="D80" t="s">
        <v>791</v>
      </c>
      <c r="E80" t="s">
        <v>805</v>
      </c>
      <c r="F80" t="s">
        <v>806</v>
      </c>
    </row>
    <row r="81" spans="1:6" x14ac:dyDescent="0.25">
      <c r="A81" t="s">
        <v>818</v>
      </c>
      <c r="B81" t="s">
        <v>764</v>
      </c>
      <c r="C81" t="s">
        <v>790</v>
      </c>
      <c r="D81" t="s">
        <v>791</v>
      </c>
      <c r="E81" t="s">
        <v>805</v>
      </c>
      <c r="F81" t="s">
        <v>806</v>
      </c>
    </row>
    <row r="82" spans="1:6" x14ac:dyDescent="0.25">
      <c r="A82" t="s">
        <v>819</v>
      </c>
      <c r="B82" t="s">
        <v>764</v>
      </c>
      <c r="C82" t="s">
        <v>790</v>
      </c>
      <c r="D82" t="s">
        <v>791</v>
      </c>
      <c r="E82" t="s">
        <v>805</v>
      </c>
      <c r="F82" t="s">
        <v>806</v>
      </c>
    </row>
    <row r="83" spans="1:6" x14ac:dyDescent="0.25">
      <c r="A83" t="s">
        <v>819</v>
      </c>
      <c r="B83" t="s">
        <v>701</v>
      </c>
      <c r="C83" t="s">
        <v>790</v>
      </c>
      <c r="D83" t="s">
        <v>791</v>
      </c>
      <c r="E83" t="s">
        <v>805</v>
      </c>
      <c r="F83" t="s">
        <v>806</v>
      </c>
    </row>
    <row r="84" spans="1:6" x14ac:dyDescent="0.25">
      <c r="A84" t="s">
        <v>820</v>
      </c>
      <c r="B84" t="s">
        <v>764</v>
      </c>
      <c r="C84" t="s">
        <v>790</v>
      </c>
      <c r="D84" t="s">
        <v>791</v>
      </c>
      <c r="E84" t="s">
        <v>805</v>
      </c>
      <c r="F84" t="s">
        <v>806</v>
      </c>
    </row>
    <row r="85" spans="1:6" x14ac:dyDescent="0.25">
      <c r="A85" t="s">
        <v>820</v>
      </c>
      <c r="B85" t="s">
        <v>701</v>
      </c>
      <c r="C85" t="s">
        <v>790</v>
      </c>
      <c r="D85" t="s">
        <v>791</v>
      </c>
      <c r="E85" t="s">
        <v>805</v>
      </c>
      <c r="F85" t="s">
        <v>806</v>
      </c>
    </row>
    <row r="86" spans="1:6" x14ac:dyDescent="0.25">
      <c r="A86" t="s">
        <v>821</v>
      </c>
      <c r="B86" t="s">
        <v>764</v>
      </c>
      <c r="C86" t="s">
        <v>790</v>
      </c>
      <c r="D86" t="s">
        <v>791</v>
      </c>
      <c r="E86" t="s">
        <v>805</v>
      </c>
      <c r="F86" t="s">
        <v>806</v>
      </c>
    </row>
    <row r="87" spans="1:6" x14ac:dyDescent="0.25">
      <c r="A87" t="s">
        <v>821</v>
      </c>
      <c r="B87" t="s">
        <v>701</v>
      </c>
      <c r="C87" t="s">
        <v>790</v>
      </c>
      <c r="D87" t="s">
        <v>791</v>
      </c>
      <c r="E87" t="s">
        <v>805</v>
      </c>
      <c r="F87" t="s">
        <v>806</v>
      </c>
    </row>
    <row r="88" spans="1:6" x14ac:dyDescent="0.25">
      <c r="A88" t="s">
        <v>822</v>
      </c>
      <c r="B88" t="s">
        <v>764</v>
      </c>
      <c r="C88" t="s">
        <v>790</v>
      </c>
      <c r="D88" t="s">
        <v>791</v>
      </c>
      <c r="E88" t="s">
        <v>805</v>
      </c>
      <c r="F88" t="s">
        <v>806</v>
      </c>
    </row>
    <row r="89" spans="1:6" x14ac:dyDescent="0.25">
      <c r="A89" t="s">
        <v>822</v>
      </c>
      <c r="B89" t="s">
        <v>701</v>
      </c>
      <c r="C89" t="s">
        <v>790</v>
      </c>
      <c r="D89" t="s">
        <v>791</v>
      </c>
      <c r="E89" t="s">
        <v>805</v>
      </c>
      <c r="F89" t="s">
        <v>806</v>
      </c>
    </row>
    <row r="90" spans="1:6" x14ac:dyDescent="0.25">
      <c r="A90" t="s">
        <v>823</v>
      </c>
      <c r="B90" t="s">
        <v>695</v>
      </c>
      <c r="C90" t="s">
        <v>702</v>
      </c>
      <c r="D90" t="s">
        <v>786</v>
      </c>
      <c r="E90" t="s">
        <v>824</v>
      </c>
      <c r="F90" t="s">
        <v>823</v>
      </c>
    </row>
    <row r="91" spans="1:6" x14ac:dyDescent="0.25">
      <c r="A91" t="s">
        <v>825</v>
      </c>
      <c r="B91" t="s">
        <v>701</v>
      </c>
      <c r="C91" t="s">
        <v>746</v>
      </c>
      <c r="D91" t="s">
        <v>747</v>
      </c>
      <c r="E91" t="s">
        <v>748</v>
      </c>
      <c r="F91" t="s">
        <v>748</v>
      </c>
    </row>
    <row r="92" spans="1:6" x14ac:dyDescent="0.25">
      <c r="A92" t="s">
        <v>826</v>
      </c>
      <c r="B92" t="s">
        <v>701</v>
      </c>
      <c r="C92" t="s">
        <v>702</v>
      </c>
      <c r="D92" t="s">
        <v>827</v>
      </c>
      <c r="E92" t="s">
        <v>828</v>
      </c>
      <c r="F92" t="s">
        <v>828</v>
      </c>
    </row>
    <row r="93" spans="1:6" x14ac:dyDescent="0.25">
      <c r="A93" t="s">
        <v>829</v>
      </c>
      <c r="B93" t="s">
        <v>701</v>
      </c>
      <c r="C93" t="s">
        <v>702</v>
      </c>
      <c r="D93" t="s">
        <v>827</v>
      </c>
      <c r="E93" t="s">
        <v>828</v>
      </c>
      <c r="F93" t="s">
        <v>828</v>
      </c>
    </row>
    <row r="94" spans="1:6" x14ac:dyDescent="0.25">
      <c r="A94" t="s">
        <v>830</v>
      </c>
      <c r="B94" t="s">
        <v>701</v>
      </c>
      <c r="C94" t="s">
        <v>702</v>
      </c>
      <c r="D94" t="s">
        <v>827</v>
      </c>
      <c r="E94" t="s">
        <v>828</v>
      </c>
      <c r="F94" t="s">
        <v>828</v>
      </c>
    </row>
    <row r="95" spans="1:6" x14ac:dyDescent="0.25">
      <c r="A95" t="s">
        <v>831</v>
      </c>
      <c r="B95" t="s">
        <v>692</v>
      </c>
      <c r="E95" t="s">
        <v>832</v>
      </c>
      <c r="F95" t="s">
        <v>73</v>
      </c>
    </row>
    <row r="96" spans="1:6" x14ac:dyDescent="0.25">
      <c r="A96" t="s">
        <v>833</v>
      </c>
      <c r="B96" t="s">
        <v>764</v>
      </c>
      <c r="C96" t="s">
        <v>758</v>
      </c>
      <c r="D96" t="s">
        <v>765</v>
      </c>
      <c r="E96" t="s">
        <v>337</v>
      </c>
      <c r="F96" t="s">
        <v>337</v>
      </c>
    </row>
    <row r="97" spans="1:6" x14ac:dyDescent="0.25">
      <c r="A97" t="s">
        <v>834</v>
      </c>
      <c r="B97" t="s">
        <v>764</v>
      </c>
      <c r="C97" t="s">
        <v>758</v>
      </c>
      <c r="D97" t="s">
        <v>765</v>
      </c>
      <c r="E97" t="s">
        <v>337</v>
      </c>
      <c r="F97" t="s">
        <v>337</v>
      </c>
    </row>
    <row r="98" spans="1:5" x14ac:dyDescent="0.25">
      <c r="A98" t="s">
        <v>834</v>
      </c>
      <c r="B98" t="s">
        <v>692</v>
      </c>
      <c r="E98" t="s">
        <v>337</v>
      </c>
    </row>
    <row r="99" spans="1:6" x14ac:dyDescent="0.25">
      <c r="A99" t="s">
        <v>835</v>
      </c>
      <c r="B99" t="s">
        <v>794</v>
      </c>
      <c r="C99" t="s">
        <v>782</v>
      </c>
      <c r="D99" t="s">
        <v>836</v>
      </c>
      <c r="E99" t="s">
        <v>211</v>
      </c>
      <c r="F99" t="s">
        <v>837</v>
      </c>
    </row>
    <row r="100" spans="1:6" x14ac:dyDescent="0.25">
      <c r="A100" t="s">
        <v>838</v>
      </c>
      <c r="B100" t="s">
        <v>764</v>
      </c>
      <c r="C100" t="s">
        <v>758</v>
      </c>
      <c r="D100" t="s">
        <v>765</v>
      </c>
      <c r="E100" t="s">
        <v>337</v>
      </c>
      <c r="F100" t="s">
        <v>337</v>
      </c>
    </row>
    <row r="101" spans="1:6" x14ac:dyDescent="0.25">
      <c r="A101" t="s">
        <v>839</v>
      </c>
      <c r="B101" t="s">
        <v>764</v>
      </c>
      <c r="C101" t="s">
        <v>758</v>
      </c>
      <c r="D101" t="s">
        <v>765</v>
      </c>
      <c r="E101" t="s">
        <v>337</v>
      </c>
      <c r="F101" t="s">
        <v>337</v>
      </c>
    </row>
    <row r="102" spans="1:6" x14ac:dyDescent="0.25">
      <c r="A102" t="s">
        <v>840</v>
      </c>
      <c r="B102" t="s">
        <v>794</v>
      </c>
      <c r="C102" t="s">
        <v>782</v>
      </c>
      <c r="D102" t="s">
        <v>836</v>
      </c>
      <c r="E102" t="s">
        <v>211</v>
      </c>
      <c r="F102" t="s">
        <v>837</v>
      </c>
    </row>
    <row r="103" spans="1:6" x14ac:dyDescent="0.25">
      <c r="A103" t="s">
        <v>841</v>
      </c>
      <c r="B103" t="s">
        <v>764</v>
      </c>
      <c r="C103" t="s">
        <v>758</v>
      </c>
      <c r="D103" t="s">
        <v>765</v>
      </c>
      <c r="E103" t="s">
        <v>337</v>
      </c>
      <c r="F103" t="s">
        <v>337</v>
      </c>
    </row>
    <row r="104" spans="1:6" x14ac:dyDescent="0.25">
      <c r="A104" t="s">
        <v>842</v>
      </c>
      <c r="B104" t="s">
        <v>794</v>
      </c>
      <c r="C104" t="s">
        <v>782</v>
      </c>
      <c r="D104" t="s">
        <v>836</v>
      </c>
      <c r="E104" t="s">
        <v>211</v>
      </c>
      <c r="F104" t="s">
        <v>837</v>
      </c>
    </row>
    <row r="105" spans="1:6" x14ac:dyDescent="0.25">
      <c r="A105" t="s">
        <v>843</v>
      </c>
      <c r="B105" t="s">
        <v>692</v>
      </c>
      <c r="E105" t="s">
        <v>598</v>
      </c>
      <c r="F105" t="s">
        <v>189</v>
      </c>
    </row>
    <row r="106" spans="1:6" x14ac:dyDescent="0.25">
      <c r="A106" t="s">
        <v>844</v>
      </c>
      <c r="B106" t="s">
        <v>705</v>
      </c>
      <c r="C106" t="s">
        <v>706</v>
      </c>
      <c r="D106" t="s">
        <v>845</v>
      </c>
      <c r="E106" t="s">
        <v>846</v>
      </c>
      <c r="F106" t="s">
        <v>847</v>
      </c>
    </row>
    <row r="107" spans="1:6" x14ac:dyDescent="0.25">
      <c r="A107" t="s">
        <v>848</v>
      </c>
      <c r="B107" t="s">
        <v>764</v>
      </c>
      <c r="C107" t="s">
        <v>782</v>
      </c>
      <c r="D107" t="s">
        <v>849</v>
      </c>
      <c r="E107" t="s">
        <v>850</v>
      </c>
      <c r="F107" t="s">
        <v>851</v>
      </c>
    </row>
    <row r="108" spans="1:6" x14ac:dyDescent="0.25">
      <c r="A108" t="s">
        <v>852</v>
      </c>
      <c r="B108" t="s">
        <v>695</v>
      </c>
      <c r="C108" t="s">
        <v>702</v>
      </c>
      <c r="D108" t="s">
        <v>786</v>
      </c>
      <c r="E108" t="s">
        <v>824</v>
      </c>
      <c r="F108" t="s">
        <v>853</v>
      </c>
    </row>
    <row r="109" spans="1:6" x14ac:dyDescent="0.25">
      <c r="A109" t="s">
        <v>854</v>
      </c>
      <c r="B109" t="s">
        <v>764</v>
      </c>
      <c r="C109" t="s">
        <v>782</v>
      </c>
      <c r="D109" t="s">
        <v>849</v>
      </c>
      <c r="E109" t="s">
        <v>850</v>
      </c>
      <c r="F109" t="s">
        <v>851</v>
      </c>
    </row>
    <row r="110" spans="1:6" x14ac:dyDescent="0.25">
      <c r="A110" t="s">
        <v>855</v>
      </c>
      <c r="B110" t="s">
        <v>701</v>
      </c>
      <c r="C110" t="s">
        <v>702</v>
      </c>
      <c r="D110" t="s">
        <v>827</v>
      </c>
      <c r="E110" t="s">
        <v>828</v>
      </c>
      <c r="F110" t="s">
        <v>828</v>
      </c>
    </row>
    <row r="111" spans="1:6" x14ac:dyDescent="0.25">
      <c r="A111" t="s">
        <v>856</v>
      </c>
      <c r="B111" t="s">
        <v>764</v>
      </c>
      <c r="C111" t="s">
        <v>782</v>
      </c>
      <c r="D111" t="s">
        <v>849</v>
      </c>
      <c r="E111" t="s">
        <v>850</v>
      </c>
      <c r="F111" t="s">
        <v>851</v>
      </c>
    </row>
    <row r="112" spans="1:6" x14ac:dyDescent="0.25">
      <c r="A112" t="s">
        <v>857</v>
      </c>
      <c r="B112" t="s">
        <v>764</v>
      </c>
      <c r="C112" t="s">
        <v>782</v>
      </c>
      <c r="D112" t="s">
        <v>849</v>
      </c>
      <c r="E112" t="s">
        <v>850</v>
      </c>
      <c r="F112" t="s">
        <v>851</v>
      </c>
    </row>
    <row r="113" spans="1:6" x14ac:dyDescent="0.25">
      <c r="A113" t="s">
        <v>858</v>
      </c>
      <c r="B113" t="s">
        <v>764</v>
      </c>
      <c r="C113" t="s">
        <v>782</v>
      </c>
      <c r="D113" t="s">
        <v>783</v>
      </c>
      <c r="E113" t="s">
        <v>633</v>
      </c>
      <c r="F113" t="s">
        <v>784</v>
      </c>
    </row>
    <row r="114" spans="1:6" x14ac:dyDescent="0.25">
      <c r="A114" t="s">
        <v>858</v>
      </c>
      <c r="B114" t="s">
        <v>794</v>
      </c>
      <c r="C114" t="s">
        <v>782</v>
      </c>
      <c r="D114" t="s">
        <v>783</v>
      </c>
      <c r="E114" t="s">
        <v>633</v>
      </c>
      <c r="F114" t="s">
        <v>784</v>
      </c>
    </row>
    <row r="115" spans="1:6" x14ac:dyDescent="0.25">
      <c r="A115" t="s">
        <v>859</v>
      </c>
      <c r="B115" t="s">
        <v>764</v>
      </c>
      <c r="C115" t="s">
        <v>782</v>
      </c>
      <c r="D115" t="s">
        <v>783</v>
      </c>
      <c r="E115" t="s">
        <v>633</v>
      </c>
      <c r="F115" t="s">
        <v>784</v>
      </c>
    </row>
    <row r="116" spans="1:6" x14ac:dyDescent="0.25">
      <c r="A116" t="s">
        <v>860</v>
      </c>
      <c r="B116" t="s">
        <v>794</v>
      </c>
      <c r="C116" t="s">
        <v>782</v>
      </c>
      <c r="D116" t="s">
        <v>783</v>
      </c>
      <c r="E116" t="s">
        <v>633</v>
      </c>
      <c r="F116" t="s">
        <v>784</v>
      </c>
    </row>
    <row r="117" spans="1:6" x14ac:dyDescent="0.25">
      <c r="A117" t="s">
        <v>861</v>
      </c>
      <c r="B117" t="s">
        <v>764</v>
      </c>
      <c r="C117" t="s">
        <v>782</v>
      </c>
      <c r="D117" t="s">
        <v>783</v>
      </c>
      <c r="E117" t="s">
        <v>633</v>
      </c>
      <c r="F117" t="s">
        <v>784</v>
      </c>
    </row>
    <row r="118" spans="1:6" x14ac:dyDescent="0.25">
      <c r="A118" t="s">
        <v>861</v>
      </c>
      <c r="B118" t="s">
        <v>794</v>
      </c>
      <c r="C118" t="s">
        <v>782</v>
      </c>
      <c r="D118" t="s">
        <v>783</v>
      </c>
      <c r="E118" t="s">
        <v>633</v>
      </c>
      <c r="F118" t="s">
        <v>784</v>
      </c>
    </row>
    <row r="119" spans="1:6" x14ac:dyDescent="0.25">
      <c r="A119" t="s">
        <v>862</v>
      </c>
      <c r="B119" t="s">
        <v>701</v>
      </c>
      <c r="C119" t="s">
        <v>702</v>
      </c>
      <c r="D119" t="s">
        <v>827</v>
      </c>
      <c r="E119" t="s">
        <v>828</v>
      </c>
      <c r="F119" t="s">
        <v>828</v>
      </c>
    </row>
    <row r="120" spans="1:6" x14ac:dyDescent="0.25">
      <c r="A120" t="s">
        <v>863</v>
      </c>
      <c r="B120" t="s">
        <v>701</v>
      </c>
      <c r="C120" t="s">
        <v>702</v>
      </c>
      <c r="D120" t="s">
        <v>827</v>
      </c>
      <c r="E120" t="s">
        <v>828</v>
      </c>
      <c r="F120" t="s">
        <v>828</v>
      </c>
    </row>
    <row r="121" spans="1:6" x14ac:dyDescent="0.25">
      <c r="A121" t="s">
        <v>864</v>
      </c>
      <c r="B121" t="s">
        <v>701</v>
      </c>
      <c r="C121" t="s">
        <v>746</v>
      </c>
      <c r="D121" t="s">
        <v>747</v>
      </c>
      <c r="E121" t="s">
        <v>748</v>
      </c>
      <c r="F121" t="s">
        <v>748</v>
      </c>
    </row>
    <row r="122" spans="1:6" x14ac:dyDescent="0.25">
      <c r="A122" t="s">
        <v>865</v>
      </c>
      <c r="B122" t="s">
        <v>701</v>
      </c>
      <c r="C122" t="s">
        <v>746</v>
      </c>
      <c r="D122" t="s">
        <v>747</v>
      </c>
      <c r="E122" t="s">
        <v>748</v>
      </c>
      <c r="F122" t="s">
        <v>748</v>
      </c>
    </row>
    <row r="123" spans="1:5" x14ac:dyDescent="0.25">
      <c r="A123" t="s">
        <v>866</v>
      </c>
      <c r="B123" t="s">
        <v>692</v>
      </c>
      <c r="E123" t="s">
        <v>867</v>
      </c>
    </row>
    <row r="124" spans="1:6" x14ac:dyDescent="0.25">
      <c r="A124" t="s">
        <v>868</v>
      </c>
      <c r="B124" t="s">
        <v>701</v>
      </c>
      <c r="C124" t="s">
        <v>702</v>
      </c>
      <c r="D124" t="s">
        <v>134</v>
      </c>
      <c r="E124" t="s">
        <v>135</v>
      </c>
      <c r="F124" t="s">
        <v>703</v>
      </c>
    </row>
    <row r="125" spans="1:6" x14ac:dyDescent="0.25">
      <c r="A125" t="s">
        <v>869</v>
      </c>
      <c r="B125" t="s">
        <v>764</v>
      </c>
      <c r="C125" t="s">
        <v>782</v>
      </c>
      <c r="D125" t="s">
        <v>836</v>
      </c>
      <c r="E125" t="s">
        <v>97</v>
      </c>
      <c r="F125" t="s">
        <v>71</v>
      </c>
    </row>
    <row r="126" spans="1:6" x14ac:dyDescent="0.25">
      <c r="A126" t="s">
        <v>869</v>
      </c>
      <c r="B126" t="s">
        <v>794</v>
      </c>
      <c r="C126" t="s">
        <v>782</v>
      </c>
      <c r="D126" t="s">
        <v>836</v>
      </c>
      <c r="E126" t="s">
        <v>97</v>
      </c>
      <c r="F126" t="s">
        <v>71</v>
      </c>
    </row>
    <row r="127" spans="1:6" x14ac:dyDescent="0.25">
      <c r="A127" t="s">
        <v>870</v>
      </c>
      <c r="B127" t="s">
        <v>764</v>
      </c>
      <c r="C127" t="s">
        <v>782</v>
      </c>
      <c r="D127" t="s">
        <v>836</v>
      </c>
      <c r="E127" t="s">
        <v>97</v>
      </c>
      <c r="F127" t="s">
        <v>71</v>
      </c>
    </row>
    <row r="128" spans="1:6" x14ac:dyDescent="0.25">
      <c r="A128" t="s">
        <v>870</v>
      </c>
      <c r="B128" t="s">
        <v>794</v>
      </c>
      <c r="C128" t="s">
        <v>782</v>
      </c>
      <c r="D128" t="s">
        <v>836</v>
      </c>
      <c r="E128" t="s">
        <v>97</v>
      </c>
      <c r="F128" t="s">
        <v>71</v>
      </c>
    </row>
    <row r="129" spans="1:6" x14ac:dyDescent="0.25">
      <c r="A129" t="s">
        <v>871</v>
      </c>
      <c r="B129" t="s">
        <v>764</v>
      </c>
      <c r="C129" t="s">
        <v>782</v>
      </c>
      <c r="D129" t="s">
        <v>836</v>
      </c>
      <c r="E129" t="s">
        <v>97</v>
      </c>
      <c r="F129" t="s">
        <v>71</v>
      </c>
    </row>
    <row r="130" spans="1:6" x14ac:dyDescent="0.25">
      <c r="A130" t="s">
        <v>872</v>
      </c>
      <c r="B130" t="s">
        <v>764</v>
      </c>
      <c r="C130" t="s">
        <v>782</v>
      </c>
      <c r="D130" t="s">
        <v>836</v>
      </c>
      <c r="E130" t="s">
        <v>97</v>
      </c>
      <c r="F130" t="s">
        <v>71</v>
      </c>
    </row>
    <row r="131" spans="1:6" x14ac:dyDescent="0.25">
      <c r="A131" t="s">
        <v>872</v>
      </c>
      <c r="B131" t="s">
        <v>794</v>
      </c>
      <c r="C131" t="s">
        <v>782</v>
      </c>
      <c r="D131" t="s">
        <v>836</v>
      </c>
      <c r="E131" t="s">
        <v>97</v>
      </c>
      <c r="F131" t="s">
        <v>71</v>
      </c>
    </row>
    <row r="132" spans="1:6" x14ac:dyDescent="0.25">
      <c r="A132" t="s">
        <v>873</v>
      </c>
      <c r="B132" t="s">
        <v>692</v>
      </c>
      <c r="E132" t="s">
        <v>280</v>
      </c>
      <c r="F132" t="s">
        <v>73</v>
      </c>
    </row>
    <row r="133" spans="1:6" x14ac:dyDescent="0.25">
      <c r="A133" t="s">
        <v>874</v>
      </c>
      <c r="B133" t="s">
        <v>764</v>
      </c>
      <c r="C133" t="s">
        <v>758</v>
      </c>
      <c r="D133" t="s">
        <v>875</v>
      </c>
      <c r="E133" t="s">
        <v>173</v>
      </c>
      <c r="F133" t="s">
        <v>206</v>
      </c>
    </row>
    <row r="134" spans="1:6" x14ac:dyDescent="0.25">
      <c r="A134" t="s">
        <v>876</v>
      </c>
      <c r="B134" t="s">
        <v>764</v>
      </c>
      <c r="C134" t="s">
        <v>758</v>
      </c>
      <c r="D134" t="s">
        <v>875</v>
      </c>
      <c r="E134" t="s">
        <v>173</v>
      </c>
      <c r="F134" t="s">
        <v>206</v>
      </c>
    </row>
    <row r="135" spans="1:6" x14ac:dyDescent="0.25">
      <c r="A135" t="s">
        <v>877</v>
      </c>
      <c r="B135" t="s">
        <v>764</v>
      </c>
      <c r="C135" t="s">
        <v>758</v>
      </c>
      <c r="D135" t="s">
        <v>875</v>
      </c>
      <c r="E135" t="s">
        <v>173</v>
      </c>
      <c r="F135" t="s">
        <v>206</v>
      </c>
    </row>
    <row r="136" spans="1:6" x14ac:dyDescent="0.25">
      <c r="A136" t="s">
        <v>878</v>
      </c>
      <c r="B136" t="s">
        <v>764</v>
      </c>
      <c r="C136" t="s">
        <v>758</v>
      </c>
      <c r="D136" t="s">
        <v>875</v>
      </c>
      <c r="E136" t="s">
        <v>173</v>
      </c>
      <c r="F136" t="s">
        <v>206</v>
      </c>
    </row>
    <row r="137" spans="1:6" x14ac:dyDescent="0.25">
      <c r="A137" t="s">
        <v>879</v>
      </c>
      <c r="B137" t="s">
        <v>764</v>
      </c>
      <c r="C137" t="s">
        <v>758</v>
      </c>
      <c r="D137" t="s">
        <v>875</v>
      </c>
      <c r="E137" t="s">
        <v>173</v>
      </c>
      <c r="F137" t="s">
        <v>206</v>
      </c>
    </row>
    <row r="138" spans="1:6" x14ac:dyDescent="0.25">
      <c r="A138" t="s">
        <v>880</v>
      </c>
      <c r="B138" t="s">
        <v>764</v>
      </c>
      <c r="C138" t="s">
        <v>758</v>
      </c>
      <c r="D138" t="s">
        <v>875</v>
      </c>
      <c r="E138" t="s">
        <v>173</v>
      </c>
      <c r="F138" t="s">
        <v>206</v>
      </c>
    </row>
    <row r="139" spans="1:6" x14ac:dyDescent="0.25">
      <c r="A139" t="s">
        <v>881</v>
      </c>
      <c r="B139" t="s">
        <v>764</v>
      </c>
      <c r="C139" t="s">
        <v>758</v>
      </c>
      <c r="D139" t="s">
        <v>875</v>
      </c>
      <c r="E139" t="s">
        <v>173</v>
      </c>
      <c r="F139" t="s">
        <v>206</v>
      </c>
    </row>
    <row r="140" spans="1:6" x14ac:dyDescent="0.25">
      <c r="A140" t="s">
        <v>882</v>
      </c>
      <c r="B140" t="s">
        <v>764</v>
      </c>
      <c r="C140" t="s">
        <v>758</v>
      </c>
      <c r="D140" t="s">
        <v>875</v>
      </c>
      <c r="E140" t="s">
        <v>173</v>
      </c>
      <c r="F140" t="s">
        <v>206</v>
      </c>
    </row>
    <row r="141" spans="1:6" x14ac:dyDescent="0.25">
      <c r="A141" t="s">
        <v>883</v>
      </c>
      <c r="B141" t="s">
        <v>764</v>
      </c>
      <c r="C141" t="s">
        <v>758</v>
      </c>
      <c r="D141" t="s">
        <v>875</v>
      </c>
      <c r="E141" t="s">
        <v>173</v>
      </c>
      <c r="F141" t="s">
        <v>206</v>
      </c>
    </row>
    <row r="142" spans="1:6" x14ac:dyDescent="0.25">
      <c r="A142" t="s">
        <v>884</v>
      </c>
      <c r="B142" t="s">
        <v>764</v>
      </c>
      <c r="C142" t="s">
        <v>758</v>
      </c>
      <c r="D142" t="s">
        <v>875</v>
      </c>
      <c r="E142" t="s">
        <v>173</v>
      </c>
      <c r="F142" t="s">
        <v>206</v>
      </c>
    </row>
    <row r="143" spans="1:6" x14ac:dyDescent="0.25">
      <c r="A143" t="s">
        <v>885</v>
      </c>
      <c r="B143" t="s">
        <v>764</v>
      </c>
      <c r="C143" t="s">
        <v>758</v>
      </c>
      <c r="D143" t="s">
        <v>875</v>
      </c>
      <c r="E143" t="s">
        <v>173</v>
      </c>
      <c r="F143" t="s">
        <v>206</v>
      </c>
    </row>
    <row r="144" spans="1:6" x14ac:dyDescent="0.25">
      <c r="A144" t="s">
        <v>886</v>
      </c>
      <c r="B144" t="s">
        <v>764</v>
      </c>
      <c r="C144" t="s">
        <v>758</v>
      </c>
      <c r="D144" t="s">
        <v>875</v>
      </c>
      <c r="E144" t="s">
        <v>173</v>
      </c>
      <c r="F144" t="s">
        <v>206</v>
      </c>
    </row>
    <row r="145" spans="1:6" x14ac:dyDescent="0.25">
      <c r="A145" t="s">
        <v>887</v>
      </c>
      <c r="B145" t="s">
        <v>764</v>
      </c>
      <c r="C145" t="s">
        <v>758</v>
      </c>
      <c r="D145" t="s">
        <v>875</v>
      </c>
      <c r="E145" t="s">
        <v>173</v>
      </c>
      <c r="F145" t="s">
        <v>206</v>
      </c>
    </row>
    <row r="146" spans="1:6" x14ac:dyDescent="0.25">
      <c r="A146" t="s">
        <v>888</v>
      </c>
      <c r="B146" t="s">
        <v>764</v>
      </c>
      <c r="C146" t="s">
        <v>758</v>
      </c>
      <c r="D146" t="s">
        <v>875</v>
      </c>
      <c r="E146" t="s">
        <v>173</v>
      </c>
      <c r="F146" t="s">
        <v>206</v>
      </c>
    </row>
    <row r="147" spans="1:6" x14ac:dyDescent="0.25">
      <c r="A147" t="s">
        <v>889</v>
      </c>
      <c r="B147" t="s">
        <v>764</v>
      </c>
      <c r="C147" t="s">
        <v>758</v>
      </c>
      <c r="D147" t="s">
        <v>875</v>
      </c>
      <c r="E147" t="s">
        <v>173</v>
      </c>
      <c r="F147" t="s">
        <v>206</v>
      </c>
    </row>
    <row r="148" spans="1:6" x14ac:dyDescent="0.25">
      <c r="A148" t="s">
        <v>890</v>
      </c>
      <c r="B148" t="s">
        <v>764</v>
      </c>
      <c r="C148" t="s">
        <v>758</v>
      </c>
      <c r="D148" t="s">
        <v>875</v>
      </c>
      <c r="E148" t="s">
        <v>173</v>
      </c>
      <c r="F148" t="s">
        <v>206</v>
      </c>
    </row>
    <row r="149" spans="1:6" x14ac:dyDescent="0.25">
      <c r="A149" t="s">
        <v>172</v>
      </c>
      <c r="B149" t="s">
        <v>764</v>
      </c>
      <c r="C149" t="s">
        <v>758</v>
      </c>
      <c r="D149" t="s">
        <v>875</v>
      </c>
      <c r="E149" t="s">
        <v>173</v>
      </c>
      <c r="F149" t="s">
        <v>206</v>
      </c>
    </row>
    <row r="150" spans="1:6" x14ac:dyDescent="0.25">
      <c r="A150" t="s">
        <v>172</v>
      </c>
      <c r="B150" t="s">
        <v>794</v>
      </c>
      <c r="C150" t="s">
        <v>758</v>
      </c>
      <c r="D150" t="s">
        <v>875</v>
      </c>
      <c r="E150" t="s">
        <v>173</v>
      </c>
      <c r="F150" t="s">
        <v>173</v>
      </c>
    </row>
    <row r="151" spans="1:5" x14ac:dyDescent="0.25">
      <c r="A151" t="s">
        <v>172</v>
      </c>
      <c r="B151" t="s">
        <v>692</v>
      </c>
      <c r="E151" t="s">
        <v>173</v>
      </c>
    </row>
    <row r="152" spans="1:6" x14ac:dyDescent="0.25">
      <c r="A152" t="s">
        <v>891</v>
      </c>
      <c r="B152" t="s">
        <v>764</v>
      </c>
      <c r="C152" t="s">
        <v>758</v>
      </c>
      <c r="D152" t="s">
        <v>875</v>
      </c>
      <c r="E152" t="s">
        <v>173</v>
      </c>
      <c r="F152" t="s">
        <v>206</v>
      </c>
    </row>
    <row r="153" spans="1:6" x14ac:dyDescent="0.25">
      <c r="A153" t="s">
        <v>892</v>
      </c>
      <c r="B153" t="s">
        <v>764</v>
      </c>
      <c r="C153" t="s">
        <v>758</v>
      </c>
      <c r="D153" t="s">
        <v>875</v>
      </c>
      <c r="E153" t="s">
        <v>173</v>
      </c>
      <c r="F153" t="s">
        <v>206</v>
      </c>
    </row>
    <row r="154" spans="1:5" x14ac:dyDescent="0.25">
      <c r="A154" t="s">
        <v>892</v>
      </c>
      <c r="B154" t="s">
        <v>692</v>
      </c>
      <c r="E154" t="s">
        <v>173</v>
      </c>
    </row>
    <row r="155" spans="1:6" x14ac:dyDescent="0.25">
      <c r="A155" t="s">
        <v>893</v>
      </c>
      <c r="B155" t="s">
        <v>764</v>
      </c>
      <c r="C155" t="s">
        <v>758</v>
      </c>
      <c r="D155" t="s">
        <v>875</v>
      </c>
      <c r="E155" t="s">
        <v>173</v>
      </c>
      <c r="F155" t="s">
        <v>206</v>
      </c>
    </row>
    <row r="156" spans="1:6" x14ac:dyDescent="0.25">
      <c r="A156" t="s">
        <v>894</v>
      </c>
      <c r="B156" t="s">
        <v>764</v>
      </c>
      <c r="C156" t="s">
        <v>758</v>
      </c>
      <c r="D156" t="s">
        <v>875</v>
      </c>
      <c r="E156" t="s">
        <v>173</v>
      </c>
      <c r="F156" t="s">
        <v>206</v>
      </c>
    </row>
    <row r="157" spans="1:6" x14ac:dyDescent="0.25">
      <c r="A157" t="s">
        <v>895</v>
      </c>
      <c r="B157" t="s">
        <v>764</v>
      </c>
      <c r="C157" t="s">
        <v>758</v>
      </c>
      <c r="D157" t="s">
        <v>875</v>
      </c>
      <c r="E157" t="s">
        <v>173</v>
      </c>
      <c r="F157" t="s">
        <v>206</v>
      </c>
    </row>
    <row r="158" spans="1:6" x14ac:dyDescent="0.25">
      <c r="A158" t="s">
        <v>896</v>
      </c>
      <c r="B158" t="s">
        <v>764</v>
      </c>
      <c r="C158" t="s">
        <v>758</v>
      </c>
      <c r="D158" t="s">
        <v>765</v>
      </c>
      <c r="E158" t="s">
        <v>337</v>
      </c>
      <c r="F158" t="s">
        <v>337</v>
      </c>
    </row>
    <row r="159" spans="1:5" x14ac:dyDescent="0.25">
      <c r="A159" t="s">
        <v>897</v>
      </c>
      <c r="B159" t="s">
        <v>692</v>
      </c>
      <c r="E159" t="s">
        <v>254</v>
      </c>
    </row>
    <row r="160" spans="1:6" x14ac:dyDescent="0.25">
      <c r="A160" t="s">
        <v>898</v>
      </c>
      <c r="B160" t="s">
        <v>764</v>
      </c>
      <c r="C160" t="s">
        <v>758</v>
      </c>
      <c r="D160" t="s">
        <v>899</v>
      </c>
      <c r="E160" t="s">
        <v>265</v>
      </c>
      <c r="F160" t="s">
        <v>900</v>
      </c>
    </row>
    <row r="161" spans="1:6" x14ac:dyDescent="0.25">
      <c r="A161" t="s">
        <v>898</v>
      </c>
      <c r="B161" t="s">
        <v>794</v>
      </c>
      <c r="C161" t="s">
        <v>758</v>
      </c>
      <c r="D161" t="s">
        <v>899</v>
      </c>
      <c r="E161" t="s">
        <v>265</v>
      </c>
      <c r="F161" t="s">
        <v>265</v>
      </c>
    </row>
    <row r="162" spans="1:6" x14ac:dyDescent="0.25">
      <c r="A162" t="s">
        <v>901</v>
      </c>
      <c r="B162" t="s">
        <v>764</v>
      </c>
      <c r="C162" t="s">
        <v>758</v>
      </c>
      <c r="D162" t="s">
        <v>899</v>
      </c>
      <c r="E162" t="s">
        <v>265</v>
      </c>
      <c r="F162" t="s">
        <v>900</v>
      </c>
    </row>
    <row r="163" spans="1:6" x14ac:dyDescent="0.25">
      <c r="A163" t="s">
        <v>901</v>
      </c>
      <c r="B163" t="s">
        <v>794</v>
      </c>
      <c r="C163" t="s">
        <v>758</v>
      </c>
      <c r="D163" t="s">
        <v>899</v>
      </c>
      <c r="E163" t="s">
        <v>265</v>
      </c>
      <c r="F163" t="s">
        <v>265</v>
      </c>
    </row>
    <row r="164" spans="1:6" x14ac:dyDescent="0.25">
      <c r="A164" t="s">
        <v>902</v>
      </c>
      <c r="B164" t="s">
        <v>764</v>
      </c>
      <c r="C164" t="s">
        <v>758</v>
      </c>
      <c r="D164" t="s">
        <v>899</v>
      </c>
      <c r="E164" t="s">
        <v>265</v>
      </c>
      <c r="F164" t="s">
        <v>900</v>
      </c>
    </row>
    <row r="165" spans="1:6" x14ac:dyDescent="0.25">
      <c r="A165" t="s">
        <v>902</v>
      </c>
      <c r="B165" t="s">
        <v>794</v>
      </c>
      <c r="C165" t="s">
        <v>758</v>
      </c>
      <c r="D165" t="s">
        <v>899</v>
      </c>
      <c r="E165" t="s">
        <v>265</v>
      </c>
      <c r="F165" t="s">
        <v>265</v>
      </c>
    </row>
    <row r="166" spans="1:6" x14ac:dyDescent="0.25">
      <c r="A166" t="s">
        <v>903</v>
      </c>
      <c r="B166" t="s">
        <v>764</v>
      </c>
      <c r="C166" t="s">
        <v>758</v>
      </c>
      <c r="D166" t="s">
        <v>899</v>
      </c>
      <c r="E166" t="s">
        <v>265</v>
      </c>
      <c r="F166" t="s">
        <v>900</v>
      </c>
    </row>
    <row r="167" spans="1:6" x14ac:dyDescent="0.25">
      <c r="A167" t="s">
        <v>903</v>
      </c>
      <c r="B167" t="s">
        <v>794</v>
      </c>
      <c r="C167" t="s">
        <v>758</v>
      </c>
      <c r="D167" t="s">
        <v>899</v>
      </c>
      <c r="E167" t="s">
        <v>265</v>
      </c>
      <c r="F167" t="s">
        <v>265</v>
      </c>
    </row>
    <row r="168" spans="1:6" x14ac:dyDescent="0.25">
      <c r="A168" t="s">
        <v>904</v>
      </c>
      <c r="B168" t="s">
        <v>692</v>
      </c>
      <c r="E168" t="s">
        <v>905</v>
      </c>
      <c r="F168" t="s">
        <v>189</v>
      </c>
    </row>
    <row r="169" spans="1:6" x14ac:dyDescent="0.25">
      <c r="A169" t="s">
        <v>906</v>
      </c>
      <c r="B169" t="s">
        <v>764</v>
      </c>
      <c r="C169" t="s">
        <v>702</v>
      </c>
      <c r="D169" t="s">
        <v>786</v>
      </c>
      <c r="E169" t="s">
        <v>787</v>
      </c>
      <c r="F169" t="s">
        <v>788</v>
      </c>
    </row>
    <row r="170" spans="1:6" x14ac:dyDescent="0.25">
      <c r="A170" t="s">
        <v>907</v>
      </c>
      <c r="B170" t="s">
        <v>764</v>
      </c>
      <c r="C170" t="s">
        <v>702</v>
      </c>
      <c r="D170" t="s">
        <v>786</v>
      </c>
      <c r="E170" t="s">
        <v>787</v>
      </c>
      <c r="F170" t="s">
        <v>788</v>
      </c>
    </row>
    <row r="171" spans="1:6" x14ac:dyDescent="0.25">
      <c r="A171" t="s">
        <v>908</v>
      </c>
      <c r="B171" t="s">
        <v>794</v>
      </c>
      <c r="C171" t="s">
        <v>702</v>
      </c>
      <c r="D171" t="s">
        <v>909</v>
      </c>
      <c r="E171" t="s">
        <v>370</v>
      </c>
      <c r="F171" t="s">
        <v>370</v>
      </c>
    </row>
    <row r="172" spans="1:5" x14ac:dyDescent="0.25">
      <c r="A172" t="s">
        <v>910</v>
      </c>
      <c r="B172" t="s">
        <v>692</v>
      </c>
      <c r="E172" t="s">
        <v>911</v>
      </c>
    </row>
    <row r="173" spans="1:5" x14ac:dyDescent="0.25">
      <c r="A173" t="s">
        <v>912</v>
      </c>
      <c r="B173" t="s">
        <v>692</v>
      </c>
      <c r="E173" t="s">
        <v>911</v>
      </c>
    </row>
    <row r="174" spans="1:5" x14ac:dyDescent="0.25">
      <c r="A174" t="s">
        <v>913</v>
      </c>
      <c r="B174" t="s">
        <v>692</v>
      </c>
      <c r="E174" t="s">
        <v>914</v>
      </c>
    </row>
    <row r="175" spans="1:6" x14ac:dyDescent="0.25">
      <c r="A175" t="s">
        <v>915</v>
      </c>
      <c r="B175" t="s">
        <v>701</v>
      </c>
      <c r="C175" t="s">
        <v>702</v>
      </c>
      <c r="D175" t="s">
        <v>134</v>
      </c>
      <c r="E175" t="s">
        <v>135</v>
      </c>
      <c r="F175" t="s">
        <v>916</v>
      </c>
    </row>
    <row r="176" spans="1:6" x14ac:dyDescent="0.25">
      <c r="A176" t="s">
        <v>917</v>
      </c>
      <c r="B176" t="s">
        <v>701</v>
      </c>
      <c r="C176" t="s">
        <v>702</v>
      </c>
      <c r="D176" t="s">
        <v>134</v>
      </c>
      <c r="E176" t="s">
        <v>135</v>
      </c>
      <c r="F176" t="s">
        <v>703</v>
      </c>
    </row>
    <row r="177" spans="1:6" x14ac:dyDescent="0.25">
      <c r="A177" t="s">
        <v>918</v>
      </c>
      <c r="B177" t="s">
        <v>764</v>
      </c>
      <c r="C177" t="s">
        <v>782</v>
      </c>
      <c r="D177" t="s">
        <v>849</v>
      </c>
      <c r="E177" t="s">
        <v>850</v>
      </c>
      <c r="F177" t="s">
        <v>851</v>
      </c>
    </row>
    <row r="178" spans="1:6" x14ac:dyDescent="0.25">
      <c r="A178" t="s">
        <v>919</v>
      </c>
      <c r="B178" t="s">
        <v>701</v>
      </c>
      <c r="C178" t="s">
        <v>702</v>
      </c>
      <c r="D178" t="s">
        <v>761</v>
      </c>
      <c r="E178" t="s">
        <v>389</v>
      </c>
      <c r="F178" t="s">
        <v>762</v>
      </c>
    </row>
    <row r="179" spans="1:6" x14ac:dyDescent="0.25">
      <c r="A179" t="s">
        <v>920</v>
      </c>
      <c r="B179" t="s">
        <v>794</v>
      </c>
      <c r="C179" t="s">
        <v>702</v>
      </c>
      <c r="D179" t="s">
        <v>761</v>
      </c>
      <c r="E179" t="s">
        <v>921</v>
      </c>
      <c r="F179" t="s">
        <v>922</v>
      </c>
    </row>
    <row r="180" spans="1:6" x14ac:dyDescent="0.25">
      <c r="A180" t="s">
        <v>923</v>
      </c>
      <c r="B180" t="s">
        <v>764</v>
      </c>
      <c r="C180" t="s">
        <v>702</v>
      </c>
      <c r="D180" t="s">
        <v>761</v>
      </c>
      <c r="E180" t="s">
        <v>327</v>
      </c>
      <c r="F180" t="s">
        <v>924</v>
      </c>
    </row>
    <row r="181" spans="1:6" x14ac:dyDescent="0.25">
      <c r="A181" t="s">
        <v>925</v>
      </c>
      <c r="B181" t="s">
        <v>701</v>
      </c>
      <c r="C181" t="s">
        <v>702</v>
      </c>
      <c r="D181" t="s">
        <v>134</v>
      </c>
      <c r="E181" t="s">
        <v>135</v>
      </c>
      <c r="F181" t="s">
        <v>926</v>
      </c>
    </row>
    <row r="182" spans="1:5" x14ac:dyDescent="0.25">
      <c r="A182" t="s">
        <v>927</v>
      </c>
      <c r="B182" t="s">
        <v>692</v>
      </c>
      <c r="E182" t="s">
        <v>97</v>
      </c>
    </row>
    <row r="183" spans="1:6" x14ac:dyDescent="0.25">
      <c r="A183" t="s">
        <v>928</v>
      </c>
      <c r="B183" t="s">
        <v>701</v>
      </c>
      <c r="C183" t="s">
        <v>746</v>
      </c>
      <c r="D183" t="s">
        <v>747</v>
      </c>
      <c r="E183" t="s">
        <v>748</v>
      </c>
      <c r="F183" t="s">
        <v>748</v>
      </c>
    </row>
    <row r="184" spans="1:6" x14ac:dyDescent="0.25">
      <c r="A184" t="s">
        <v>929</v>
      </c>
      <c r="B184" t="s">
        <v>701</v>
      </c>
      <c r="C184" t="s">
        <v>746</v>
      </c>
      <c r="D184" t="s">
        <v>747</v>
      </c>
      <c r="E184" t="s">
        <v>748</v>
      </c>
      <c r="F184" t="s">
        <v>748</v>
      </c>
    </row>
    <row r="185" spans="1:6" x14ac:dyDescent="0.25">
      <c r="A185" t="s">
        <v>930</v>
      </c>
      <c r="B185" t="s">
        <v>701</v>
      </c>
      <c r="C185" t="s">
        <v>746</v>
      </c>
      <c r="D185" t="s">
        <v>747</v>
      </c>
      <c r="E185" t="s">
        <v>748</v>
      </c>
      <c r="F185" t="s">
        <v>748</v>
      </c>
    </row>
    <row r="186" spans="1:6" x14ac:dyDescent="0.25">
      <c r="A186" t="s">
        <v>931</v>
      </c>
      <c r="B186" t="s">
        <v>764</v>
      </c>
      <c r="C186" t="s">
        <v>782</v>
      </c>
      <c r="D186" t="s">
        <v>783</v>
      </c>
      <c r="E186" t="s">
        <v>633</v>
      </c>
      <c r="F186" t="s">
        <v>784</v>
      </c>
    </row>
    <row r="187" spans="1:6" x14ac:dyDescent="0.25">
      <c r="A187" t="s">
        <v>931</v>
      </c>
      <c r="B187" t="s">
        <v>794</v>
      </c>
      <c r="C187" t="s">
        <v>782</v>
      </c>
      <c r="D187" t="s">
        <v>783</v>
      </c>
      <c r="E187" t="s">
        <v>633</v>
      </c>
      <c r="F187" t="s">
        <v>784</v>
      </c>
    </row>
    <row r="188" spans="1:6" x14ac:dyDescent="0.25">
      <c r="A188" t="s">
        <v>932</v>
      </c>
      <c r="B188" t="s">
        <v>764</v>
      </c>
      <c r="C188" t="s">
        <v>782</v>
      </c>
      <c r="D188" t="s">
        <v>783</v>
      </c>
      <c r="E188" t="s">
        <v>633</v>
      </c>
      <c r="F188" t="s">
        <v>784</v>
      </c>
    </row>
    <row r="189" spans="1:6" x14ac:dyDescent="0.25">
      <c r="A189" t="s">
        <v>933</v>
      </c>
      <c r="B189" t="s">
        <v>764</v>
      </c>
      <c r="C189" t="s">
        <v>782</v>
      </c>
      <c r="D189" t="s">
        <v>783</v>
      </c>
      <c r="E189" t="s">
        <v>633</v>
      </c>
      <c r="F189" t="s">
        <v>784</v>
      </c>
    </row>
    <row r="190" spans="1:5" x14ac:dyDescent="0.25">
      <c r="A190" t="s">
        <v>934</v>
      </c>
      <c r="B190" t="s">
        <v>692</v>
      </c>
      <c r="E190" t="s">
        <v>633</v>
      </c>
    </row>
    <row r="191" spans="1:6" x14ac:dyDescent="0.25">
      <c r="A191" t="s">
        <v>935</v>
      </c>
      <c r="B191" t="s">
        <v>764</v>
      </c>
      <c r="C191" t="s">
        <v>782</v>
      </c>
      <c r="D191" t="s">
        <v>783</v>
      </c>
      <c r="E191" t="s">
        <v>633</v>
      </c>
      <c r="F191" t="s">
        <v>784</v>
      </c>
    </row>
    <row r="192" spans="1:6" x14ac:dyDescent="0.25">
      <c r="A192" t="s">
        <v>632</v>
      </c>
      <c r="B192" t="s">
        <v>764</v>
      </c>
      <c r="C192" t="s">
        <v>782</v>
      </c>
      <c r="D192" t="s">
        <v>783</v>
      </c>
      <c r="E192" t="s">
        <v>633</v>
      </c>
      <c r="F192" t="s">
        <v>784</v>
      </c>
    </row>
    <row r="193" spans="1:5" x14ac:dyDescent="0.25">
      <c r="A193" t="s">
        <v>936</v>
      </c>
      <c r="B193" t="s">
        <v>692</v>
      </c>
      <c r="E193" t="s">
        <v>633</v>
      </c>
    </row>
    <row r="194" spans="1:6" x14ac:dyDescent="0.25">
      <c r="A194" t="s">
        <v>937</v>
      </c>
      <c r="B194" t="s">
        <v>764</v>
      </c>
      <c r="C194" t="s">
        <v>758</v>
      </c>
      <c r="D194" t="s">
        <v>875</v>
      </c>
      <c r="E194" t="s">
        <v>173</v>
      </c>
      <c r="F194" t="s">
        <v>206</v>
      </c>
    </row>
    <row r="195" spans="1:5" x14ac:dyDescent="0.25">
      <c r="A195" t="s">
        <v>938</v>
      </c>
      <c r="B195" t="s">
        <v>692</v>
      </c>
      <c r="E195" t="s">
        <v>280</v>
      </c>
    </row>
    <row r="196" spans="1:6" x14ac:dyDescent="0.25">
      <c r="A196" t="s">
        <v>939</v>
      </c>
      <c r="B196" t="s">
        <v>764</v>
      </c>
      <c r="C196" t="s">
        <v>758</v>
      </c>
      <c r="D196" t="s">
        <v>875</v>
      </c>
      <c r="E196" t="s">
        <v>173</v>
      </c>
      <c r="F196" t="s">
        <v>206</v>
      </c>
    </row>
    <row r="197" spans="1:6" x14ac:dyDescent="0.25">
      <c r="A197" t="s">
        <v>940</v>
      </c>
      <c r="B197" t="s">
        <v>764</v>
      </c>
      <c r="C197" t="s">
        <v>758</v>
      </c>
      <c r="D197" t="s">
        <v>875</v>
      </c>
      <c r="E197" t="s">
        <v>173</v>
      </c>
      <c r="F197" t="s">
        <v>206</v>
      </c>
    </row>
    <row r="198" spans="1:6" x14ac:dyDescent="0.25">
      <c r="A198" t="s">
        <v>941</v>
      </c>
      <c r="B198" t="s">
        <v>764</v>
      </c>
      <c r="C198" t="s">
        <v>758</v>
      </c>
      <c r="D198" t="s">
        <v>899</v>
      </c>
      <c r="E198" t="s">
        <v>265</v>
      </c>
      <c r="F198" t="s">
        <v>942</v>
      </c>
    </row>
    <row r="199" spans="1:6" x14ac:dyDescent="0.25">
      <c r="A199" t="s">
        <v>943</v>
      </c>
      <c r="B199" t="s">
        <v>764</v>
      </c>
      <c r="C199" t="s">
        <v>758</v>
      </c>
      <c r="D199" t="s">
        <v>899</v>
      </c>
      <c r="E199" t="s">
        <v>265</v>
      </c>
      <c r="F199" t="s">
        <v>942</v>
      </c>
    </row>
    <row r="200" spans="1:6" x14ac:dyDescent="0.25">
      <c r="A200" t="s">
        <v>944</v>
      </c>
      <c r="B200" t="s">
        <v>764</v>
      </c>
      <c r="C200" t="s">
        <v>782</v>
      </c>
      <c r="D200" t="s">
        <v>783</v>
      </c>
      <c r="E200" t="s">
        <v>797</v>
      </c>
      <c r="F200" t="s">
        <v>798</v>
      </c>
    </row>
    <row r="201" spans="1:6" x14ac:dyDescent="0.25">
      <c r="A201" t="s">
        <v>945</v>
      </c>
      <c r="B201" t="s">
        <v>764</v>
      </c>
      <c r="C201" t="s">
        <v>782</v>
      </c>
      <c r="D201" t="s">
        <v>783</v>
      </c>
      <c r="E201" t="s">
        <v>797</v>
      </c>
      <c r="F201" t="s">
        <v>798</v>
      </c>
    </row>
    <row r="202" spans="1:6" x14ac:dyDescent="0.25">
      <c r="A202" t="s">
        <v>946</v>
      </c>
      <c r="B202" t="s">
        <v>764</v>
      </c>
      <c r="C202" t="s">
        <v>782</v>
      </c>
      <c r="D202" t="s">
        <v>783</v>
      </c>
      <c r="E202" t="s">
        <v>797</v>
      </c>
      <c r="F202" t="s">
        <v>798</v>
      </c>
    </row>
    <row r="203" spans="1:6" x14ac:dyDescent="0.25">
      <c r="A203" t="s">
        <v>947</v>
      </c>
      <c r="B203" t="s">
        <v>701</v>
      </c>
      <c r="C203" t="s">
        <v>746</v>
      </c>
      <c r="D203" t="s">
        <v>747</v>
      </c>
      <c r="E203" t="s">
        <v>748</v>
      </c>
      <c r="F203" t="s">
        <v>748</v>
      </c>
    </row>
    <row r="204" spans="1:6" x14ac:dyDescent="0.25">
      <c r="A204" t="s">
        <v>948</v>
      </c>
      <c r="B204" t="s">
        <v>764</v>
      </c>
      <c r="C204" t="s">
        <v>702</v>
      </c>
      <c r="D204" t="s">
        <v>761</v>
      </c>
      <c r="E204" t="s">
        <v>327</v>
      </c>
      <c r="F204" t="s">
        <v>924</v>
      </c>
    </row>
    <row r="205" spans="1:6" x14ac:dyDescent="0.25">
      <c r="A205" t="s">
        <v>949</v>
      </c>
      <c r="B205" t="s">
        <v>764</v>
      </c>
      <c r="C205" t="s">
        <v>702</v>
      </c>
      <c r="D205" t="s">
        <v>134</v>
      </c>
      <c r="E205" t="s">
        <v>135</v>
      </c>
      <c r="F205" t="s">
        <v>134</v>
      </c>
    </row>
    <row r="206" spans="1:5" x14ac:dyDescent="0.25">
      <c r="A206" t="s">
        <v>950</v>
      </c>
      <c r="B206" t="s">
        <v>692</v>
      </c>
      <c r="E206" t="s">
        <v>867</v>
      </c>
    </row>
    <row r="207" spans="1:6" x14ac:dyDescent="0.25">
      <c r="A207" t="s">
        <v>951</v>
      </c>
      <c r="B207" t="s">
        <v>764</v>
      </c>
      <c r="C207" t="s">
        <v>790</v>
      </c>
      <c r="D207" t="s">
        <v>791</v>
      </c>
      <c r="E207" t="s">
        <v>598</v>
      </c>
      <c r="F207" t="s">
        <v>792</v>
      </c>
    </row>
    <row r="208" spans="1:6" x14ac:dyDescent="0.25">
      <c r="A208" t="s">
        <v>951</v>
      </c>
      <c r="B208" t="s">
        <v>701</v>
      </c>
      <c r="C208" t="s">
        <v>790</v>
      </c>
      <c r="D208" t="s">
        <v>791</v>
      </c>
      <c r="E208" t="s">
        <v>598</v>
      </c>
      <c r="F208" t="s">
        <v>793</v>
      </c>
    </row>
    <row r="209" spans="1:6" x14ac:dyDescent="0.25">
      <c r="A209" t="s">
        <v>952</v>
      </c>
      <c r="B209" t="s">
        <v>764</v>
      </c>
      <c r="C209" t="s">
        <v>758</v>
      </c>
      <c r="D209" t="s">
        <v>765</v>
      </c>
      <c r="E209" t="s">
        <v>337</v>
      </c>
      <c r="F209" t="s">
        <v>337</v>
      </c>
    </row>
    <row r="210" spans="1:6" x14ac:dyDescent="0.25">
      <c r="A210" t="s">
        <v>953</v>
      </c>
      <c r="B210" t="s">
        <v>764</v>
      </c>
      <c r="C210" t="s">
        <v>758</v>
      </c>
      <c r="D210" t="s">
        <v>765</v>
      </c>
      <c r="E210" t="s">
        <v>337</v>
      </c>
      <c r="F210" t="s">
        <v>337</v>
      </c>
    </row>
    <row r="211" spans="1:6" x14ac:dyDescent="0.25">
      <c r="A211" t="s">
        <v>954</v>
      </c>
      <c r="B211" t="s">
        <v>764</v>
      </c>
      <c r="C211" t="s">
        <v>758</v>
      </c>
      <c r="D211" t="s">
        <v>765</v>
      </c>
      <c r="E211" t="s">
        <v>337</v>
      </c>
      <c r="F211" t="s">
        <v>337</v>
      </c>
    </row>
    <row r="212" spans="1:6" x14ac:dyDescent="0.25">
      <c r="A212" t="s">
        <v>955</v>
      </c>
      <c r="B212" t="s">
        <v>764</v>
      </c>
      <c r="C212" t="s">
        <v>702</v>
      </c>
      <c r="D212" t="s">
        <v>761</v>
      </c>
      <c r="E212" t="s">
        <v>327</v>
      </c>
      <c r="F212" t="s">
        <v>924</v>
      </c>
    </row>
    <row r="213" spans="1:6" x14ac:dyDescent="0.25">
      <c r="A213" t="s">
        <v>956</v>
      </c>
      <c r="B213" t="s">
        <v>764</v>
      </c>
      <c r="C213" t="s">
        <v>782</v>
      </c>
      <c r="D213" t="s">
        <v>836</v>
      </c>
      <c r="E213" t="s">
        <v>97</v>
      </c>
      <c r="F213" t="s">
        <v>71</v>
      </c>
    </row>
    <row r="214" spans="1:5" x14ac:dyDescent="0.25">
      <c r="A214" t="s">
        <v>957</v>
      </c>
      <c r="B214" t="s">
        <v>692</v>
      </c>
      <c r="E214" t="s">
        <v>97</v>
      </c>
    </row>
    <row r="215" spans="1:6" x14ac:dyDescent="0.25">
      <c r="A215" t="s">
        <v>958</v>
      </c>
      <c r="B215" t="s">
        <v>764</v>
      </c>
      <c r="C215" t="s">
        <v>782</v>
      </c>
      <c r="D215" t="s">
        <v>836</v>
      </c>
      <c r="E215" t="s">
        <v>97</v>
      </c>
      <c r="F215" t="s">
        <v>71</v>
      </c>
    </row>
    <row r="216" spans="1:6" x14ac:dyDescent="0.25">
      <c r="A216" t="s">
        <v>477</v>
      </c>
      <c r="B216" t="s">
        <v>764</v>
      </c>
      <c r="C216" t="s">
        <v>782</v>
      </c>
      <c r="D216" t="s">
        <v>836</v>
      </c>
      <c r="E216" t="s">
        <v>97</v>
      </c>
      <c r="F216" t="s">
        <v>71</v>
      </c>
    </row>
    <row r="217" spans="1:6" x14ac:dyDescent="0.25">
      <c r="A217" t="s">
        <v>477</v>
      </c>
      <c r="B217" t="s">
        <v>794</v>
      </c>
      <c r="C217" t="s">
        <v>782</v>
      </c>
      <c r="D217" t="s">
        <v>836</v>
      </c>
      <c r="E217" t="s">
        <v>97</v>
      </c>
      <c r="F217" t="s">
        <v>71</v>
      </c>
    </row>
    <row r="218" spans="1:5" x14ac:dyDescent="0.25">
      <c r="A218" t="s">
        <v>959</v>
      </c>
      <c r="B218" t="s">
        <v>692</v>
      </c>
      <c r="E218" t="s">
        <v>97</v>
      </c>
    </row>
    <row r="219" spans="1:6" x14ac:dyDescent="0.25">
      <c r="A219" t="s">
        <v>960</v>
      </c>
      <c r="B219" t="s">
        <v>764</v>
      </c>
      <c r="C219" t="s">
        <v>782</v>
      </c>
      <c r="D219" t="s">
        <v>836</v>
      </c>
      <c r="E219" t="s">
        <v>97</v>
      </c>
      <c r="F219" t="s">
        <v>71</v>
      </c>
    </row>
    <row r="220" spans="1:6" x14ac:dyDescent="0.25">
      <c r="A220" t="s">
        <v>961</v>
      </c>
      <c r="B220" t="s">
        <v>764</v>
      </c>
      <c r="C220" t="s">
        <v>702</v>
      </c>
      <c r="D220" t="s">
        <v>962</v>
      </c>
      <c r="E220" t="s">
        <v>103</v>
      </c>
      <c r="F220" t="s">
        <v>103</v>
      </c>
    </row>
    <row r="221" spans="1:6" x14ac:dyDescent="0.25">
      <c r="A221" t="s">
        <v>963</v>
      </c>
      <c r="B221" t="s">
        <v>764</v>
      </c>
      <c r="C221" t="s">
        <v>782</v>
      </c>
      <c r="D221" t="s">
        <v>836</v>
      </c>
      <c r="E221" t="s">
        <v>97</v>
      </c>
      <c r="F221" t="s">
        <v>71</v>
      </c>
    </row>
    <row r="222" spans="1:6" x14ac:dyDescent="0.25">
      <c r="A222" t="s">
        <v>964</v>
      </c>
      <c r="B222" t="s">
        <v>701</v>
      </c>
      <c r="C222" t="s">
        <v>702</v>
      </c>
      <c r="D222" t="s">
        <v>761</v>
      </c>
      <c r="E222" t="s">
        <v>389</v>
      </c>
      <c r="F222" t="s">
        <v>762</v>
      </c>
    </row>
    <row r="223" spans="1:6" x14ac:dyDescent="0.25">
      <c r="A223" t="s">
        <v>965</v>
      </c>
      <c r="B223" t="s">
        <v>701</v>
      </c>
      <c r="C223" t="s">
        <v>702</v>
      </c>
      <c r="D223" t="s">
        <v>761</v>
      </c>
      <c r="E223" t="s">
        <v>389</v>
      </c>
      <c r="F223" t="s">
        <v>762</v>
      </c>
    </row>
    <row r="224" spans="1:6" x14ac:dyDescent="0.25">
      <c r="A224" t="s">
        <v>966</v>
      </c>
      <c r="B224" t="s">
        <v>701</v>
      </c>
      <c r="C224" t="s">
        <v>746</v>
      </c>
      <c r="D224" t="s">
        <v>747</v>
      </c>
      <c r="E224" t="s">
        <v>748</v>
      </c>
      <c r="F224" t="s">
        <v>748</v>
      </c>
    </row>
    <row r="225" spans="1:6" x14ac:dyDescent="0.25">
      <c r="A225" t="s">
        <v>967</v>
      </c>
      <c r="B225" t="s">
        <v>692</v>
      </c>
      <c r="E225" t="s">
        <v>327</v>
      </c>
      <c r="F225" t="s">
        <v>91</v>
      </c>
    </row>
    <row r="226" spans="1:6" x14ac:dyDescent="0.25">
      <c r="A226" t="s">
        <v>968</v>
      </c>
      <c r="B226" t="s">
        <v>701</v>
      </c>
      <c r="C226" t="s">
        <v>702</v>
      </c>
      <c r="D226" t="s">
        <v>761</v>
      </c>
      <c r="E226" t="s">
        <v>389</v>
      </c>
      <c r="F226" t="s">
        <v>762</v>
      </c>
    </row>
    <row r="227" spans="1:6" x14ac:dyDescent="0.25">
      <c r="A227" t="s">
        <v>969</v>
      </c>
      <c r="B227" t="s">
        <v>794</v>
      </c>
      <c r="C227" t="s">
        <v>702</v>
      </c>
      <c r="D227" t="s">
        <v>761</v>
      </c>
      <c r="E227" t="s">
        <v>921</v>
      </c>
      <c r="F227" t="s">
        <v>922</v>
      </c>
    </row>
    <row r="228" spans="1:6" x14ac:dyDescent="0.25">
      <c r="A228" t="s">
        <v>970</v>
      </c>
      <c r="B228" t="s">
        <v>701</v>
      </c>
      <c r="C228" t="s">
        <v>746</v>
      </c>
      <c r="D228" t="s">
        <v>747</v>
      </c>
      <c r="E228" t="s">
        <v>748</v>
      </c>
      <c r="F228" t="s">
        <v>748</v>
      </c>
    </row>
    <row r="229" spans="1:6" x14ac:dyDescent="0.25">
      <c r="A229" t="s">
        <v>971</v>
      </c>
      <c r="B229" t="s">
        <v>701</v>
      </c>
      <c r="C229" t="s">
        <v>702</v>
      </c>
      <c r="D229" t="s">
        <v>134</v>
      </c>
      <c r="E229" t="s">
        <v>135</v>
      </c>
      <c r="F229" t="s">
        <v>703</v>
      </c>
    </row>
    <row r="230" spans="1:5" x14ac:dyDescent="0.25">
      <c r="A230" t="s">
        <v>972</v>
      </c>
      <c r="B230" t="s">
        <v>692</v>
      </c>
      <c r="E230" t="s">
        <v>173</v>
      </c>
    </row>
    <row r="231" spans="1:5" x14ac:dyDescent="0.25">
      <c r="A231" t="s">
        <v>973</v>
      </c>
      <c r="B231" t="s">
        <v>692</v>
      </c>
      <c r="E231" t="s">
        <v>97</v>
      </c>
    </row>
    <row r="232" spans="1:5" x14ac:dyDescent="0.25">
      <c r="A232" t="s">
        <v>974</v>
      </c>
      <c r="B232" t="s">
        <v>692</v>
      </c>
      <c r="E232" t="s">
        <v>327</v>
      </c>
    </row>
    <row r="233" spans="1:5" x14ac:dyDescent="0.25">
      <c r="A233" t="s">
        <v>326</v>
      </c>
      <c r="B233" t="s">
        <v>692</v>
      </c>
      <c r="E233" t="s">
        <v>327</v>
      </c>
    </row>
    <row r="234" spans="1:6" x14ac:dyDescent="0.25">
      <c r="A234" t="s">
        <v>975</v>
      </c>
      <c r="B234" t="s">
        <v>764</v>
      </c>
      <c r="C234" t="s">
        <v>702</v>
      </c>
      <c r="D234" t="s">
        <v>134</v>
      </c>
      <c r="E234" t="s">
        <v>135</v>
      </c>
      <c r="F234" t="s">
        <v>134</v>
      </c>
    </row>
    <row r="235" spans="1:6" x14ac:dyDescent="0.25">
      <c r="A235" t="s">
        <v>976</v>
      </c>
      <c r="B235" t="s">
        <v>764</v>
      </c>
      <c r="C235" t="s">
        <v>758</v>
      </c>
      <c r="D235" t="s">
        <v>875</v>
      </c>
      <c r="E235" t="s">
        <v>173</v>
      </c>
      <c r="F235" t="s">
        <v>206</v>
      </c>
    </row>
    <row r="236" spans="1:6" x14ac:dyDescent="0.25">
      <c r="A236" t="s">
        <v>977</v>
      </c>
      <c r="B236" t="s">
        <v>701</v>
      </c>
      <c r="C236" t="s">
        <v>702</v>
      </c>
      <c r="D236" t="s">
        <v>134</v>
      </c>
      <c r="E236" t="s">
        <v>135</v>
      </c>
      <c r="F236" t="s">
        <v>703</v>
      </c>
    </row>
    <row r="237" spans="1:6" x14ac:dyDescent="0.25">
      <c r="A237" t="s">
        <v>978</v>
      </c>
      <c r="B237" t="s">
        <v>764</v>
      </c>
      <c r="C237" t="s">
        <v>758</v>
      </c>
      <c r="D237" t="s">
        <v>979</v>
      </c>
      <c r="E237" t="s">
        <v>85</v>
      </c>
      <c r="F237" t="s">
        <v>124</v>
      </c>
    </row>
    <row r="238" spans="1:5" x14ac:dyDescent="0.25">
      <c r="A238" t="s">
        <v>980</v>
      </c>
      <c r="B238" t="s">
        <v>692</v>
      </c>
      <c r="E238" t="s">
        <v>981</v>
      </c>
    </row>
    <row r="239" spans="1:6" x14ac:dyDescent="0.25">
      <c r="A239" t="s">
        <v>982</v>
      </c>
      <c r="B239" t="s">
        <v>701</v>
      </c>
      <c r="C239" t="s">
        <v>702</v>
      </c>
      <c r="D239" t="s">
        <v>827</v>
      </c>
      <c r="E239" t="s">
        <v>828</v>
      </c>
      <c r="F239" t="s">
        <v>828</v>
      </c>
    </row>
    <row r="240" spans="1:6" x14ac:dyDescent="0.25">
      <c r="A240" t="s">
        <v>983</v>
      </c>
      <c r="B240" t="s">
        <v>764</v>
      </c>
      <c r="C240" t="s">
        <v>758</v>
      </c>
      <c r="D240" t="s">
        <v>979</v>
      </c>
      <c r="E240" t="s">
        <v>85</v>
      </c>
      <c r="F240" t="s">
        <v>124</v>
      </c>
    </row>
    <row r="241" spans="1:6" x14ac:dyDescent="0.25">
      <c r="A241" t="s">
        <v>984</v>
      </c>
      <c r="B241" t="s">
        <v>764</v>
      </c>
      <c r="C241" t="s">
        <v>758</v>
      </c>
      <c r="D241" t="s">
        <v>979</v>
      </c>
      <c r="E241" t="s">
        <v>85</v>
      </c>
      <c r="F241" t="s">
        <v>124</v>
      </c>
    </row>
    <row r="242" spans="1:6" x14ac:dyDescent="0.25">
      <c r="A242" t="s">
        <v>985</v>
      </c>
      <c r="B242" t="s">
        <v>764</v>
      </c>
      <c r="C242" t="s">
        <v>758</v>
      </c>
      <c r="D242" t="s">
        <v>979</v>
      </c>
      <c r="E242" t="s">
        <v>85</v>
      </c>
      <c r="F242" t="s">
        <v>124</v>
      </c>
    </row>
    <row r="243" spans="1:6" x14ac:dyDescent="0.25">
      <c r="A243" t="s">
        <v>986</v>
      </c>
      <c r="B243" t="s">
        <v>764</v>
      </c>
      <c r="C243" t="s">
        <v>758</v>
      </c>
      <c r="D243" t="s">
        <v>979</v>
      </c>
      <c r="E243" t="s">
        <v>987</v>
      </c>
      <c r="F243" t="s">
        <v>988</v>
      </c>
    </row>
    <row r="244" spans="1:6" x14ac:dyDescent="0.25">
      <c r="A244" t="s">
        <v>989</v>
      </c>
      <c r="B244" t="s">
        <v>764</v>
      </c>
      <c r="C244" t="s">
        <v>758</v>
      </c>
      <c r="D244" t="s">
        <v>979</v>
      </c>
      <c r="E244" t="s">
        <v>987</v>
      </c>
      <c r="F244" t="s">
        <v>988</v>
      </c>
    </row>
    <row r="245" spans="1:5" x14ac:dyDescent="0.25">
      <c r="A245" t="s">
        <v>990</v>
      </c>
      <c r="B245" t="s">
        <v>692</v>
      </c>
      <c r="E245" t="s">
        <v>173</v>
      </c>
    </row>
    <row r="246" spans="1:6" x14ac:dyDescent="0.25">
      <c r="A246" t="s">
        <v>991</v>
      </c>
      <c r="B246" t="s">
        <v>764</v>
      </c>
      <c r="C246" t="s">
        <v>758</v>
      </c>
      <c r="D246" t="s">
        <v>875</v>
      </c>
      <c r="E246" t="s">
        <v>173</v>
      </c>
      <c r="F246" t="s">
        <v>206</v>
      </c>
    </row>
    <row r="247" spans="1:6" x14ac:dyDescent="0.25">
      <c r="A247" t="s">
        <v>992</v>
      </c>
      <c r="B247" t="s">
        <v>764</v>
      </c>
      <c r="C247" t="s">
        <v>758</v>
      </c>
      <c r="D247" t="s">
        <v>765</v>
      </c>
      <c r="E247" t="s">
        <v>337</v>
      </c>
      <c r="F247" t="s">
        <v>337</v>
      </c>
    </row>
    <row r="248" spans="1:6" x14ac:dyDescent="0.25">
      <c r="A248" t="s">
        <v>993</v>
      </c>
      <c r="B248" t="s">
        <v>764</v>
      </c>
      <c r="C248" t="s">
        <v>790</v>
      </c>
      <c r="D248" t="s">
        <v>791</v>
      </c>
      <c r="E248" t="s">
        <v>598</v>
      </c>
      <c r="F248" t="s">
        <v>792</v>
      </c>
    </row>
    <row r="249" spans="1:6" x14ac:dyDescent="0.25">
      <c r="A249" t="s">
        <v>993</v>
      </c>
      <c r="B249" t="s">
        <v>701</v>
      </c>
      <c r="C249" t="s">
        <v>790</v>
      </c>
      <c r="D249" t="s">
        <v>791</v>
      </c>
      <c r="E249" t="s">
        <v>598</v>
      </c>
      <c r="F249" t="s">
        <v>793</v>
      </c>
    </row>
    <row r="250" spans="1:6" x14ac:dyDescent="0.25">
      <c r="A250" t="s">
        <v>994</v>
      </c>
      <c r="B250" t="s">
        <v>764</v>
      </c>
      <c r="C250" t="s">
        <v>790</v>
      </c>
      <c r="D250" t="s">
        <v>791</v>
      </c>
      <c r="E250" t="s">
        <v>598</v>
      </c>
      <c r="F250" t="s">
        <v>792</v>
      </c>
    </row>
    <row r="251" spans="1:6" x14ac:dyDescent="0.25">
      <c r="A251" t="s">
        <v>994</v>
      </c>
      <c r="B251" t="s">
        <v>701</v>
      </c>
      <c r="C251" t="s">
        <v>790</v>
      </c>
      <c r="D251" t="s">
        <v>791</v>
      </c>
      <c r="E251" t="s">
        <v>598</v>
      </c>
      <c r="F251" t="s">
        <v>793</v>
      </c>
    </row>
    <row r="252" spans="1:6" x14ac:dyDescent="0.25">
      <c r="A252" t="s">
        <v>995</v>
      </c>
      <c r="B252" t="s">
        <v>764</v>
      </c>
      <c r="C252" t="s">
        <v>758</v>
      </c>
      <c r="D252" t="s">
        <v>875</v>
      </c>
      <c r="E252" t="s">
        <v>173</v>
      </c>
      <c r="F252" t="s">
        <v>206</v>
      </c>
    </row>
    <row r="253" spans="1:6" x14ac:dyDescent="0.25">
      <c r="A253" t="s">
        <v>996</v>
      </c>
      <c r="B253" t="s">
        <v>764</v>
      </c>
      <c r="C253" t="s">
        <v>758</v>
      </c>
      <c r="D253" t="s">
        <v>875</v>
      </c>
      <c r="E253" t="s">
        <v>173</v>
      </c>
      <c r="F253" t="s">
        <v>206</v>
      </c>
    </row>
    <row r="254" spans="1:6" x14ac:dyDescent="0.25">
      <c r="A254" t="s">
        <v>997</v>
      </c>
      <c r="B254" t="s">
        <v>764</v>
      </c>
      <c r="C254" t="s">
        <v>758</v>
      </c>
      <c r="D254" t="s">
        <v>875</v>
      </c>
      <c r="E254" t="s">
        <v>173</v>
      </c>
      <c r="F254" t="s">
        <v>206</v>
      </c>
    </row>
    <row r="255" spans="1:6" x14ac:dyDescent="0.25">
      <c r="A255" t="s">
        <v>998</v>
      </c>
      <c r="B255" t="s">
        <v>764</v>
      </c>
      <c r="C255" t="s">
        <v>758</v>
      </c>
      <c r="D255" t="s">
        <v>875</v>
      </c>
      <c r="E255" t="s">
        <v>173</v>
      </c>
      <c r="F255" t="s">
        <v>206</v>
      </c>
    </row>
    <row r="256" spans="1:6" x14ac:dyDescent="0.25">
      <c r="A256" t="s">
        <v>999</v>
      </c>
      <c r="B256" t="s">
        <v>764</v>
      </c>
      <c r="C256" t="s">
        <v>758</v>
      </c>
      <c r="D256" t="s">
        <v>875</v>
      </c>
      <c r="E256" t="s">
        <v>173</v>
      </c>
      <c r="F256" t="s">
        <v>206</v>
      </c>
    </row>
    <row r="257" spans="1:6" x14ac:dyDescent="0.25">
      <c r="A257" t="s">
        <v>1000</v>
      </c>
      <c r="B257" t="s">
        <v>764</v>
      </c>
      <c r="C257" t="s">
        <v>702</v>
      </c>
      <c r="D257" t="s">
        <v>134</v>
      </c>
      <c r="E257" t="s">
        <v>135</v>
      </c>
      <c r="F257" t="s">
        <v>134</v>
      </c>
    </row>
    <row r="258" spans="1:5" x14ac:dyDescent="0.25">
      <c r="A258" t="s">
        <v>1001</v>
      </c>
      <c r="B258" t="s">
        <v>692</v>
      </c>
      <c r="E258" t="s">
        <v>1002</v>
      </c>
    </row>
    <row r="259" spans="1:6" x14ac:dyDescent="0.25">
      <c r="A259" t="s">
        <v>1003</v>
      </c>
      <c r="B259" t="s">
        <v>764</v>
      </c>
      <c r="C259" t="s">
        <v>702</v>
      </c>
      <c r="D259" t="s">
        <v>962</v>
      </c>
      <c r="E259" t="s">
        <v>103</v>
      </c>
      <c r="F259" t="s">
        <v>103</v>
      </c>
    </row>
    <row r="260" spans="1:6" x14ac:dyDescent="0.25">
      <c r="A260" t="s">
        <v>1004</v>
      </c>
      <c r="B260" t="s">
        <v>701</v>
      </c>
      <c r="C260" t="s">
        <v>702</v>
      </c>
      <c r="D260" t="s">
        <v>761</v>
      </c>
      <c r="E260" t="s">
        <v>389</v>
      </c>
      <c r="F260" t="s">
        <v>762</v>
      </c>
    </row>
    <row r="261" spans="1:6" x14ac:dyDescent="0.25">
      <c r="A261" t="s">
        <v>1005</v>
      </c>
      <c r="B261" t="s">
        <v>764</v>
      </c>
      <c r="C261" t="s">
        <v>702</v>
      </c>
      <c r="D261" t="s">
        <v>761</v>
      </c>
      <c r="E261" t="s">
        <v>327</v>
      </c>
      <c r="F261" t="s">
        <v>924</v>
      </c>
    </row>
    <row r="262" spans="1:6" x14ac:dyDescent="0.25">
      <c r="A262" t="s">
        <v>1006</v>
      </c>
      <c r="B262" t="s">
        <v>701</v>
      </c>
      <c r="C262" t="s">
        <v>702</v>
      </c>
      <c r="D262" t="s">
        <v>761</v>
      </c>
      <c r="E262" t="s">
        <v>389</v>
      </c>
      <c r="F262" t="s">
        <v>762</v>
      </c>
    </row>
    <row r="263" spans="1:6" x14ac:dyDescent="0.25">
      <c r="A263" t="s">
        <v>1006</v>
      </c>
      <c r="B263" t="s">
        <v>794</v>
      </c>
      <c r="C263" t="s">
        <v>702</v>
      </c>
      <c r="D263" t="s">
        <v>761</v>
      </c>
      <c r="E263" t="s">
        <v>389</v>
      </c>
      <c r="F263" t="s">
        <v>1007</v>
      </c>
    </row>
    <row r="264" spans="1:6" x14ac:dyDescent="0.25">
      <c r="A264" t="s">
        <v>1008</v>
      </c>
      <c r="B264" t="s">
        <v>764</v>
      </c>
      <c r="C264" t="s">
        <v>702</v>
      </c>
      <c r="D264" t="s">
        <v>761</v>
      </c>
      <c r="E264" t="s">
        <v>327</v>
      </c>
      <c r="F264" t="s">
        <v>924</v>
      </c>
    </row>
    <row r="265" spans="1:6" x14ac:dyDescent="0.25">
      <c r="A265" t="s">
        <v>1009</v>
      </c>
      <c r="B265" t="s">
        <v>764</v>
      </c>
      <c r="C265" t="s">
        <v>758</v>
      </c>
      <c r="D265" t="s">
        <v>765</v>
      </c>
      <c r="E265" t="s">
        <v>337</v>
      </c>
      <c r="F265" t="s">
        <v>337</v>
      </c>
    </row>
    <row r="266" spans="1:6" x14ac:dyDescent="0.25">
      <c r="A266" t="s">
        <v>1010</v>
      </c>
      <c r="B266" t="s">
        <v>764</v>
      </c>
      <c r="C266" t="s">
        <v>758</v>
      </c>
      <c r="D266" t="s">
        <v>765</v>
      </c>
      <c r="E266" t="s">
        <v>337</v>
      </c>
      <c r="F266" t="s">
        <v>337</v>
      </c>
    </row>
    <row r="267" spans="1:6" x14ac:dyDescent="0.25">
      <c r="A267" t="s">
        <v>1011</v>
      </c>
      <c r="B267" t="s">
        <v>764</v>
      </c>
      <c r="C267" t="s">
        <v>758</v>
      </c>
      <c r="D267" t="s">
        <v>875</v>
      </c>
      <c r="E267" t="s">
        <v>173</v>
      </c>
      <c r="F267" t="s">
        <v>206</v>
      </c>
    </row>
    <row r="268" spans="1:6" x14ac:dyDescent="0.25">
      <c r="A268" t="s">
        <v>1012</v>
      </c>
      <c r="B268" t="s">
        <v>701</v>
      </c>
      <c r="C268" t="s">
        <v>702</v>
      </c>
      <c r="D268" t="s">
        <v>134</v>
      </c>
      <c r="E268" t="s">
        <v>135</v>
      </c>
      <c r="F268" t="s">
        <v>916</v>
      </c>
    </row>
    <row r="269" spans="1:6" x14ac:dyDescent="0.25">
      <c r="A269" t="s">
        <v>1013</v>
      </c>
      <c r="B269" t="s">
        <v>764</v>
      </c>
      <c r="C269" t="s">
        <v>702</v>
      </c>
      <c r="D269" t="s">
        <v>134</v>
      </c>
      <c r="E269" t="s">
        <v>135</v>
      </c>
      <c r="F269" t="s">
        <v>134</v>
      </c>
    </row>
    <row r="270" spans="1:6" x14ac:dyDescent="0.25">
      <c r="A270" t="s">
        <v>1014</v>
      </c>
      <c r="B270" t="s">
        <v>764</v>
      </c>
      <c r="C270" t="s">
        <v>758</v>
      </c>
      <c r="D270" t="s">
        <v>875</v>
      </c>
      <c r="E270" t="s">
        <v>173</v>
      </c>
      <c r="F270" t="s">
        <v>206</v>
      </c>
    </row>
    <row r="271" spans="1:5" x14ac:dyDescent="0.25">
      <c r="A271" t="s">
        <v>1015</v>
      </c>
      <c r="B271" t="s">
        <v>692</v>
      </c>
      <c r="E271" t="s">
        <v>1016</v>
      </c>
    </row>
    <row r="272" spans="1:6" x14ac:dyDescent="0.25">
      <c r="A272" t="s">
        <v>1017</v>
      </c>
      <c r="B272" t="s">
        <v>692</v>
      </c>
      <c r="E272" t="s">
        <v>598</v>
      </c>
      <c r="F272" t="s">
        <v>189</v>
      </c>
    </row>
    <row r="273" spans="1:6" x14ac:dyDescent="0.25">
      <c r="A273" t="s">
        <v>1018</v>
      </c>
      <c r="B273" t="s">
        <v>764</v>
      </c>
      <c r="C273" t="s">
        <v>782</v>
      </c>
      <c r="D273" t="s">
        <v>836</v>
      </c>
      <c r="E273" t="s">
        <v>97</v>
      </c>
      <c r="F273" t="s">
        <v>71</v>
      </c>
    </row>
    <row r="274" spans="1:5" x14ac:dyDescent="0.25">
      <c r="A274" t="s">
        <v>1019</v>
      </c>
      <c r="B274" t="s">
        <v>692</v>
      </c>
      <c r="E274" t="s">
        <v>90</v>
      </c>
    </row>
    <row r="275" spans="1:6" x14ac:dyDescent="0.25">
      <c r="A275" t="s">
        <v>1020</v>
      </c>
      <c r="B275" t="s">
        <v>692</v>
      </c>
      <c r="E275" t="s">
        <v>90</v>
      </c>
      <c r="F275" t="s">
        <v>91</v>
      </c>
    </row>
    <row r="276" spans="1:5" x14ac:dyDescent="0.25">
      <c r="A276" t="s">
        <v>1021</v>
      </c>
      <c r="B276" t="s">
        <v>692</v>
      </c>
      <c r="E276" t="s">
        <v>327</v>
      </c>
    </row>
    <row r="277" spans="1:5" x14ac:dyDescent="0.25">
      <c r="A277" t="s">
        <v>1022</v>
      </c>
      <c r="B277" t="s">
        <v>692</v>
      </c>
      <c r="E277" t="s">
        <v>633</v>
      </c>
    </row>
    <row r="278" spans="1:6" x14ac:dyDescent="0.25">
      <c r="A278" t="s">
        <v>1023</v>
      </c>
      <c r="B278" t="s">
        <v>701</v>
      </c>
      <c r="C278" t="s">
        <v>702</v>
      </c>
      <c r="D278" t="s">
        <v>761</v>
      </c>
      <c r="E278" t="s">
        <v>389</v>
      </c>
      <c r="F278" t="s">
        <v>762</v>
      </c>
    </row>
    <row r="279" spans="1:6" x14ac:dyDescent="0.25">
      <c r="A279" t="s">
        <v>1024</v>
      </c>
      <c r="B279" t="s">
        <v>701</v>
      </c>
      <c r="C279" t="s">
        <v>702</v>
      </c>
      <c r="D279" t="s">
        <v>761</v>
      </c>
      <c r="E279" t="s">
        <v>389</v>
      </c>
      <c r="F279" t="s">
        <v>762</v>
      </c>
    </row>
    <row r="280" spans="1:6" x14ac:dyDescent="0.25">
      <c r="A280" t="s">
        <v>1025</v>
      </c>
      <c r="B280" t="s">
        <v>701</v>
      </c>
      <c r="C280" t="s">
        <v>702</v>
      </c>
      <c r="D280" t="s">
        <v>761</v>
      </c>
      <c r="E280" t="s">
        <v>389</v>
      </c>
      <c r="F280" t="s">
        <v>762</v>
      </c>
    </row>
    <row r="281" spans="1:6" x14ac:dyDescent="0.25">
      <c r="A281" t="s">
        <v>1026</v>
      </c>
      <c r="B281" t="s">
        <v>701</v>
      </c>
      <c r="C281" t="s">
        <v>702</v>
      </c>
      <c r="D281" t="s">
        <v>761</v>
      </c>
      <c r="E281" t="s">
        <v>389</v>
      </c>
      <c r="F281" t="s">
        <v>762</v>
      </c>
    </row>
    <row r="282" spans="1:6" x14ac:dyDescent="0.25">
      <c r="A282" t="s">
        <v>1027</v>
      </c>
      <c r="B282" t="s">
        <v>692</v>
      </c>
      <c r="E282" t="s">
        <v>97</v>
      </c>
      <c r="F282" t="s">
        <v>1028</v>
      </c>
    </row>
    <row r="283" spans="1:5" x14ac:dyDescent="0.25">
      <c r="A283" t="s">
        <v>1029</v>
      </c>
      <c r="B283" t="s">
        <v>692</v>
      </c>
      <c r="E283" t="s">
        <v>97</v>
      </c>
    </row>
    <row r="284" spans="1:5" x14ac:dyDescent="0.25">
      <c r="A284" t="s">
        <v>1030</v>
      </c>
      <c r="B284" t="s">
        <v>692</v>
      </c>
      <c r="E284" t="s">
        <v>97</v>
      </c>
    </row>
    <row r="285" spans="1:6" x14ac:dyDescent="0.25">
      <c r="A285" t="s">
        <v>1031</v>
      </c>
      <c r="B285" t="s">
        <v>692</v>
      </c>
      <c r="E285" t="s">
        <v>97</v>
      </c>
      <c r="F285" t="s">
        <v>1028</v>
      </c>
    </row>
    <row r="286" spans="1:5" x14ac:dyDescent="0.25">
      <c r="A286" t="s">
        <v>1032</v>
      </c>
      <c r="B286" t="s">
        <v>692</v>
      </c>
      <c r="E286" t="s">
        <v>327</v>
      </c>
    </row>
    <row r="287" spans="1:5" x14ac:dyDescent="0.25">
      <c r="A287" t="s">
        <v>1032</v>
      </c>
      <c r="B287" t="s">
        <v>692</v>
      </c>
      <c r="E287" t="s">
        <v>327</v>
      </c>
    </row>
    <row r="288" spans="1:5" x14ac:dyDescent="0.25">
      <c r="A288" t="s">
        <v>1033</v>
      </c>
      <c r="B288" t="s">
        <v>692</v>
      </c>
      <c r="E288" t="s">
        <v>1034</v>
      </c>
    </row>
    <row r="289" spans="1:6" x14ac:dyDescent="0.25">
      <c r="A289" t="s">
        <v>1035</v>
      </c>
      <c r="B289" t="s">
        <v>764</v>
      </c>
      <c r="C289" t="s">
        <v>758</v>
      </c>
      <c r="D289" t="s">
        <v>979</v>
      </c>
      <c r="E289" t="s">
        <v>85</v>
      </c>
      <c r="F289" t="s">
        <v>124</v>
      </c>
    </row>
    <row r="290" spans="1:5" x14ac:dyDescent="0.25">
      <c r="A290" t="s">
        <v>1036</v>
      </c>
      <c r="B290" t="s">
        <v>692</v>
      </c>
      <c r="E290" t="s">
        <v>272</v>
      </c>
    </row>
    <row r="291" spans="1:6" x14ac:dyDescent="0.25">
      <c r="A291" t="s">
        <v>1037</v>
      </c>
      <c r="B291" t="s">
        <v>764</v>
      </c>
      <c r="C291" t="s">
        <v>758</v>
      </c>
      <c r="D291" t="s">
        <v>979</v>
      </c>
      <c r="E291" t="s">
        <v>85</v>
      </c>
      <c r="F291" t="s">
        <v>124</v>
      </c>
    </row>
    <row r="292" spans="1:5" x14ac:dyDescent="0.25">
      <c r="A292" t="s">
        <v>1038</v>
      </c>
      <c r="B292" t="s">
        <v>692</v>
      </c>
      <c r="E292" t="s">
        <v>254</v>
      </c>
    </row>
    <row r="293" spans="1:6" x14ac:dyDescent="0.25">
      <c r="A293" t="s">
        <v>1039</v>
      </c>
      <c r="B293" t="s">
        <v>764</v>
      </c>
      <c r="C293" t="s">
        <v>758</v>
      </c>
      <c r="D293" t="s">
        <v>979</v>
      </c>
      <c r="E293" t="s">
        <v>85</v>
      </c>
      <c r="F293" t="s">
        <v>124</v>
      </c>
    </row>
    <row r="294" spans="1:6" x14ac:dyDescent="0.25">
      <c r="A294" t="s">
        <v>1040</v>
      </c>
      <c r="B294" t="s">
        <v>764</v>
      </c>
      <c r="C294" t="s">
        <v>758</v>
      </c>
      <c r="D294" t="s">
        <v>979</v>
      </c>
      <c r="E294" t="s">
        <v>85</v>
      </c>
      <c r="F294" t="s">
        <v>124</v>
      </c>
    </row>
    <row r="295" spans="1:6" x14ac:dyDescent="0.25">
      <c r="A295" t="s">
        <v>1041</v>
      </c>
      <c r="B295" t="s">
        <v>764</v>
      </c>
      <c r="C295" t="s">
        <v>702</v>
      </c>
      <c r="D295" t="s">
        <v>786</v>
      </c>
      <c r="E295" t="s">
        <v>787</v>
      </c>
      <c r="F295" t="s">
        <v>788</v>
      </c>
    </row>
    <row r="296" spans="1:6" x14ac:dyDescent="0.25">
      <c r="A296" t="s">
        <v>1042</v>
      </c>
      <c r="B296" t="s">
        <v>764</v>
      </c>
      <c r="C296" t="s">
        <v>706</v>
      </c>
      <c r="D296" t="s">
        <v>1043</v>
      </c>
      <c r="E296" t="s">
        <v>1044</v>
      </c>
      <c r="F296" t="s">
        <v>1045</v>
      </c>
    </row>
    <row r="297" spans="1:6" x14ac:dyDescent="0.25">
      <c r="A297" t="s">
        <v>1046</v>
      </c>
      <c r="B297" t="s">
        <v>764</v>
      </c>
      <c r="C297" t="s">
        <v>758</v>
      </c>
      <c r="D297" t="s">
        <v>875</v>
      </c>
      <c r="E297" t="s">
        <v>173</v>
      </c>
      <c r="F297" t="s">
        <v>206</v>
      </c>
    </row>
    <row r="298" spans="1:6" x14ac:dyDescent="0.25">
      <c r="A298" t="s">
        <v>1047</v>
      </c>
      <c r="B298" t="s">
        <v>764</v>
      </c>
      <c r="C298" t="s">
        <v>758</v>
      </c>
      <c r="D298" t="s">
        <v>875</v>
      </c>
      <c r="E298" t="s">
        <v>173</v>
      </c>
      <c r="F298" t="s">
        <v>206</v>
      </c>
    </row>
    <row r="299" spans="1:6" x14ac:dyDescent="0.25">
      <c r="A299" t="s">
        <v>1048</v>
      </c>
      <c r="B299" t="s">
        <v>764</v>
      </c>
      <c r="C299" t="s">
        <v>758</v>
      </c>
      <c r="D299" t="s">
        <v>875</v>
      </c>
      <c r="E299" t="s">
        <v>173</v>
      </c>
      <c r="F299" t="s">
        <v>206</v>
      </c>
    </row>
    <row r="300" spans="1:5" x14ac:dyDescent="0.25">
      <c r="A300" t="s">
        <v>1049</v>
      </c>
      <c r="B300" t="s">
        <v>692</v>
      </c>
      <c r="E300" t="s">
        <v>173</v>
      </c>
    </row>
    <row r="301" spans="1:6" x14ac:dyDescent="0.25">
      <c r="A301" t="s">
        <v>1050</v>
      </c>
      <c r="B301" t="s">
        <v>764</v>
      </c>
      <c r="C301" t="s">
        <v>782</v>
      </c>
      <c r="D301" t="s">
        <v>783</v>
      </c>
      <c r="E301" t="s">
        <v>633</v>
      </c>
      <c r="F301" t="s">
        <v>784</v>
      </c>
    </row>
    <row r="302" spans="1:6" x14ac:dyDescent="0.25">
      <c r="A302" t="s">
        <v>1051</v>
      </c>
      <c r="B302" t="s">
        <v>692</v>
      </c>
      <c r="E302" t="s">
        <v>1052</v>
      </c>
      <c r="F302" t="s">
        <v>91</v>
      </c>
    </row>
    <row r="303" spans="1:6" x14ac:dyDescent="0.25">
      <c r="A303" t="s">
        <v>1053</v>
      </c>
      <c r="B303" t="s">
        <v>692</v>
      </c>
      <c r="E303" t="s">
        <v>90</v>
      </c>
      <c r="F303" t="s">
        <v>91</v>
      </c>
    </row>
    <row r="304" spans="1:6" x14ac:dyDescent="0.25">
      <c r="A304" t="s">
        <v>1054</v>
      </c>
      <c r="B304" t="s">
        <v>764</v>
      </c>
      <c r="C304" t="s">
        <v>782</v>
      </c>
      <c r="D304" t="s">
        <v>783</v>
      </c>
      <c r="E304" t="s">
        <v>633</v>
      </c>
      <c r="F304" t="s">
        <v>784</v>
      </c>
    </row>
    <row r="305" spans="1:6" x14ac:dyDescent="0.25">
      <c r="A305" t="s">
        <v>1055</v>
      </c>
      <c r="B305" t="s">
        <v>695</v>
      </c>
      <c r="C305" t="s">
        <v>696</v>
      </c>
      <c r="D305" t="s">
        <v>697</v>
      </c>
      <c r="E305" t="s">
        <v>698</v>
      </c>
      <c r="F305" t="s">
        <v>1056</v>
      </c>
    </row>
    <row r="306" spans="1:5" x14ac:dyDescent="0.25">
      <c r="A306" t="s">
        <v>1057</v>
      </c>
      <c r="B306" t="s">
        <v>692</v>
      </c>
      <c r="E306" t="s">
        <v>280</v>
      </c>
    </row>
    <row r="307" spans="1:6" x14ac:dyDescent="0.25">
      <c r="A307" t="s">
        <v>1058</v>
      </c>
      <c r="B307" t="s">
        <v>764</v>
      </c>
      <c r="C307" t="s">
        <v>758</v>
      </c>
      <c r="D307" t="s">
        <v>875</v>
      </c>
      <c r="E307" t="s">
        <v>173</v>
      </c>
      <c r="F307" t="s">
        <v>206</v>
      </c>
    </row>
    <row r="308" spans="1:6" x14ac:dyDescent="0.25">
      <c r="A308" t="s">
        <v>1059</v>
      </c>
      <c r="B308" t="s">
        <v>764</v>
      </c>
      <c r="C308" t="s">
        <v>782</v>
      </c>
      <c r="D308" t="s">
        <v>849</v>
      </c>
      <c r="E308" t="s">
        <v>850</v>
      </c>
      <c r="F308" t="s">
        <v>851</v>
      </c>
    </row>
    <row r="309" spans="1:6" x14ac:dyDescent="0.25">
      <c r="A309" t="s">
        <v>1060</v>
      </c>
      <c r="B309" t="s">
        <v>764</v>
      </c>
      <c r="C309" t="s">
        <v>782</v>
      </c>
      <c r="D309" t="s">
        <v>849</v>
      </c>
      <c r="E309" t="s">
        <v>850</v>
      </c>
      <c r="F309" t="s">
        <v>851</v>
      </c>
    </row>
    <row r="310" spans="1:6" x14ac:dyDescent="0.25">
      <c r="A310" t="s">
        <v>1061</v>
      </c>
      <c r="B310" t="s">
        <v>764</v>
      </c>
      <c r="C310" t="s">
        <v>782</v>
      </c>
      <c r="D310" t="s">
        <v>849</v>
      </c>
      <c r="E310" t="s">
        <v>850</v>
      </c>
      <c r="F310" t="s">
        <v>851</v>
      </c>
    </row>
    <row r="311" spans="1:6" x14ac:dyDescent="0.25">
      <c r="A311" t="s">
        <v>1062</v>
      </c>
      <c r="B311" t="s">
        <v>764</v>
      </c>
      <c r="C311" t="s">
        <v>782</v>
      </c>
      <c r="D311" t="s">
        <v>849</v>
      </c>
      <c r="E311" t="s">
        <v>850</v>
      </c>
      <c r="F311" t="s">
        <v>851</v>
      </c>
    </row>
    <row r="312" spans="1:5" x14ac:dyDescent="0.25">
      <c r="A312" t="s">
        <v>1063</v>
      </c>
      <c r="B312" t="s">
        <v>692</v>
      </c>
      <c r="E312" t="s">
        <v>805</v>
      </c>
    </row>
    <row r="313" spans="1:6" x14ac:dyDescent="0.25">
      <c r="A313" t="s">
        <v>1064</v>
      </c>
      <c r="B313" t="s">
        <v>764</v>
      </c>
      <c r="C313" t="s">
        <v>758</v>
      </c>
      <c r="D313" t="s">
        <v>875</v>
      </c>
      <c r="E313" t="s">
        <v>173</v>
      </c>
      <c r="F313" t="s">
        <v>206</v>
      </c>
    </row>
    <row r="314" spans="1:5" x14ac:dyDescent="0.25">
      <c r="A314" t="s">
        <v>1065</v>
      </c>
      <c r="B314" t="s">
        <v>692</v>
      </c>
      <c r="E314" t="s">
        <v>173</v>
      </c>
    </row>
    <row r="315" spans="1:6" x14ac:dyDescent="0.25">
      <c r="A315" t="s">
        <v>1066</v>
      </c>
      <c r="B315" t="s">
        <v>764</v>
      </c>
      <c r="C315" t="s">
        <v>758</v>
      </c>
      <c r="D315" t="s">
        <v>875</v>
      </c>
      <c r="E315" t="s">
        <v>173</v>
      </c>
      <c r="F315" t="s">
        <v>206</v>
      </c>
    </row>
    <row r="316" spans="1:6" x14ac:dyDescent="0.25">
      <c r="A316" t="s">
        <v>1067</v>
      </c>
      <c r="B316" t="s">
        <v>764</v>
      </c>
      <c r="C316" t="s">
        <v>758</v>
      </c>
      <c r="D316" t="s">
        <v>875</v>
      </c>
      <c r="E316" t="s">
        <v>173</v>
      </c>
      <c r="F316" t="s">
        <v>206</v>
      </c>
    </row>
    <row r="317" spans="1:6" x14ac:dyDescent="0.25">
      <c r="A317" t="s">
        <v>1068</v>
      </c>
      <c r="B317" t="s">
        <v>764</v>
      </c>
      <c r="C317" t="s">
        <v>758</v>
      </c>
      <c r="D317" t="s">
        <v>875</v>
      </c>
      <c r="E317" t="s">
        <v>173</v>
      </c>
      <c r="F317" t="s">
        <v>206</v>
      </c>
    </row>
    <row r="318" spans="1:5" x14ac:dyDescent="0.25">
      <c r="A318" t="s">
        <v>1069</v>
      </c>
      <c r="B318" t="s">
        <v>692</v>
      </c>
      <c r="E318" t="s">
        <v>327</v>
      </c>
    </row>
    <row r="319" spans="1:5" x14ac:dyDescent="0.25">
      <c r="A319" t="s">
        <v>1070</v>
      </c>
      <c r="B319" t="s">
        <v>692</v>
      </c>
      <c r="E319" t="s">
        <v>327</v>
      </c>
    </row>
    <row r="320" spans="1:6" x14ac:dyDescent="0.25">
      <c r="A320" t="s">
        <v>1071</v>
      </c>
      <c r="B320" t="s">
        <v>764</v>
      </c>
      <c r="C320" t="s">
        <v>758</v>
      </c>
      <c r="D320" t="s">
        <v>765</v>
      </c>
      <c r="E320" t="s">
        <v>337</v>
      </c>
      <c r="F320" t="s">
        <v>337</v>
      </c>
    </row>
    <row r="321" spans="1:6" x14ac:dyDescent="0.25">
      <c r="A321" t="s">
        <v>1072</v>
      </c>
      <c r="B321" t="s">
        <v>701</v>
      </c>
      <c r="C321" t="s">
        <v>746</v>
      </c>
      <c r="D321" t="s">
        <v>747</v>
      </c>
      <c r="E321" t="s">
        <v>748</v>
      </c>
      <c r="F321" t="s">
        <v>748</v>
      </c>
    </row>
    <row r="322" spans="1:6" x14ac:dyDescent="0.25">
      <c r="A322" t="s">
        <v>1073</v>
      </c>
      <c r="B322" t="s">
        <v>764</v>
      </c>
      <c r="C322" t="s">
        <v>702</v>
      </c>
      <c r="D322" t="s">
        <v>761</v>
      </c>
      <c r="E322" t="s">
        <v>327</v>
      </c>
      <c r="F322" t="s">
        <v>924</v>
      </c>
    </row>
    <row r="323" spans="1:6" x14ac:dyDescent="0.25">
      <c r="A323" t="s">
        <v>1074</v>
      </c>
      <c r="B323" t="s">
        <v>701</v>
      </c>
      <c r="C323" t="s">
        <v>702</v>
      </c>
      <c r="D323" t="s">
        <v>761</v>
      </c>
      <c r="E323" t="s">
        <v>389</v>
      </c>
      <c r="F323" t="s">
        <v>762</v>
      </c>
    </row>
    <row r="324" spans="1:6" x14ac:dyDescent="0.25">
      <c r="A324" t="s">
        <v>1075</v>
      </c>
      <c r="B324" t="s">
        <v>764</v>
      </c>
      <c r="C324" t="s">
        <v>702</v>
      </c>
      <c r="D324" t="s">
        <v>761</v>
      </c>
      <c r="E324" t="s">
        <v>327</v>
      </c>
      <c r="F324" t="s">
        <v>924</v>
      </c>
    </row>
    <row r="325" spans="1:5" x14ac:dyDescent="0.25">
      <c r="A325" t="s">
        <v>1076</v>
      </c>
      <c r="B325" t="s">
        <v>692</v>
      </c>
      <c r="E325" t="s">
        <v>394</v>
      </c>
    </row>
    <row r="326" spans="1:5" x14ac:dyDescent="0.25">
      <c r="A326" t="s">
        <v>1077</v>
      </c>
      <c r="B326" t="s">
        <v>692</v>
      </c>
      <c r="E326" t="s">
        <v>1034</v>
      </c>
    </row>
    <row r="327" spans="1:5" x14ac:dyDescent="0.25">
      <c r="A327" t="s">
        <v>1078</v>
      </c>
      <c r="B327" t="s">
        <v>692</v>
      </c>
      <c r="E327" t="s">
        <v>867</v>
      </c>
    </row>
    <row r="328" spans="1:6" x14ac:dyDescent="0.25">
      <c r="A328" t="s">
        <v>1079</v>
      </c>
      <c r="B328" t="s">
        <v>764</v>
      </c>
      <c r="C328" t="s">
        <v>758</v>
      </c>
      <c r="D328" t="s">
        <v>875</v>
      </c>
      <c r="E328" t="s">
        <v>173</v>
      </c>
      <c r="F328" t="s">
        <v>206</v>
      </c>
    </row>
    <row r="329" spans="1:6" x14ac:dyDescent="0.25">
      <c r="A329" t="s">
        <v>215</v>
      </c>
      <c r="B329" t="s">
        <v>764</v>
      </c>
      <c r="C329" t="s">
        <v>758</v>
      </c>
      <c r="D329" t="s">
        <v>875</v>
      </c>
      <c r="E329" t="s">
        <v>173</v>
      </c>
      <c r="F329" t="s">
        <v>206</v>
      </c>
    </row>
    <row r="330" spans="1:6" x14ac:dyDescent="0.25">
      <c r="A330" t="s">
        <v>1080</v>
      </c>
      <c r="B330" t="s">
        <v>764</v>
      </c>
      <c r="C330" t="s">
        <v>758</v>
      </c>
      <c r="D330" t="s">
        <v>875</v>
      </c>
      <c r="E330" t="s">
        <v>173</v>
      </c>
      <c r="F330" t="s">
        <v>206</v>
      </c>
    </row>
    <row r="331" spans="1:6" x14ac:dyDescent="0.25">
      <c r="A331" t="s">
        <v>1081</v>
      </c>
      <c r="B331" t="s">
        <v>764</v>
      </c>
      <c r="C331" t="s">
        <v>758</v>
      </c>
      <c r="D331" t="s">
        <v>875</v>
      </c>
      <c r="E331" t="s">
        <v>173</v>
      </c>
      <c r="F331" t="s">
        <v>206</v>
      </c>
    </row>
    <row r="332" spans="1:6" x14ac:dyDescent="0.25">
      <c r="A332" t="s">
        <v>1082</v>
      </c>
      <c r="B332" t="s">
        <v>764</v>
      </c>
      <c r="C332" t="s">
        <v>758</v>
      </c>
      <c r="D332" t="s">
        <v>875</v>
      </c>
      <c r="E332" t="s">
        <v>173</v>
      </c>
      <c r="F332" t="s">
        <v>206</v>
      </c>
    </row>
    <row r="333" spans="1:6" x14ac:dyDescent="0.25">
      <c r="A333" t="s">
        <v>1083</v>
      </c>
      <c r="B333" t="s">
        <v>764</v>
      </c>
      <c r="C333" t="s">
        <v>758</v>
      </c>
      <c r="D333" t="s">
        <v>875</v>
      </c>
      <c r="E333" t="s">
        <v>173</v>
      </c>
      <c r="F333" t="s">
        <v>206</v>
      </c>
    </row>
    <row r="334" spans="1:6" x14ac:dyDescent="0.25">
      <c r="A334" t="s">
        <v>1084</v>
      </c>
      <c r="B334" t="s">
        <v>764</v>
      </c>
      <c r="C334" t="s">
        <v>758</v>
      </c>
      <c r="D334" t="s">
        <v>875</v>
      </c>
      <c r="E334" t="s">
        <v>173</v>
      </c>
      <c r="F334" t="s">
        <v>206</v>
      </c>
    </row>
    <row r="335" spans="1:5" x14ac:dyDescent="0.25">
      <c r="A335" t="s">
        <v>1085</v>
      </c>
      <c r="B335" t="s">
        <v>692</v>
      </c>
      <c r="E335" t="s">
        <v>103</v>
      </c>
    </row>
    <row r="336" spans="1:5" x14ac:dyDescent="0.25">
      <c r="A336" t="s">
        <v>1086</v>
      </c>
      <c r="B336" t="s">
        <v>692</v>
      </c>
      <c r="E336" t="s">
        <v>103</v>
      </c>
    </row>
    <row r="337" spans="1:5" x14ac:dyDescent="0.25">
      <c r="A337" t="s">
        <v>1087</v>
      </c>
      <c r="B337" t="s">
        <v>692</v>
      </c>
      <c r="E337" t="s">
        <v>327</v>
      </c>
    </row>
    <row r="338" spans="1:5" x14ac:dyDescent="0.25">
      <c r="A338" t="s">
        <v>1088</v>
      </c>
      <c r="B338" t="s">
        <v>692</v>
      </c>
      <c r="E338" t="s">
        <v>327</v>
      </c>
    </row>
    <row r="339" spans="1:5" x14ac:dyDescent="0.25">
      <c r="A339" t="s">
        <v>1088</v>
      </c>
      <c r="B339" t="s">
        <v>692</v>
      </c>
      <c r="E339" t="s">
        <v>327</v>
      </c>
    </row>
    <row r="340" spans="1:5" x14ac:dyDescent="0.25">
      <c r="A340" t="s">
        <v>1089</v>
      </c>
      <c r="B340" t="s">
        <v>692</v>
      </c>
      <c r="E340" t="s">
        <v>1090</v>
      </c>
    </row>
    <row r="341" spans="1:6" x14ac:dyDescent="0.25">
      <c r="A341" t="s">
        <v>1091</v>
      </c>
      <c r="B341" t="s">
        <v>695</v>
      </c>
      <c r="C341" t="s">
        <v>696</v>
      </c>
      <c r="D341" t="s">
        <v>697</v>
      </c>
      <c r="E341" t="s">
        <v>1092</v>
      </c>
      <c r="F341" t="s">
        <v>1093</v>
      </c>
    </row>
    <row r="342" spans="1:6" x14ac:dyDescent="0.25">
      <c r="A342" t="s">
        <v>1094</v>
      </c>
      <c r="B342" t="s">
        <v>764</v>
      </c>
      <c r="C342" t="s">
        <v>758</v>
      </c>
      <c r="D342" t="s">
        <v>765</v>
      </c>
      <c r="E342" t="s">
        <v>337</v>
      </c>
      <c r="F342" t="s">
        <v>337</v>
      </c>
    </row>
    <row r="343" spans="1:6" x14ac:dyDescent="0.25">
      <c r="A343" t="s">
        <v>1095</v>
      </c>
      <c r="B343" t="s">
        <v>764</v>
      </c>
      <c r="C343" t="s">
        <v>758</v>
      </c>
      <c r="D343" t="s">
        <v>765</v>
      </c>
      <c r="E343" t="s">
        <v>337</v>
      </c>
      <c r="F343" t="s">
        <v>337</v>
      </c>
    </row>
    <row r="344" spans="1:6" x14ac:dyDescent="0.25">
      <c r="A344" t="s">
        <v>1096</v>
      </c>
      <c r="B344" t="s">
        <v>764</v>
      </c>
      <c r="C344" t="s">
        <v>758</v>
      </c>
      <c r="D344" t="s">
        <v>765</v>
      </c>
      <c r="E344" t="s">
        <v>337</v>
      </c>
      <c r="F344" t="s">
        <v>337</v>
      </c>
    </row>
    <row r="345" spans="1:6" x14ac:dyDescent="0.25">
      <c r="A345" t="s">
        <v>1097</v>
      </c>
      <c r="B345" t="s">
        <v>764</v>
      </c>
      <c r="C345" t="s">
        <v>758</v>
      </c>
      <c r="D345" t="s">
        <v>765</v>
      </c>
      <c r="E345" t="s">
        <v>337</v>
      </c>
      <c r="F345" t="s">
        <v>337</v>
      </c>
    </row>
    <row r="346" spans="1:6" x14ac:dyDescent="0.25">
      <c r="A346" t="s">
        <v>1098</v>
      </c>
      <c r="B346" t="s">
        <v>764</v>
      </c>
      <c r="C346" t="s">
        <v>782</v>
      </c>
      <c r="D346" t="s">
        <v>849</v>
      </c>
      <c r="E346" t="s">
        <v>850</v>
      </c>
      <c r="F346" t="s">
        <v>851</v>
      </c>
    </row>
    <row r="347" spans="1:6" x14ac:dyDescent="0.25">
      <c r="A347" t="s">
        <v>1099</v>
      </c>
      <c r="B347" t="s">
        <v>764</v>
      </c>
      <c r="C347" t="s">
        <v>758</v>
      </c>
      <c r="D347" t="s">
        <v>979</v>
      </c>
      <c r="E347" t="s">
        <v>85</v>
      </c>
      <c r="F347" t="s">
        <v>124</v>
      </c>
    </row>
    <row r="348" spans="1:6" x14ac:dyDescent="0.25">
      <c r="A348" t="s">
        <v>1100</v>
      </c>
      <c r="B348" t="s">
        <v>764</v>
      </c>
      <c r="C348" t="s">
        <v>758</v>
      </c>
      <c r="D348" t="s">
        <v>979</v>
      </c>
      <c r="E348" t="s">
        <v>85</v>
      </c>
      <c r="F348" t="s">
        <v>124</v>
      </c>
    </row>
    <row r="349" spans="1:5" x14ac:dyDescent="0.25">
      <c r="A349" t="s">
        <v>1101</v>
      </c>
      <c r="B349" t="s">
        <v>692</v>
      </c>
      <c r="E349" t="s">
        <v>327</v>
      </c>
    </row>
    <row r="350" spans="1:6" x14ac:dyDescent="0.25">
      <c r="A350" t="s">
        <v>1102</v>
      </c>
      <c r="B350" t="s">
        <v>701</v>
      </c>
      <c r="C350" t="s">
        <v>702</v>
      </c>
      <c r="D350" t="s">
        <v>761</v>
      </c>
      <c r="E350" t="s">
        <v>389</v>
      </c>
      <c r="F350" t="s">
        <v>762</v>
      </c>
    </row>
    <row r="351" spans="1:6" x14ac:dyDescent="0.25">
      <c r="A351" t="s">
        <v>1103</v>
      </c>
      <c r="B351" t="s">
        <v>764</v>
      </c>
      <c r="C351" t="s">
        <v>702</v>
      </c>
      <c r="D351" t="s">
        <v>134</v>
      </c>
      <c r="E351" t="s">
        <v>135</v>
      </c>
      <c r="F351" t="s">
        <v>134</v>
      </c>
    </row>
    <row r="352" spans="1:6" x14ac:dyDescent="0.25">
      <c r="A352" t="s">
        <v>1104</v>
      </c>
      <c r="B352" t="s">
        <v>764</v>
      </c>
      <c r="C352" t="s">
        <v>702</v>
      </c>
      <c r="D352" t="s">
        <v>134</v>
      </c>
      <c r="E352" t="s">
        <v>135</v>
      </c>
      <c r="F352" t="s">
        <v>134</v>
      </c>
    </row>
    <row r="353" spans="1:6" x14ac:dyDescent="0.25">
      <c r="A353" t="s">
        <v>1105</v>
      </c>
      <c r="B353" t="s">
        <v>764</v>
      </c>
      <c r="C353" t="s">
        <v>702</v>
      </c>
      <c r="D353" t="s">
        <v>134</v>
      </c>
      <c r="E353" t="s">
        <v>135</v>
      </c>
      <c r="F353" t="s">
        <v>134</v>
      </c>
    </row>
    <row r="354" spans="1:6" x14ac:dyDescent="0.25">
      <c r="A354" t="s">
        <v>1106</v>
      </c>
      <c r="B354" t="s">
        <v>764</v>
      </c>
      <c r="C354" t="s">
        <v>702</v>
      </c>
      <c r="D354" t="s">
        <v>134</v>
      </c>
      <c r="E354" t="s">
        <v>135</v>
      </c>
      <c r="F354" t="s">
        <v>134</v>
      </c>
    </row>
    <row r="355" spans="1:6" x14ac:dyDescent="0.25">
      <c r="A355" t="s">
        <v>1107</v>
      </c>
      <c r="B355" t="s">
        <v>764</v>
      </c>
      <c r="C355" t="s">
        <v>702</v>
      </c>
      <c r="D355" t="s">
        <v>134</v>
      </c>
      <c r="E355" t="s">
        <v>135</v>
      </c>
      <c r="F355" t="s">
        <v>134</v>
      </c>
    </row>
    <row r="356" spans="1:6" x14ac:dyDescent="0.25">
      <c r="A356" t="s">
        <v>1108</v>
      </c>
      <c r="B356" t="s">
        <v>764</v>
      </c>
      <c r="C356" t="s">
        <v>702</v>
      </c>
      <c r="D356" t="s">
        <v>761</v>
      </c>
      <c r="E356" t="s">
        <v>327</v>
      </c>
      <c r="F356" t="s">
        <v>924</v>
      </c>
    </row>
    <row r="357" spans="1:6" x14ac:dyDescent="0.25">
      <c r="A357" t="s">
        <v>1109</v>
      </c>
      <c r="B357" t="s">
        <v>701</v>
      </c>
      <c r="C357" t="s">
        <v>702</v>
      </c>
      <c r="D357" t="s">
        <v>134</v>
      </c>
      <c r="E357" t="s">
        <v>135</v>
      </c>
      <c r="F357" t="s">
        <v>916</v>
      </c>
    </row>
    <row r="358" spans="1:6" x14ac:dyDescent="0.25">
      <c r="A358" t="s">
        <v>1110</v>
      </c>
      <c r="B358" t="s">
        <v>701</v>
      </c>
      <c r="C358" t="s">
        <v>702</v>
      </c>
      <c r="D358" t="s">
        <v>750</v>
      </c>
      <c r="E358" t="s">
        <v>1111</v>
      </c>
      <c r="F358" t="s">
        <v>1112</v>
      </c>
    </row>
    <row r="359" spans="1:6" x14ac:dyDescent="0.25">
      <c r="A359" t="s">
        <v>1113</v>
      </c>
      <c r="B359" t="s">
        <v>701</v>
      </c>
      <c r="C359" t="s">
        <v>702</v>
      </c>
      <c r="D359" t="s">
        <v>134</v>
      </c>
      <c r="E359" t="s">
        <v>135</v>
      </c>
      <c r="F359" t="s">
        <v>916</v>
      </c>
    </row>
    <row r="360" spans="1:6" x14ac:dyDescent="0.25">
      <c r="A360" t="s">
        <v>1114</v>
      </c>
      <c r="B360" t="s">
        <v>701</v>
      </c>
      <c r="C360" t="s">
        <v>702</v>
      </c>
      <c r="D360" t="s">
        <v>134</v>
      </c>
      <c r="E360" t="s">
        <v>135</v>
      </c>
      <c r="F360" t="s">
        <v>916</v>
      </c>
    </row>
    <row r="361" spans="1:6" x14ac:dyDescent="0.25">
      <c r="A361" t="s">
        <v>1115</v>
      </c>
      <c r="B361" t="s">
        <v>764</v>
      </c>
      <c r="C361" t="s">
        <v>702</v>
      </c>
      <c r="D361" t="s">
        <v>134</v>
      </c>
      <c r="E361" t="s">
        <v>135</v>
      </c>
      <c r="F361" t="s">
        <v>134</v>
      </c>
    </row>
    <row r="362" spans="1:6" x14ac:dyDescent="0.25">
      <c r="A362" t="s">
        <v>1115</v>
      </c>
      <c r="B362" t="s">
        <v>701</v>
      </c>
      <c r="C362" t="s">
        <v>702</v>
      </c>
      <c r="D362" t="s">
        <v>134</v>
      </c>
      <c r="E362" t="s">
        <v>135</v>
      </c>
      <c r="F362" t="s">
        <v>916</v>
      </c>
    </row>
    <row r="363" spans="1:6" x14ac:dyDescent="0.25">
      <c r="A363" t="s">
        <v>1116</v>
      </c>
      <c r="B363" t="s">
        <v>764</v>
      </c>
      <c r="C363" t="s">
        <v>702</v>
      </c>
      <c r="D363" t="s">
        <v>134</v>
      </c>
      <c r="E363" t="s">
        <v>135</v>
      </c>
      <c r="F363" t="s">
        <v>134</v>
      </c>
    </row>
    <row r="364" spans="1:6" x14ac:dyDescent="0.25">
      <c r="A364" t="s">
        <v>1117</v>
      </c>
      <c r="B364" t="s">
        <v>764</v>
      </c>
      <c r="C364" t="s">
        <v>702</v>
      </c>
      <c r="D364" t="s">
        <v>134</v>
      </c>
      <c r="E364" t="s">
        <v>135</v>
      </c>
      <c r="F364" t="s">
        <v>134</v>
      </c>
    </row>
    <row r="365" spans="1:6" x14ac:dyDescent="0.25">
      <c r="A365" t="s">
        <v>1117</v>
      </c>
      <c r="B365" t="s">
        <v>701</v>
      </c>
      <c r="C365" t="s">
        <v>702</v>
      </c>
      <c r="D365" t="s">
        <v>134</v>
      </c>
      <c r="E365" t="s">
        <v>135</v>
      </c>
      <c r="F365" t="s">
        <v>916</v>
      </c>
    </row>
    <row r="366" spans="1:6" x14ac:dyDescent="0.25">
      <c r="A366" t="s">
        <v>1118</v>
      </c>
      <c r="B366" t="s">
        <v>764</v>
      </c>
      <c r="C366" t="s">
        <v>758</v>
      </c>
      <c r="D366" t="s">
        <v>765</v>
      </c>
      <c r="E366" t="s">
        <v>337</v>
      </c>
      <c r="F366" t="s">
        <v>337</v>
      </c>
    </row>
    <row r="367" spans="1:6" x14ac:dyDescent="0.25">
      <c r="A367" t="s">
        <v>1119</v>
      </c>
      <c r="B367" t="s">
        <v>764</v>
      </c>
      <c r="C367" t="s">
        <v>702</v>
      </c>
      <c r="D367" t="s">
        <v>761</v>
      </c>
      <c r="E367" t="s">
        <v>327</v>
      </c>
      <c r="F367" t="s">
        <v>924</v>
      </c>
    </row>
    <row r="368" spans="1:6" x14ac:dyDescent="0.25">
      <c r="A368" t="s">
        <v>1120</v>
      </c>
      <c r="B368" t="s">
        <v>764</v>
      </c>
      <c r="C368" t="s">
        <v>702</v>
      </c>
      <c r="D368" t="s">
        <v>134</v>
      </c>
      <c r="E368" t="s">
        <v>135</v>
      </c>
      <c r="F368" t="s">
        <v>134</v>
      </c>
    </row>
    <row r="369" spans="1:6" x14ac:dyDescent="0.25">
      <c r="A369" t="s">
        <v>1121</v>
      </c>
      <c r="B369" t="s">
        <v>692</v>
      </c>
      <c r="E369" t="s">
        <v>327</v>
      </c>
      <c r="F369" t="s">
        <v>91</v>
      </c>
    </row>
    <row r="370" spans="1:6" x14ac:dyDescent="0.25">
      <c r="A370" t="s">
        <v>1122</v>
      </c>
      <c r="B370" t="s">
        <v>695</v>
      </c>
      <c r="C370" t="s">
        <v>706</v>
      </c>
      <c r="D370" t="s">
        <v>1123</v>
      </c>
      <c r="E370" t="s">
        <v>814</v>
      </c>
      <c r="F370" t="s">
        <v>1124</v>
      </c>
    </row>
    <row r="371" spans="1:5" x14ac:dyDescent="0.25">
      <c r="A371" t="s">
        <v>1125</v>
      </c>
      <c r="B371" t="s">
        <v>692</v>
      </c>
      <c r="E371" t="s">
        <v>1126</v>
      </c>
    </row>
    <row r="372" spans="1:5" x14ac:dyDescent="0.25">
      <c r="A372" t="s">
        <v>1127</v>
      </c>
      <c r="B372" t="s">
        <v>692</v>
      </c>
      <c r="E372" t="s">
        <v>598</v>
      </c>
    </row>
    <row r="373" spans="1:6" x14ac:dyDescent="0.25">
      <c r="A373" t="s">
        <v>1128</v>
      </c>
      <c r="B373" t="s">
        <v>701</v>
      </c>
      <c r="C373" t="s">
        <v>790</v>
      </c>
      <c r="D373" t="s">
        <v>791</v>
      </c>
      <c r="E373" t="s">
        <v>598</v>
      </c>
      <c r="F373" t="s">
        <v>793</v>
      </c>
    </row>
    <row r="374" spans="1:6" x14ac:dyDescent="0.25">
      <c r="A374" t="s">
        <v>1129</v>
      </c>
      <c r="B374" t="s">
        <v>764</v>
      </c>
      <c r="C374" t="s">
        <v>702</v>
      </c>
      <c r="D374" t="s">
        <v>786</v>
      </c>
      <c r="E374" t="s">
        <v>787</v>
      </c>
      <c r="F374" t="s">
        <v>788</v>
      </c>
    </row>
    <row r="375" spans="1:6" x14ac:dyDescent="0.25">
      <c r="A375" t="s">
        <v>1130</v>
      </c>
      <c r="B375" t="s">
        <v>764</v>
      </c>
      <c r="C375" t="s">
        <v>702</v>
      </c>
      <c r="D375" t="s">
        <v>761</v>
      </c>
      <c r="E375" t="s">
        <v>327</v>
      </c>
      <c r="F375" t="s">
        <v>924</v>
      </c>
    </row>
    <row r="376" spans="1:6" x14ac:dyDescent="0.25">
      <c r="A376" t="s">
        <v>1131</v>
      </c>
      <c r="B376" t="s">
        <v>764</v>
      </c>
      <c r="C376" t="s">
        <v>702</v>
      </c>
      <c r="D376" t="s">
        <v>761</v>
      </c>
      <c r="E376" t="s">
        <v>327</v>
      </c>
      <c r="F376" t="s">
        <v>924</v>
      </c>
    </row>
    <row r="377" spans="1:6" x14ac:dyDescent="0.25">
      <c r="A377" t="s">
        <v>1132</v>
      </c>
      <c r="B377" t="s">
        <v>764</v>
      </c>
      <c r="C377" t="s">
        <v>758</v>
      </c>
      <c r="D377" t="s">
        <v>979</v>
      </c>
      <c r="E377" t="s">
        <v>85</v>
      </c>
      <c r="F377" t="s">
        <v>124</v>
      </c>
    </row>
    <row r="378" spans="1:5" x14ac:dyDescent="0.25">
      <c r="A378" t="s">
        <v>1133</v>
      </c>
      <c r="B378" t="s">
        <v>692</v>
      </c>
      <c r="E378" t="s">
        <v>254</v>
      </c>
    </row>
    <row r="379" spans="1:5" x14ac:dyDescent="0.25">
      <c r="A379" t="s">
        <v>1134</v>
      </c>
      <c r="B379" t="s">
        <v>692</v>
      </c>
      <c r="E379" t="s">
        <v>254</v>
      </c>
    </row>
    <row r="380" spans="1:5" x14ac:dyDescent="0.25">
      <c r="A380" t="s">
        <v>1135</v>
      </c>
      <c r="B380" t="s">
        <v>692</v>
      </c>
      <c r="E380" t="s">
        <v>254</v>
      </c>
    </row>
    <row r="381" spans="1:6" x14ac:dyDescent="0.25">
      <c r="A381" t="s">
        <v>1136</v>
      </c>
      <c r="B381" t="s">
        <v>701</v>
      </c>
      <c r="C381" t="s">
        <v>702</v>
      </c>
      <c r="D381" t="s">
        <v>750</v>
      </c>
      <c r="E381" t="s">
        <v>1111</v>
      </c>
      <c r="F381" t="s">
        <v>1112</v>
      </c>
    </row>
    <row r="382" spans="1:6" x14ac:dyDescent="0.25">
      <c r="A382" t="s">
        <v>1137</v>
      </c>
      <c r="B382" t="s">
        <v>705</v>
      </c>
      <c r="C382" t="s">
        <v>1138</v>
      </c>
      <c r="D382" t="s">
        <v>1139</v>
      </c>
      <c r="E382" t="s">
        <v>1002</v>
      </c>
      <c r="F382" t="s">
        <v>1140</v>
      </c>
    </row>
    <row r="383" spans="1:6" x14ac:dyDescent="0.25">
      <c r="A383" t="s">
        <v>1141</v>
      </c>
      <c r="B383" t="s">
        <v>705</v>
      </c>
      <c r="C383" t="s">
        <v>1138</v>
      </c>
      <c r="D383" t="s">
        <v>1139</v>
      </c>
      <c r="E383" t="s">
        <v>1002</v>
      </c>
      <c r="F383" t="s">
        <v>1140</v>
      </c>
    </row>
    <row r="384" spans="1:6" x14ac:dyDescent="0.25">
      <c r="A384" t="s">
        <v>1142</v>
      </c>
      <c r="B384" t="s">
        <v>692</v>
      </c>
      <c r="E384" t="s">
        <v>353</v>
      </c>
      <c r="F384" t="s">
        <v>73</v>
      </c>
    </row>
    <row r="385" spans="1:6" x14ac:dyDescent="0.25">
      <c r="A385" t="s">
        <v>1143</v>
      </c>
      <c r="B385" t="s">
        <v>692</v>
      </c>
      <c r="E385" t="s">
        <v>313</v>
      </c>
      <c r="F385" t="s">
        <v>120</v>
      </c>
    </row>
    <row r="386" spans="1:6" x14ac:dyDescent="0.25">
      <c r="A386" t="s">
        <v>1144</v>
      </c>
      <c r="B386" t="s">
        <v>701</v>
      </c>
      <c r="C386" t="s">
        <v>702</v>
      </c>
      <c r="D386" t="s">
        <v>134</v>
      </c>
      <c r="E386" t="s">
        <v>135</v>
      </c>
      <c r="F386" t="s">
        <v>916</v>
      </c>
    </row>
    <row r="387" spans="1:5" x14ac:dyDescent="0.25">
      <c r="A387" t="s">
        <v>1145</v>
      </c>
      <c r="B387" t="s">
        <v>692</v>
      </c>
      <c r="E387" t="s">
        <v>135</v>
      </c>
    </row>
    <row r="388" spans="1:6" x14ac:dyDescent="0.25">
      <c r="A388" t="s">
        <v>1146</v>
      </c>
      <c r="B388" t="s">
        <v>695</v>
      </c>
      <c r="C388" t="s">
        <v>696</v>
      </c>
      <c r="D388" t="s">
        <v>697</v>
      </c>
      <c r="E388" t="s">
        <v>1092</v>
      </c>
      <c r="F388" t="s">
        <v>1147</v>
      </c>
    </row>
    <row r="389" spans="1:6" x14ac:dyDescent="0.25">
      <c r="A389" t="s">
        <v>1148</v>
      </c>
      <c r="B389" t="s">
        <v>695</v>
      </c>
      <c r="C389" t="s">
        <v>696</v>
      </c>
      <c r="D389" t="s">
        <v>697</v>
      </c>
      <c r="E389" t="s">
        <v>1092</v>
      </c>
      <c r="F389" t="s">
        <v>1149</v>
      </c>
    </row>
    <row r="390" spans="1:6" x14ac:dyDescent="0.25">
      <c r="A390" t="s">
        <v>1150</v>
      </c>
      <c r="B390" t="s">
        <v>695</v>
      </c>
      <c r="C390" t="s">
        <v>790</v>
      </c>
      <c r="D390" t="s">
        <v>791</v>
      </c>
      <c r="E390" t="s">
        <v>598</v>
      </c>
      <c r="F390" t="s">
        <v>1151</v>
      </c>
    </row>
    <row r="391" spans="1:6" x14ac:dyDescent="0.25">
      <c r="A391" t="s">
        <v>1152</v>
      </c>
      <c r="B391" t="s">
        <v>695</v>
      </c>
      <c r="C391" t="s">
        <v>696</v>
      </c>
      <c r="D391" t="s">
        <v>697</v>
      </c>
      <c r="E391" t="s">
        <v>1092</v>
      </c>
      <c r="F391" t="s">
        <v>1153</v>
      </c>
    </row>
    <row r="392" spans="1:6" x14ac:dyDescent="0.25">
      <c r="A392" t="s">
        <v>1154</v>
      </c>
      <c r="B392" t="s">
        <v>764</v>
      </c>
      <c r="C392" t="s">
        <v>702</v>
      </c>
      <c r="D392" t="s">
        <v>962</v>
      </c>
      <c r="E392" t="s">
        <v>103</v>
      </c>
      <c r="F392" t="s">
        <v>103</v>
      </c>
    </row>
    <row r="393" spans="1:5" x14ac:dyDescent="0.25">
      <c r="A393" t="s">
        <v>1155</v>
      </c>
      <c r="B393" t="s">
        <v>692</v>
      </c>
      <c r="E393" t="s">
        <v>1016</v>
      </c>
    </row>
    <row r="394" spans="1:5" x14ac:dyDescent="0.25">
      <c r="A394" t="s">
        <v>1156</v>
      </c>
      <c r="B394" t="s">
        <v>692</v>
      </c>
      <c r="E394" t="s">
        <v>327</v>
      </c>
    </row>
    <row r="395" spans="1:6" x14ac:dyDescent="0.25">
      <c r="A395" t="s">
        <v>1157</v>
      </c>
      <c r="B395" t="s">
        <v>692</v>
      </c>
      <c r="E395" t="s">
        <v>246</v>
      </c>
      <c r="F395" t="s">
        <v>189</v>
      </c>
    </row>
    <row r="396" spans="1:6" x14ac:dyDescent="0.25">
      <c r="A396" t="s">
        <v>1158</v>
      </c>
      <c r="B396" t="s">
        <v>701</v>
      </c>
      <c r="C396" t="s">
        <v>702</v>
      </c>
      <c r="D396" t="s">
        <v>750</v>
      </c>
      <c r="E396" t="s">
        <v>1111</v>
      </c>
      <c r="F396" t="s">
        <v>1112</v>
      </c>
    </row>
    <row r="397" spans="1:6" x14ac:dyDescent="0.25">
      <c r="A397" t="s">
        <v>1159</v>
      </c>
      <c r="B397" t="s">
        <v>701</v>
      </c>
      <c r="C397" t="s">
        <v>702</v>
      </c>
      <c r="D397" t="s">
        <v>750</v>
      </c>
      <c r="E397" t="s">
        <v>1111</v>
      </c>
      <c r="F397" t="s">
        <v>1112</v>
      </c>
    </row>
    <row r="398" spans="1:6" x14ac:dyDescent="0.25">
      <c r="A398" t="s">
        <v>1160</v>
      </c>
      <c r="B398" t="s">
        <v>764</v>
      </c>
      <c r="C398" t="s">
        <v>782</v>
      </c>
      <c r="D398" t="s">
        <v>849</v>
      </c>
      <c r="E398" t="s">
        <v>850</v>
      </c>
      <c r="F398" t="s">
        <v>851</v>
      </c>
    </row>
    <row r="399" spans="1:6" x14ac:dyDescent="0.25">
      <c r="A399" t="s">
        <v>1161</v>
      </c>
      <c r="B399" t="s">
        <v>695</v>
      </c>
      <c r="C399" t="s">
        <v>696</v>
      </c>
      <c r="D399" t="s">
        <v>697</v>
      </c>
      <c r="E399" t="s">
        <v>1092</v>
      </c>
      <c r="F399" t="s">
        <v>1162</v>
      </c>
    </row>
    <row r="400" spans="1:6" x14ac:dyDescent="0.25">
      <c r="A400" t="s">
        <v>1163</v>
      </c>
      <c r="B400" t="s">
        <v>695</v>
      </c>
      <c r="C400" t="s">
        <v>696</v>
      </c>
      <c r="D400" t="s">
        <v>697</v>
      </c>
      <c r="E400" t="s">
        <v>1092</v>
      </c>
      <c r="F400" t="s">
        <v>1164</v>
      </c>
    </row>
    <row r="401" spans="1:6" x14ac:dyDescent="0.25">
      <c r="A401" t="s">
        <v>1165</v>
      </c>
      <c r="B401" t="s">
        <v>692</v>
      </c>
      <c r="E401" t="s">
        <v>1002</v>
      </c>
      <c r="F401" t="s">
        <v>183</v>
      </c>
    </row>
    <row r="402" spans="1:6" x14ac:dyDescent="0.25">
      <c r="A402" t="s">
        <v>1166</v>
      </c>
      <c r="B402" t="s">
        <v>695</v>
      </c>
      <c r="C402" t="s">
        <v>696</v>
      </c>
      <c r="D402" t="s">
        <v>697</v>
      </c>
      <c r="E402" t="s">
        <v>698</v>
      </c>
      <c r="F402" t="s">
        <v>1167</v>
      </c>
    </row>
    <row r="403" spans="1:5" x14ac:dyDescent="0.25">
      <c r="A403" t="s">
        <v>1168</v>
      </c>
      <c r="B403" t="s">
        <v>692</v>
      </c>
      <c r="E403" t="s">
        <v>327</v>
      </c>
    </row>
    <row r="404" spans="1:5" x14ac:dyDescent="0.25">
      <c r="A404" t="s">
        <v>1169</v>
      </c>
      <c r="B404" t="s">
        <v>692</v>
      </c>
      <c r="E404" t="s">
        <v>1170</v>
      </c>
    </row>
    <row r="405" spans="1:5" x14ac:dyDescent="0.25">
      <c r="A405" t="s">
        <v>1171</v>
      </c>
      <c r="B405" t="s">
        <v>692</v>
      </c>
      <c r="E405" t="s">
        <v>867</v>
      </c>
    </row>
    <row r="406" spans="1:6" x14ac:dyDescent="0.25">
      <c r="A406" t="s">
        <v>1172</v>
      </c>
      <c r="B406" t="s">
        <v>695</v>
      </c>
      <c r="C406" t="s">
        <v>696</v>
      </c>
      <c r="D406" t="s">
        <v>697</v>
      </c>
      <c r="E406" t="s">
        <v>698</v>
      </c>
      <c r="F406" t="s">
        <v>1173</v>
      </c>
    </row>
    <row r="407" spans="1:6" x14ac:dyDescent="0.25">
      <c r="A407" t="s">
        <v>1174</v>
      </c>
      <c r="B407" t="s">
        <v>695</v>
      </c>
      <c r="C407" t="s">
        <v>696</v>
      </c>
      <c r="D407" t="s">
        <v>697</v>
      </c>
      <c r="E407" t="s">
        <v>698</v>
      </c>
      <c r="F407" t="s">
        <v>1175</v>
      </c>
    </row>
    <row r="408" spans="1:6" x14ac:dyDescent="0.25">
      <c r="A408" t="s">
        <v>1176</v>
      </c>
      <c r="B408" t="s">
        <v>701</v>
      </c>
      <c r="C408" t="s">
        <v>702</v>
      </c>
      <c r="D408" t="s">
        <v>134</v>
      </c>
      <c r="E408" t="s">
        <v>135</v>
      </c>
      <c r="F408" t="s">
        <v>916</v>
      </c>
    </row>
    <row r="409" spans="1:6" x14ac:dyDescent="0.25">
      <c r="A409" t="s">
        <v>1177</v>
      </c>
      <c r="B409" t="s">
        <v>692</v>
      </c>
      <c r="E409" t="s">
        <v>129</v>
      </c>
      <c r="F409" t="s">
        <v>130</v>
      </c>
    </row>
    <row r="410" spans="1:6" x14ac:dyDescent="0.25">
      <c r="A410" t="s">
        <v>1178</v>
      </c>
      <c r="B410" t="s">
        <v>701</v>
      </c>
      <c r="C410" t="s">
        <v>702</v>
      </c>
      <c r="D410" t="s">
        <v>761</v>
      </c>
      <c r="E410" t="s">
        <v>389</v>
      </c>
      <c r="F410" t="s">
        <v>762</v>
      </c>
    </row>
    <row r="411" spans="1:6" x14ac:dyDescent="0.25">
      <c r="A411" t="s">
        <v>1179</v>
      </c>
      <c r="B411" t="s">
        <v>764</v>
      </c>
      <c r="C411" t="s">
        <v>702</v>
      </c>
      <c r="D411" t="s">
        <v>761</v>
      </c>
      <c r="E411" t="s">
        <v>327</v>
      </c>
      <c r="F411" t="s">
        <v>924</v>
      </c>
    </row>
    <row r="412" spans="1:6" x14ac:dyDescent="0.25">
      <c r="A412" t="s">
        <v>1180</v>
      </c>
      <c r="B412" t="s">
        <v>701</v>
      </c>
      <c r="C412" t="s">
        <v>702</v>
      </c>
      <c r="D412" t="s">
        <v>134</v>
      </c>
      <c r="E412" t="s">
        <v>135</v>
      </c>
      <c r="F412" t="s">
        <v>703</v>
      </c>
    </row>
    <row r="413" spans="1:5" x14ac:dyDescent="0.25">
      <c r="A413" t="s">
        <v>1181</v>
      </c>
      <c r="B413" t="s">
        <v>692</v>
      </c>
      <c r="E413" t="s">
        <v>1002</v>
      </c>
    </row>
    <row r="414" spans="1:6" x14ac:dyDescent="0.25">
      <c r="A414" t="s">
        <v>1182</v>
      </c>
      <c r="B414" t="s">
        <v>692</v>
      </c>
      <c r="E414" t="s">
        <v>1002</v>
      </c>
      <c r="F414" t="s">
        <v>183</v>
      </c>
    </row>
    <row r="415" spans="1:6" x14ac:dyDescent="0.25">
      <c r="A415" t="s">
        <v>1183</v>
      </c>
      <c r="B415" t="s">
        <v>701</v>
      </c>
      <c r="C415" t="s">
        <v>758</v>
      </c>
      <c r="D415" t="s">
        <v>759</v>
      </c>
      <c r="E415" t="s">
        <v>246</v>
      </c>
      <c r="F415" t="s">
        <v>246</v>
      </c>
    </row>
    <row r="416" spans="1:6" x14ac:dyDescent="0.25">
      <c r="A416" t="s">
        <v>1184</v>
      </c>
      <c r="B416" t="s">
        <v>701</v>
      </c>
      <c r="C416" t="s">
        <v>758</v>
      </c>
      <c r="D416" t="s">
        <v>759</v>
      </c>
      <c r="E416" t="s">
        <v>246</v>
      </c>
      <c r="F416" t="s">
        <v>246</v>
      </c>
    </row>
    <row r="417" spans="1:6" x14ac:dyDescent="0.25">
      <c r="A417" t="s">
        <v>1185</v>
      </c>
      <c r="B417" t="s">
        <v>701</v>
      </c>
      <c r="C417" t="s">
        <v>758</v>
      </c>
      <c r="D417" t="s">
        <v>759</v>
      </c>
      <c r="E417" t="s">
        <v>246</v>
      </c>
      <c r="F417" t="s">
        <v>246</v>
      </c>
    </row>
    <row r="418" spans="1:6" x14ac:dyDescent="0.25">
      <c r="A418" t="s">
        <v>1186</v>
      </c>
      <c r="B418" t="s">
        <v>692</v>
      </c>
      <c r="E418" t="s">
        <v>90</v>
      </c>
      <c r="F418" t="s">
        <v>91</v>
      </c>
    </row>
    <row r="419" spans="1:5" x14ac:dyDescent="0.25">
      <c r="A419" t="s">
        <v>1187</v>
      </c>
      <c r="B419" t="s">
        <v>692</v>
      </c>
      <c r="E419" t="s">
        <v>254</v>
      </c>
    </row>
    <row r="420" spans="1:6" x14ac:dyDescent="0.25">
      <c r="A420" t="s">
        <v>1188</v>
      </c>
      <c r="B420" t="s">
        <v>692</v>
      </c>
      <c r="E420" t="s">
        <v>254</v>
      </c>
      <c r="F420" t="s">
        <v>1189</v>
      </c>
    </row>
    <row r="421" spans="1:6" x14ac:dyDescent="0.25">
      <c r="A421" t="s">
        <v>1190</v>
      </c>
      <c r="B421" t="s">
        <v>692</v>
      </c>
      <c r="E421" t="s">
        <v>254</v>
      </c>
      <c r="F421" t="s">
        <v>1189</v>
      </c>
    </row>
    <row r="422" spans="1:6" x14ac:dyDescent="0.25">
      <c r="A422" t="s">
        <v>1191</v>
      </c>
      <c r="B422" t="s">
        <v>695</v>
      </c>
      <c r="C422" t="s">
        <v>696</v>
      </c>
      <c r="D422" t="s">
        <v>697</v>
      </c>
      <c r="E422" t="s">
        <v>1092</v>
      </c>
      <c r="F422" t="s">
        <v>1192</v>
      </c>
    </row>
    <row r="423" spans="1:6" x14ac:dyDescent="0.25">
      <c r="A423" t="s">
        <v>1193</v>
      </c>
      <c r="B423" t="s">
        <v>692</v>
      </c>
      <c r="E423" t="s">
        <v>1194</v>
      </c>
      <c r="F423" t="s">
        <v>91</v>
      </c>
    </row>
    <row r="424" spans="1:6" x14ac:dyDescent="0.25">
      <c r="A424" t="s">
        <v>1195</v>
      </c>
      <c r="B424" t="s">
        <v>701</v>
      </c>
      <c r="C424" t="s">
        <v>758</v>
      </c>
      <c r="D424" t="s">
        <v>759</v>
      </c>
      <c r="E424" t="s">
        <v>246</v>
      </c>
      <c r="F424" t="s">
        <v>246</v>
      </c>
    </row>
    <row r="425" spans="1:5" x14ac:dyDescent="0.25">
      <c r="A425" t="s">
        <v>1196</v>
      </c>
      <c r="B425" t="s">
        <v>692</v>
      </c>
      <c r="E425" t="s">
        <v>327</v>
      </c>
    </row>
    <row r="426" spans="1:6" x14ac:dyDescent="0.25">
      <c r="A426" t="s">
        <v>1197</v>
      </c>
      <c r="B426" t="s">
        <v>692</v>
      </c>
      <c r="E426" t="s">
        <v>327</v>
      </c>
      <c r="F426" t="s">
        <v>91</v>
      </c>
    </row>
    <row r="427" spans="1:5" x14ac:dyDescent="0.25">
      <c r="A427" t="s">
        <v>1198</v>
      </c>
      <c r="B427" t="s">
        <v>692</v>
      </c>
      <c r="E427" t="s">
        <v>327</v>
      </c>
    </row>
    <row r="428" spans="1:6" x14ac:dyDescent="0.25">
      <c r="A428" t="s">
        <v>1199</v>
      </c>
      <c r="B428" t="s">
        <v>692</v>
      </c>
      <c r="E428" t="s">
        <v>327</v>
      </c>
      <c r="F428" t="s">
        <v>91</v>
      </c>
    </row>
    <row r="429" spans="1:5" x14ac:dyDescent="0.25">
      <c r="A429" t="s">
        <v>1200</v>
      </c>
      <c r="B429" t="s">
        <v>692</v>
      </c>
      <c r="E429" t="s">
        <v>327</v>
      </c>
    </row>
    <row r="430" spans="1:5" x14ac:dyDescent="0.25">
      <c r="A430" t="s">
        <v>1201</v>
      </c>
      <c r="B430" t="s">
        <v>692</v>
      </c>
      <c r="E430" t="s">
        <v>327</v>
      </c>
    </row>
    <row r="431" spans="1:6" x14ac:dyDescent="0.25">
      <c r="A431" t="s">
        <v>1202</v>
      </c>
      <c r="B431" t="s">
        <v>764</v>
      </c>
      <c r="C431" t="s">
        <v>758</v>
      </c>
      <c r="D431" t="s">
        <v>979</v>
      </c>
      <c r="E431" t="s">
        <v>85</v>
      </c>
      <c r="F431" t="s">
        <v>124</v>
      </c>
    </row>
    <row r="432" spans="1:6" x14ac:dyDescent="0.25">
      <c r="A432" t="s">
        <v>1203</v>
      </c>
      <c r="B432" t="s">
        <v>764</v>
      </c>
      <c r="C432" t="s">
        <v>758</v>
      </c>
      <c r="D432" t="s">
        <v>979</v>
      </c>
      <c r="E432" t="s">
        <v>85</v>
      </c>
      <c r="F432" t="s">
        <v>124</v>
      </c>
    </row>
    <row r="433" spans="1:6" x14ac:dyDescent="0.25">
      <c r="A433" t="s">
        <v>1204</v>
      </c>
      <c r="B433" t="s">
        <v>695</v>
      </c>
      <c r="C433" t="s">
        <v>758</v>
      </c>
      <c r="D433" t="s">
        <v>899</v>
      </c>
      <c r="E433" t="s">
        <v>265</v>
      </c>
      <c r="F433" t="s">
        <v>1205</v>
      </c>
    </row>
    <row r="434" spans="1:5" x14ac:dyDescent="0.25">
      <c r="A434" t="s">
        <v>1206</v>
      </c>
      <c r="B434" t="s">
        <v>692</v>
      </c>
      <c r="E434" t="s">
        <v>327</v>
      </c>
    </row>
    <row r="435" spans="1:6" x14ac:dyDescent="0.25">
      <c r="A435" t="s">
        <v>1207</v>
      </c>
      <c r="B435" t="s">
        <v>764</v>
      </c>
      <c r="C435" t="s">
        <v>758</v>
      </c>
      <c r="D435" t="s">
        <v>875</v>
      </c>
      <c r="E435" t="s">
        <v>173</v>
      </c>
      <c r="F435" t="s">
        <v>206</v>
      </c>
    </row>
    <row r="436" spans="1:6" x14ac:dyDescent="0.25">
      <c r="A436" t="s">
        <v>1208</v>
      </c>
      <c r="B436" t="s">
        <v>764</v>
      </c>
      <c r="C436" t="s">
        <v>758</v>
      </c>
      <c r="D436" t="s">
        <v>765</v>
      </c>
      <c r="E436" t="s">
        <v>337</v>
      </c>
      <c r="F436" t="s">
        <v>337</v>
      </c>
    </row>
    <row r="437" spans="1:6" x14ac:dyDescent="0.25">
      <c r="A437" t="s">
        <v>1209</v>
      </c>
      <c r="B437" t="s">
        <v>764</v>
      </c>
      <c r="C437" t="s">
        <v>758</v>
      </c>
      <c r="D437" t="s">
        <v>765</v>
      </c>
      <c r="E437" t="s">
        <v>337</v>
      </c>
      <c r="F437" t="s">
        <v>337</v>
      </c>
    </row>
    <row r="438" spans="1:6" x14ac:dyDescent="0.25">
      <c r="A438" t="s">
        <v>1210</v>
      </c>
      <c r="B438" t="s">
        <v>701</v>
      </c>
      <c r="C438" t="s">
        <v>746</v>
      </c>
      <c r="D438" t="s">
        <v>747</v>
      </c>
      <c r="E438" t="s">
        <v>748</v>
      </c>
      <c r="F438" t="s">
        <v>748</v>
      </c>
    </row>
    <row r="439" spans="1:6" x14ac:dyDescent="0.25">
      <c r="A439" t="s">
        <v>1211</v>
      </c>
      <c r="B439" t="s">
        <v>764</v>
      </c>
      <c r="C439" t="s">
        <v>782</v>
      </c>
      <c r="D439" t="s">
        <v>849</v>
      </c>
      <c r="E439" t="s">
        <v>850</v>
      </c>
      <c r="F439" t="s">
        <v>851</v>
      </c>
    </row>
    <row r="440" spans="1:6" x14ac:dyDescent="0.25">
      <c r="A440" t="s">
        <v>1212</v>
      </c>
      <c r="B440" t="s">
        <v>764</v>
      </c>
      <c r="C440" t="s">
        <v>790</v>
      </c>
      <c r="D440" t="s">
        <v>791</v>
      </c>
      <c r="E440" t="s">
        <v>598</v>
      </c>
      <c r="F440" t="s">
        <v>792</v>
      </c>
    </row>
    <row r="441" spans="1:6" x14ac:dyDescent="0.25">
      <c r="A441" t="s">
        <v>1212</v>
      </c>
      <c r="B441" t="s">
        <v>701</v>
      </c>
      <c r="C441" t="s">
        <v>790</v>
      </c>
      <c r="D441" t="s">
        <v>791</v>
      </c>
      <c r="E441" t="s">
        <v>598</v>
      </c>
      <c r="F441" t="s">
        <v>793</v>
      </c>
    </row>
    <row r="442" spans="1:5" x14ac:dyDescent="0.25">
      <c r="A442" t="s">
        <v>1213</v>
      </c>
      <c r="B442" t="s">
        <v>692</v>
      </c>
      <c r="E442" t="s">
        <v>598</v>
      </c>
    </row>
    <row r="443" spans="1:5" x14ac:dyDescent="0.25">
      <c r="A443" t="s">
        <v>1214</v>
      </c>
      <c r="B443" t="s">
        <v>692</v>
      </c>
      <c r="E443" t="s">
        <v>1111</v>
      </c>
    </row>
    <row r="444" spans="1:5" x14ac:dyDescent="0.25">
      <c r="A444" t="s">
        <v>1215</v>
      </c>
      <c r="B444" t="s">
        <v>692</v>
      </c>
      <c r="E444" t="s">
        <v>1194</v>
      </c>
    </row>
    <row r="445" spans="1:6" x14ac:dyDescent="0.25">
      <c r="A445" t="s">
        <v>1216</v>
      </c>
      <c r="B445" t="s">
        <v>764</v>
      </c>
      <c r="C445" t="s">
        <v>702</v>
      </c>
      <c r="D445" t="s">
        <v>134</v>
      </c>
      <c r="E445" t="s">
        <v>135</v>
      </c>
      <c r="F445" t="s">
        <v>134</v>
      </c>
    </row>
    <row r="446" spans="1:6" x14ac:dyDescent="0.25">
      <c r="A446" t="s">
        <v>1217</v>
      </c>
      <c r="B446" t="s">
        <v>764</v>
      </c>
      <c r="C446" t="s">
        <v>702</v>
      </c>
      <c r="D446" t="s">
        <v>962</v>
      </c>
      <c r="E446" t="s">
        <v>103</v>
      </c>
      <c r="F446" t="s">
        <v>103</v>
      </c>
    </row>
    <row r="447" spans="1:5" x14ac:dyDescent="0.25">
      <c r="A447" t="s">
        <v>1218</v>
      </c>
      <c r="B447" t="s">
        <v>692</v>
      </c>
      <c r="E447" t="s">
        <v>327</v>
      </c>
    </row>
    <row r="448" spans="1:6" x14ac:dyDescent="0.25">
      <c r="A448" t="s">
        <v>1219</v>
      </c>
      <c r="B448" t="s">
        <v>695</v>
      </c>
      <c r="C448" t="s">
        <v>696</v>
      </c>
      <c r="D448" t="s">
        <v>697</v>
      </c>
      <c r="E448" t="s">
        <v>698</v>
      </c>
      <c r="F448" t="s">
        <v>1220</v>
      </c>
    </row>
    <row r="449" spans="1:6" x14ac:dyDescent="0.25">
      <c r="A449" t="s">
        <v>1221</v>
      </c>
      <c r="B449" t="s">
        <v>695</v>
      </c>
      <c r="C449" t="s">
        <v>696</v>
      </c>
      <c r="D449" t="s">
        <v>697</v>
      </c>
      <c r="E449" t="s">
        <v>698</v>
      </c>
      <c r="F449" t="s">
        <v>1222</v>
      </c>
    </row>
    <row r="450" spans="1:5" x14ac:dyDescent="0.25">
      <c r="A450" t="s">
        <v>1223</v>
      </c>
      <c r="B450" t="s">
        <v>692</v>
      </c>
      <c r="E450" t="s">
        <v>1224</v>
      </c>
    </row>
    <row r="451" spans="1:6" x14ac:dyDescent="0.25">
      <c r="A451" t="s">
        <v>1225</v>
      </c>
      <c r="B451" t="s">
        <v>764</v>
      </c>
      <c r="C451" t="s">
        <v>782</v>
      </c>
      <c r="D451" t="s">
        <v>849</v>
      </c>
      <c r="E451" t="s">
        <v>850</v>
      </c>
      <c r="F451" t="s">
        <v>851</v>
      </c>
    </row>
    <row r="452" spans="1:5" x14ac:dyDescent="0.25">
      <c r="A452" t="s">
        <v>1226</v>
      </c>
      <c r="B452" t="s">
        <v>692</v>
      </c>
      <c r="E452" t="s">
        <v>342</v>
      </c>
    </row>
    <row r="453" spans="1:6" x14ac:dyDescent="0.25">
      <c r="A453" t="s">
        <v>1227</v>
      </c>
      <c r="B453" t="s">
        <v>764</v>
      </c>
      <c r="C453" t="s">
        <v>702</v>
      </c>
      <c r="D453" t="s">
        <v>761</v>
      </c>
      <c r="E453" t="s">
        <v>327</v>
      </c>
      <c r="F453" t="s">
        <v>924</v>
      </c>
    </row>
    <row r="454" spans="1:5" x14ac:dyDescent="0.25">
      <c r="A454" t="s">
        <v>1228</v>
      </c>
      <c r="B454" t="s">
        <v>692</v>
      </c>
      <c r="E454" t="s">
        <v>1229</v>
      </c>
    </row>
    <row r="455" spans="1:6" x14ac:dyDescent="0.25">
      <c r="A455" t="s">
        <v>1230</v>
      </c>
      <c r="B455" t="s">
        <v>692</v>
      </c>
      <c r="E455" t="s">
        <v>129</v>
      </c>
      <c r="F455" t="s">
        <v>1231</v>
      </c>
    </row>
    <row r="456" spans="1:5" x14ac:dyDescent="0.25">
      <c r="A456" t="s">
        <v>1232</v>
      </c>
      <c r="B456" t="s">
        <v>692</v>
      </c>
      <c r="E456" t="s">
        <v>129</v>
      </c>
    </row>
    <row r="457" spans="1:6" x14ac:dyDescent="0.25">
      <c r="A457" t="s">
        <v>1233</v>
      </c>
      <c r="B457" t="s">
        <v>764</v>
      </c>
      <c r="C457" t="s">
        <v>782</v>
      </c>
      <c r="D457" t="s">
        <v>849</v>
      </c>
      <c r="E457" t="s">
        <v>850</v>
      </c>
      <c r="F457" t="s">
        <v>851</v>
      </c>
    </row>
    <row r="458" spans="1:6" x14ac:dyDescent="0.25">
      <c r="A458" t="s">
        <v>1234</v>
      </c>
      <c r="B458" t="s">
        <v>764</v>
      </c>
      <c r="C458" t="s">
        <v>782</v>
      </c>
      <c r="D458" t="s">
        <v>849</v>
      </c>
      <c r="E458" t="s">
        <v>850</v>
      </c>
      <c r="F458" t="s">
        <v>851</v>
      </c>
    </row>
    <row r="459" spans="1:6" x14ac:dyDescent="0.25">
      <c r="A459" t="s">
        <v>1235</v>
      </c>
      <c r="B459" t="s">
        <v>764</v>
      </c>
      <c r="C459" t="s">
        <v>782</v>
      </c>
      <c r="D459" t="s">
        <v>849</v>
      </c>
      <c r="E459" t="s">
        <v>850</v>
      </c>
      <c r="F459" t="s">
        <v>851</v>
      </c>
    </row>
    <row r="460" spans="1:6" x14ac:dyDescent="0.25">
      <c r="A460" t="s">
        <v>1236</v>
      </c>
      <c r="B460" t="s">
        <v>701</v>
      </c>
      <c r="C460" t="s">
        <v>746</v>
      </c>
      <c r="D460" t="s">
        <v>747</v>
      </c>
      <c r="E460" t="s">
        <v>748</v>
      </c>
      <c r="F460" t="s">
        <v>748</v>
      </c>
    </row>
    <row r="461" spans="1:6" x14ac:dyDescent="0.25">
      <c r="A461" t="s">
        <v>1237</v>
      </c>
      <c r="B461" t="s">
        <v>701</v>
      </c>
      <c r="C461" t="s">
        <v>702</v>
      </c>
      <c r="D461" t="s">
        <v>750</v>
      </c>
      <c r="E461" t="s">
        <v>539</v>
      </c>
      <c r="F461" t="s">
        <v>751</v>
      </c>
    </row>
    <row r="462" spans="1:6" x14ac:dyDescent="0.25">
      <c r="A462" t="s">
        <v>1238</v>
      </c>
      <c r="B462" t="s">
        <v>701</v>
      </c>
      <c r="C462" t="s">
        <v>702</v>
      </c>
      <c r="D462" t="s">
        <v>750</v>
      </c>
      <c r="E462" t="s">
        <v>539</v>
      </c>
      <c r="F462" t="s">
        <v>751</v>
      </c>
    </row>
    <row r="463" spans="1:6" x14ac:dyDescent="0.25">
      <c r="A463" t="s">
        <v>1239</v>
      </c>
      <c r="B463" t="s">
        <v>701</v>
      </c>
      <c r="C463" t="s">
        <v>702</v>
      </c>
      <c r="D463" t="s">
        <v>750</v>
      </c>
      <c r="E463" t="s">
        <v>1111</v>
      </c>
      <c r="F463" t="s">
        <v>1112</v>
      </c>
    </row>
    <row r="464" spans="1:6" x14ac:dyDescent="0.25">
      <c r="A464" t="s">
        <v>1240</v>
      </c>
      <c r="B464" t="s">
        <v>701</v>
      </c>
      <c r="C464" t="s">
        <v>702</v>
      </c>
      <c r="D464" t="s">
        <v>750</v>
      </c>
      <c r="E464" t="s">
        <v>1111</v>
      </c>
      <c r="F464" t="s">
        <v>1112</v>
      </c>
    </row>
    <row r="465" spans="1:6" x14ac:dyDescent="0.25">
      <c r="A465" t="s">
        <v>1241</v>
      </c>
      <c r="B465" t="s">
        <v>701</v>
      </c>
      <c r="C465" t="s">
        <v>702</v>
      </c>
      <c r="D465" t="s">
        <v>750</v>
      </c>
      <c r="E465" t="s">
        <v>1111</v>
      </c>
      <c r="F465" t="s">
        <v>1112</v>
      </c>
    </row>
    <row r="466" spans="1:6" x14ac:dyDescent="0.25">
      <c r="A466" t="s">
        <v>1242</v>
      </c>
      <c r="B466" t="s">
        <v>764</v>
      </c>
      <c r="C466" t="s">
        <v>790</v>
      </c>
      <c r="D466" t="s">
        <v>791</v>
      </c>
      <c r="E466" t="s">
        <v>598</v>
      </c>
      <c r="F466" t="s">
        <v>792</v>
      </c>
    </row>
    <row r="467" spans="1:6" x14ac:dyDescent="0.25">
      <c r="A467" t="s">
        <v>1242</v>
      </c>
      <c r="B467" t="s">
        <v>701</v>
      </c>
      <c r="C467" t="s">
        <v>790</v>
      </c>
      <c r="D467" t="s">
        <v>791</v>
      </c>
      <c r="E467" t="s">
        <v>598</v>
      </c>
      <c r="F467" t="s">
        <v>793</v>
      </c>
    </row>
    <row r="468" spans="1:6" x14ac:dyDescent="0.25">
      <c r="A468" t="s">
        <v>1243</v>
      </c>
      <c r="B468" t="s">
        <v>764</v>
      </c>
      <c r="C468" t="s">
        <v>790</v>
      </c>
      <c r="D468" t="s">
        <v>791</v>
      </c>
      <c r="E468" t="s">
        <v>598</v>
      </c>
      <c r="F468" t="s">
        <v>792</v>
      </c>
    </row>
    <row r="469" spans="1:5" x14ac:dyDescent="0.25">
      <c r="A469" t="s">
        <v>1244</v>
      </c>
      <c r="B469" t="s">
        <v>692</v>
      </c>
      <c r="E469" t="s">
        <v>598</v>
      </c>
    </row>
    <row r="470" spans="1:5" x14ac:dyDescent="0.25">
      <c r="A470" t="s">
        <v>1245</v>
      </c>
      <c r="B470" t="s">
        <v>692</v>
      </c>
      <c r="E470" t="s">
        <v>598</v>
      </c>
    </row>
    <row r="471" spans="1:6" x14ac:dyDescent="0.25">
      <c r="A471" t="s">
        <v>1246</v>
      </c>
      <c r="B471" t="s">
        <v>764</v>
      </c>
      <c r="C471" t="s">
        <v>790</v>
      </c>
      <c r="D471" t="s">
        <v>791</v>
      </c>
      <c r="E471" t="s">
        <v>805</v>
      </c>
      <c r="F471" t="s">
        <v>806</v>
      </c>
    </row>
    <row r="472" spans="1:6" x14ac:dyDescent="0.25">
      <c r="A472" t="s">
        <v>1246</v>
      </c>
      <c r="B472" t="s">
        <v>701</v>
      </c>
      <c r="C472" t="s">
        <v>790</v>
      </c>
      <c r="D472" t="s">
        <v>791</v>
      </c>
      <c r="E472" t="s">
        <v>805</v>
      </c>
      <c r="F472" t="s">
        <v>806</v>
      </c>
    </row>
    <row r="473" spans="1:6" x14ac:dyDescent="0.25">
      <c r="A473" t="s">
        <v>1247</v>
      </c>
      <c r="B473" t="s">
        <v>692</v>
      </c>
      <c r="E473" t="s">
        <v>288</v>
      </c>
      <c r="F473" t="s">
        <v>290</v>
      </c>
    </row>
    <row r="474" spans="1:6" x14ac:dyDescent="0.25">
      <c r="A474" t="s">
        <v>1248</v>
      </c>
      <c r="B474" t="s">
        <v>764</v>
      </c>
      <c r="C474" t="s">
        <v>706</v>
      </c>
      <c r="D474" t="s">
        <v>1043</v>
      </c>
      <c r="E474" t="s">
        <v>1044</v>
      </c>
      <c r="F474" t="s">
        <v>1045</v>
      </c>
    </row>
    <row r="475" spans="1:5" x14ac:dyDescent="0.25">
      <c r="A475" t="s">
        <v>1249</v>
      </c>
      <c r="B475" t="s">
        <v>692</v>
      </c>
      <c r="E475" t="s">
        <v>181</v>
      </c>
    </row>
    <row r="476" spans="1:6" x14ac:dyDescent="0.25">
      <c r="A476" t="s">
        <v>1250</v>
      </c>
      <c r="B476" t="s">
        <v>764</v>
      </c>
      <c r="C476" t="s">
        <v>790</v>
      </c>
      <c r="D476" t="s">
        <v>791</v>
      </c>
      <c r="E476" t="s">
        <v>805</v>
      </c>
      <c r="F476" t="s">
        <v>806</v>
      </c>
    </row>
    <row r="477" spans="1:6" x14ac:dyDescent="0.25">
      <c r="A477" t="s">
        <v>1250</v>
      </c>
      <c r="B477" t="s">
        <v>701</v>
      </c>
      <c r="C477" t="s">
        <v>790</v>
      </c>
      <c r="D477" t="s">
        <v>791</v>
      </c>
      <c r="E477" t="s">
        <v>805</v>
      </c>
      <c r="F477" t="s">
        <v>806</v>
      </c>
    </row>
    <row r="478" spans="1:6" x14ac:dyDescent="0.25">
      <c r="A478" t="s">
        <v>1250</v>
      </c>
      <c r="B478" t="s">
        <v>794</v>
      </c>
      <c r="C478" t="s">
        <v>790</v>
      </c>
      <c r="D478" t="s">
        <v>791</v>
      </c>
      <c r="E478" t="s">
        <v>805</v>
      </c>
      <c r="F478" t="s">
        <v>806</v>
      </c>
    </row>
    <row r="479" spans="1:5" x14ac:dyDescent="0.25">
      <c r="A479" t="s">
        <v>1251</v>
      </c>
      <c r="B479" t="s">
        <v>692</v>
      </c>
      <c r="E479" t="s">
        <v>254</v>
      </c>
    </row>
    <row r="480" spans="1:6" x14ac:dyDescent="0.25">
      <c r="A480" t="s">
        <v>1252</v>
      </c>
      <c r="B480" t="s">
        <v>692</v>
      </c>
      <c r="E480" t="s">
        <v>254</v>
      </c>
      <c r="F480" t="s">
        <v>1189</v>
      </c>
    </row>
    <row r="481" spans="1:5" x14ac:dyDescent="0.25">
      <c r="A481" t="s">
        <v>1253</v>
      </c>
      <c r="B481" t="s">
        <v>692</v>
      </c>
      <c r="E481" t="s">
        <v>1229</v>
      </c>
    </row>
    <row r="482" spans="1:6" x14ac:dyDescent="0.25">
      <c r="A482" t="s">
        <v>1254</v>
      </c>
      <c r="B482" t="s">
        <v>764</v>
      </c>
      <c r="C482" t="s">
        <v>706</v>
      </c>
      <c r="D482" t="s">
        <v>1043</v>
      </c>
      <c r="E482" t="s">
        <v>1044</v>
      </c>
      <c r="F482" t="s">
        <v>1045</v>
      </c>
    </row>
    <row r="483" spans="1:5" x14ac:dyDescent="0.25">
      <c r="A483" t="s">
        <v>1255</v>
      </c>
      <c r="B483" t="s">
        <v>692</v>
      </c>
      <c r="E483" t="s">
        <v>1229</v>
      </c>
    </row>
    <row r="484" spans="1:6" x14ac:dyDescent="0.25">
      <c r="A484" t="s">
        <v>1256</v>
      </c>
      <c r="B484" t="s">
        <v>764</v>
      </c>
      <c r="C484" t="s">
        <v>782</v>
      </c>
      <c r="D484" t="s">
        <v>849</v>
      </c>
      <c r="E484" t="s">
        <v>850</v>
      </c>
      <c r="F484" t="s">
        <v>851</v>
      </c>
    </row>
    <row r="485" spans="1:5" x14ac:dyDescent="0.25">
      <c r="A485" t="s">
        <v>1257</v>
      </c>
      <c r="B485" t="s">
        <v>692</v>
      </c>
      <c r="E485" t="s">
        <v>598</v>
      </c>
    </row>
    <row r="486" spans="1:6" x14ac:dyDescent="0.25">
      <c r="A486" t="s">
        <v>1258</v>
      </c>
      <c r="B486" t="s">
        <v>701</v>
      </c>
      <c r="C486" t="s">
        <v>746</v>
      </c>
      <c r="D486" t="s">
        <v>747</v>
      </c>
      <c r="E486" t="s">
        <v>748</v>
      </c>
      <c r="F486" t="s">
        <v>748</v>
      </c>
    </row>
    <row r="487" spans="1:6" x14ac:dyDescent="0.25">
      <c r="A487" t="s">
        <v>1259</v>
      </c>
      <c r="B487" t="s">
        <v>701</v>
      </c>
      <c r="C487" t="s">
        <v>746</v>
      </c>
      <c r="D487" t="s">
        <v>747</v>
      </c>
      <c r="E487" t="s">
        <v>748</v>
      </c>
      <c r="F487" t="s">
        <v>748</v>
      </c>
    </row>
    <row r="488" spans="1:6" x14ac:dyDescent="0.25">
      <c r="A488" t="s">
        <v>1260</v>
      </c>
      <c r="B488" t="s">
        <v>701</v>
      </c>
      <c r="C488" t="s">
        <v>746</v>
      </c>
      <c r="D488" t="s">
        <v>747</v>
      </c>
      <c r="E488" t="s">
        <v>748</v>
      </c>
      <c r="F488" t="s">
        <v>748</v>
      </c>
    </row>
    <row r="489" spans="1:6" x14ac:dyDescent="0.25">
      <c r="A489" t="s">
        <v>1261</v>
      </c>
      <c r="B489" t="s">
        <v>764</v>
      </c>
      <c r="C489" t="s">
        <v>758</v>
      </c>
      <c r="D489" t="s">
        <v>875</v>
      </c>
      <c r="E489" t="s">
        <v>173</v>
      </c>
      <c r="F489" t="s">
        <v>206</v>
      </c>
    </row>
    <row r="490" spans="1:6" x14ac:dyDescent="0.25">
      <c r="A490" t="s">
        <v>1262</v>
      </c>
      <c r="B490" t="s">
        <v>764</v>
      </c>
      <c r="C490" t="s">
        <v>758</v>
      </c>
      <c r="D490" t="s">
        <v>875</v>
      </c>
      <c r="E490" t="s">
        <v>173</v>
      </c>
      <c r="F490" t="s">
        <v>206</v>
      </c>
    </row>
    <row r="491" spans="1:5" x14ac:dyDescent="0.25">
      <c r="A491" t="s">
        <v>1263</v>
      </c>
      <c r="B491" t="s">
        <v>692</v>
      </c>
      <c r="E491" t="s">
        <v>606</v>
      </c>
    </row>
    <row r="492" spans="1:6" x14ac:dyDescent="0.25">
      <c r="A492" t="s">
        <v>1264</v>
      </c>
      <c r="B492" t="s">
        <v>701</v>
      </c>
      <c r="C492" t="s">
        <v>702</v>
      </c>
      <c r="D492" t="s">
        <v>134</v>
      </c>
      <c r="E492" t="s">
        <v>135</v>
      </c>
      <c r="F492" t="s">
        <v>926</v>
      </c>
    </row>
    <row r="493" spans="1:6" x14ac:dyDescent="0.25">
      <c r="A493" t="s">
        <v>1265</v>
      </c>
      <c r="B493" t="s">
        <v>764</v>
      </c>
      <c r="C493" t="s">
        <v>702</v>
      </c>
      <c r="D493" t="s">
        <v>134</v>
      </c>
      <c r="E493" t="s">
        <v>135</v>
      </c>
      <c r="F493" t="s">
        <v>134</v>
      </c>
    </row>
    <row r="494" spans="1:6" x14ac:dyDescent="0.25">
      <c r="A494" t="s">
        <v>1265</v>
      </c>
      <c r="B494" t="s">
        <v>701</v>
      </c>
      <c r="C494" t="s">
        <v>702</v>
      </c>
      <c r="D494" t="s">
        <v>134</v>
      </c>
      <c r="E494" t="s">
        <v>135</v>
      </c>
      <c r="F494" t="s">
        <v>926</v>
      </c>
    </row>
    <row r="495" spans="1:6" x14ac:dyDescent="0.25">
      <c r="A495" t="s">
        <v>1266</v>
      </c>
      <c r="B495" t="s">
        <v>692</v>
      </c>
      <c r="E495" t="s">
        <v>135</v>
      </c>
      <c r="F495" t="s">
        <v>91</v>
      </c>
    </row>
    <row r="496" spans="1:6" x14ac:dyDescent="0.25">
      <c r="A496" t="s">
        <v>1267</v>
      </c>
      <c r="B496" t="s">
        <v>764</v>
      </c>
      <c r="C496" t="s">
        <v>758</v>
      </c>
      <c r="D496" t="s">
        <v>979</v>
      </c>
      <c r="E496" t="s">
        <v>85</v>
      </c>
      <c r="F496" t="s">
        <v>124</v>
      </c>
    </row>
    <row r="497" spans="1:6" x14ac:dyDescent="0.25">
      <c r="A497" t="s">
        <v>1268</v>
      </c>
      <c r="B497" t="s">
        <v>764</v>
      </c>
      <c r="C497" t="s">
        <v>758</v>
      </c>
      <c r="D497" t="s">
        <v>979</v>
      </c>
      <c r="E497" t="s">
        <v>987</v>
      </c>
      <c r="F497" t="s">
        <v>988</v>
      </c>
    </row>
    <row r="498" spans="1:6" x14ac:dyDescent="0.25">
      <c r="A498" t="s">
        <v>1269</v>
      </c>
      <c r="B498" t="s">
        <v>764</v>
      </c>
      <c r="C498" t="s">
        <v>758</v>
      </c>
      <c r="D498" t="s">
        <v>979</v>
      </c>
      <c r="E498" t="s">
        <v>85</v>
      </c>
      <c r="F498" t="s">
        <v>124</v>
      </c>
    </row>
    <row r="499" spans="1:6" x14ac:dyDescent="0.25">
      <c r="A499" t="s">
        <v>1270</v>
      </c>
      <c r="B499" t="s">
        <v>692</v>
      </c>
      <c r="E499" t="s">
        <v>85</v>
      </c>
      <c r="F499" t="s">
        <v>73</v>
      </c>
    </row>
    <row r="500" spans="1:6" x14ac:dyDescent="0.25">
      <c r="A500" t="s">
        <v>1271</v>
      </c>
      <c r="B500" t="s">
        <v>764</v>
      </c>
      <c r="C500" t="s">
        <v>758</v>
      </c>
      <c r="D500" t="s">
        <v>979</v>
      </c>
      <c r="E500" t="s">
        <v>85</v>
      </c>
      <c r="F500" t="s">
        <v>124</v>
      </c>
    </row>
    <row r="501" spans="1:6" x14ac:dyDescent="0.25">
      <c r="A501" t="s">
        <v>1272</v>
      </c>
      <c r="B501" t="s">
        <v>764</v>
      </c>
      <c r="C501" t="s">
        <v>758</v>
      </c>
      <c r="D501" t="s">
        <v>979</v>
      </c>
      <c r="E501" t="s">
        <v>85</v>
      </c>
      <c r="F501" t="s">
        <v>124</v>
      </c>
    </row>
    <row r="502" spans="1:6" x14ac:dyDescent="0.25">
      <c r="A502" t="s">
        <v>1273</v>
      </c>
      <c r="B502" t="s">
        <v>764</v>
      </c>
      <c r="C502" t="s">
        <v>758</v>
      </c>
      <c r="D502" t="s">
        <v>979</v>
      </c>
      <c r="E502" t="s">
        <v>85</v>
      </c>
      <c r="F502" t="s">
        <v>124</v>
      </c>
    </row>
    <row r="503" spans="1:6" x14ac:dyDescent="0.25">
      <c r="A503" t="s">
        <v>1274</v>
      </c>
      <c r="B503" t="s">
        <v>764</v>
      </c>
      <c r="C503" t="s">
        <v>758</v>
      </c>
      <c r="D503" t="s">
        <v>979</v>
      </c>
      <c r="E503" t="s">
        <v>987</v>
      </c>
      <c r="F503" t="s">
        <v>988</v>
      </c>
    </row>
    <row r="504" spans="1:6" x14ac:dyDescent="0.25">
      <c r="A504" t="s">
        <v>1275</v>
      </c>
      <c r="B504" t="s">
        <v>764</v>
      </c>
      <c r="C504" t="s">
        <v>758</v>
      </c>
      <c r="D504" t="s">
        <v>979</v>
      </c>
      <c r="E504" t="s">
        <v>987</v>
      </c>
      <c r="F504" t="s">
        <v>988</v>
      </c>
    </row>
    <row r="505" spans="1:6" x14ac:dyDescent="0.25">
      <c r="A505" t="s">
        <v>1276</v>
      </c>
      <c r="B505" t="s">
        <v>764</v>
      </c>
      <c r="C505" t="s">
        <v>758</v>
      </c>
      <c r="D505" t="s">
        <v>979</v>
      </c>
      <c r="E505" t="s">
        <v>987</v>
      </c>
      <c r="F505" t="s">
        <v>988</v>
      </c>
    </row>
    <row r="506" spans="1:6" x14ac:dyDescent="0.25">
      <c r="A506" t="s">
        <v>1277</v>
      </c>
      <c r="B506" t="s">
        <v>764</v>
      </c>
      <c r="C506" t="s">
        <v>758</v>
      </c>
      <c r="D506" t="s">
        <v>979</v>
      </c>
      <c r="E506" t="s">
        <v>987</v>
      </c>
      <c r="F506" t="s">
        <v>988</v>
      </c>
    </row>
    <row r="507" spans="1:5" x14ac:dyDescent="0.25">
      <c r="A507" t="s">
        <v>1278</v>
      </c>
      <c r="B507" t="s">
        <v>692</v>
      </c>
      <c r="E507" t="s">
        <v>85</v>
      </c>
    </row>
    <row r="508" spans="1:5" x14ac:dyDescent="0.25">
      <c r="A508" t="s">
        <v>1279</v>
      </c>
      <c r="B508" t="s">
        <v>692</v>
      </c>
      <c r="E508" t="s">
        <v>85</v>
      </c>
    </row>
    <row r="509" spans="1:5" x14ac:dyDescent="0.25">
      <c r="A509" t="s">
        <v>1280</v>
      </c>
      <c r="B509" t="s">
        <v>692</v>
      </c>
      <c r="E509" t="s">
        <v>85</v>
      </c>
    </row>
    <row r="510" spans="1:6" x14ac:dyDescent="0.25">
      <c r="A510" t="s">
        <v>1281</v>
      </c>
      <c r="B510" t="s">
        <v>764</v>
      </c>
      <c r="C510" t="s">
        <v>702</v>
      </c>
      <c r="D510" t="s">
        <v>134</v>
      </c>
      <c r="E510" t="s">
        <v>135</v>
      </c>
      <c r="F510" t="s">
        <v>134</v>
      </c>
    </row>
    <row r="511" spans="1:6" x14ac:dyDescent="0.25">
      <c r="A511" t="s">
        <v>1282</v>
      </c>
      <c r="B511" t="s">
        <v>701</v>
      </c>
      <c r="C511" t="s">
        <v>702</v>
      </c>
      <c r="D511" t="s">
        <v>827</v>
      </c>
      <c r="E511" t="s">
        <v>828</v>
      </c>
      <c r="F511" t="s">
        <v>828</v>
      </c>
    </row>
    <row r="512" spans="1:6" x14ac:dyDescent="0.25">
      <c r="A512" t="s">
        <v>1283</v>
      </c>
      <c r="B512" t="s">
        <v>701</v>
      </c>
      <c r="C512" t="s">
        <v>702</v>
      </c>
      <c r="D512" t="s">
        <v>827</v>
      </c>
      <c r="E512" t="s">
        <v>828</v>
      </c>
      <c r="F512" t="s">
        <v>828</v>
      </c>
    </row>
    <row r="513" spans="1:6" x14ac:dyDescent="0.25">
      <c r="A513" t="s">
        <v>1284</v>
      </c>
      <c r="B513" t="s">
        <v>701</v>
      </c>
      <c r="C513" t="s">
        <v>702</v>
      </c>
      <c r="D513" t="s">
        <v>827</v>
      </c>
      <c r="E513" t="s">
        <v>828</v>
      </c>
      <c r="F513" t="s">
        <v>828</v>
      </c>
    </row>
    <row r="514" spans="1:5" x14ac:dyDescent="0.25">
      <c r="A514" t="s">
        <v>1285</v>
      </c>
      <c r="B514" t="s">
        <v>692</v>
      </c>
      <c r="E514" t="s">
        <v>1286</v>
      </c>
    </row>
    <row r="515" spans="1:6" x14ac:dyDescent="0.25">
      <c r="A515" t="s">
        <v>1287</v>
      </c>
      <c r="B515" t="s">
        <v>701</v>
      </c>
      <c r="C515" t="s">
        <v>746</v>
      </c>
      <c r="D515" t="s">
        <v>747</v>
      </c>
      <c r="E515" t="s">
        <v>748</v>
      </c>
      <c r="F515" t="s">
        <v>748</v>
      </c>
    </row>
    <row r="516" spans="1:6" x14ac:dyDescent="0.25">
      <c r="A516" t="s">
        <v>1288</v>
      </c>
      <c r="B516" t="s">
        <v>764</v>
      </c>
      <c r="C516" t="s">
        <v>782</v>
      </c>
      <c r="D516" t="s">
        <v>783</v>
      </c>
      <c r="E516" t="s">
        <v>797</v>
      </c>
      <c r="F516" t="s">
        <v>798</v>
      </c>
    </row>
    <row r="517" spans="1:6" x14ac:dyDescent="0.25">
      <c r="A517" t="s">
        <v>1289</v>
      </c>
      <c r="B517" t="s">
        <v>764</v>
      </c>
      <c r="C517" t="s">
        <v>782</v>
      </c>
      <c r="D517" t="s">
        <v>783</v>
      </c>
      <c r="E517" t="s">
        <v>797</v>
      </c>
      <c r="F517" t="s">
        <v>798</v>
      </c>
    </row>
    <row r="518" spans="1:5" x14ac:dyDescent="0.25">
      <c r="A518" t="s">
        <v>1290</v>
      </c>
      <c r="B518" t="s">
        <v>692</v>
      </c>
      <c r="E518" t="s">
        <v>327</v>
      </c>
    </row>
    <row r="519" spans="1:6" x14ac:dyDescent="0.25">
      <c r="A519" t="s">
        <v>1291</v>
      </c>
      <c r="B519" t="s">
        <v>692</v>
      </c>
      <c r="E519" t="s">
        <v>246</v>
      </c>
      <c r="F519" t="s">
        <v>189</v>
      </c>
    </row>
    <row r="520" spans="1:5" x14ac:dyDescent="0.25">
      <c r="A520" t="s">
        <v>1292</v>
      </c>
      <c r="B520" t="s">
        <v>692</v>
      </c>
      <c r="E520" t="s">
        <v>1002</v>
      </c>
    </row>
    <row r="521" spans="1:5" x14ac:dyDescent="0.25">
      <c r="A521" t="s">
        <v>1293</v>
      </c>
      <c r="B521" t="s">
        <v>692</v>
      </c>
      <c r="E521" t="s">
        <v>327</v>
      </c>
    </row>
    <row r="522" spans="1:5" x14ac:dyDescent="0.25">
      <c r="A522" t="s">
        <v>1294</v>
      </c>
      <c r="B522" t="s">
        <v>692</v>
      </c>
      <c r="E522" t="s">
        <v>135</v>
      </c>
    </row>
    <row r="523" spans="1:6" x14ac:dyDescent="0.25">
      <c r="A523" t="s">
        <v>1295</v>
      </c>
      <c r="B523" t="s">
        <v>764</v>
      </c>
      <c r="C523" t="s">
        <v>790</v>
      </c>
      <c r="D523" t="s">
        <v>791</v>
      </c>
      <c r="E523" t="s">
        <v>805</v>
      </c>
      <c r="F523" t="s">
        <v>806</v>
      </c>
    </row>
    <row r="524" spans="1:6" x14ac:dyDescent="0.25">
      <c r="A524" t="s">
        <v>1295</v>
      </c>
      <c r="B524" t="s">
        <v>701</v>
      </c>
      <c r="C524" t="s">
        <v>790</v>
      </c>
      <c r="D524" t="s">
        <v>791</v>
      </c>
      <c r="E524" t="s">
        <v>805</v>
      </c>
      <c r="F524" t="s">
        <v>806</v>
      </c>
    </row>
    <row r="525" spans="1:6" x14ac:dyDescent="0.25">
      <c r="A525" t="s">
        <v>1296</v>
      </c>
      <c r="B525" t="s">
        <v>764</v>
      </c>
      <c r="C525" t="s">
        <v>790</v>
      </c>
      <c r="D525" t="s">
        <v>791</v>
      </c>
      <c r="E525" t="s">
        <v>805</v>
      </c>
      <c r="F525" t="s">
        <v>806</v>
      </c>
    </row>
    <row r="526" spans="1:6" x14ac:dyDescent="0.25">
      <c r="A526" t="s">
        <v>1296</v>
      </c>
      <c r="B526" t="s">
        <v>701</v>
      </c>
      <c r="C526" t="s">
        <v>790</v>
      </c>
      <c r="D526" t="s">
        <v>791</v>
      </c>
      <c r="E526" t="s">
        <v>805</v>
      </c>
      <c r="F526" t="s">
        <v>806</v>
      </c>
    </row>
    <row r="527" spans="1:6" x14ac:dyDescent="0.25">
      <c r="A527" t="s">
        <v>1296</v>
      </c>
      <c r="B527" t="s">
        <v>794</v>
      </c>
      <c r="C527" t="s">
        <v>790</v>
      </c>
      <c r="D527" t="s">
        <v>791</v>
      </c>
      <c r="E527" t="s">
        <v>805</v>
      </c>
      <c r="F527" t="s">
        <v>806</v>
      </c>
    </row>
    <row r="528" spans="1:6" x14ac:dyDescent="0.25">
      <c r="A528" t="s">
        <v>1297</v>
      </c>
      <c r="B528" t="s">
        <v>764</v>
      </c>
      <c r="C528" t="s">
        <v>790</v>
      </c>
      <c r="D528" t="s">
        <v>791</v>
      </c>
      <c r="E528" t="s">
        <v>805</v>
      </c>
      <c r="F528" t="s">
        <v>806</v>
      </c>
    </row>
    <row r="529" spans="1:6" x14ac:dyDescent="0.25">
      <c r="A529" t="s">
        <v>1297</v>
      </c>
      <c r="B529" t="s">
        <v>701</v>
      </c>
      <c r="C529" t="s">
        <v>790</v>
      </c>
      <c r="D529" t="s">
        <v>791</v>
      </c>
      <c r="E529" t="s">
        <v>805</v>
      </c>
      <c r="F529" t="s">
        <v>806</v>
      </c>
    </row>
    <row r="530" spans="1:6" x14ac:dyDescent="0.25">
      <c r="A530" t="s">
        <v>1298</v>
      </c>
      <c r="B530" t="s">
        <v>764</v>
      </c>
      <c r="C530" t="s">
        <v>790</v>
      </c>
      <c r="D530" t="s">
        <v>791</v>
      </c>
      <c r="E530" t="s">
        <v>805</v>
      </c>
      <c r="F530" t="s">
        <v>806</v>
      </c>
    </row>
    <row r="531" spans="1:6" x14ac:dyDescent="0.25">
      <c r="A531" t="s">
        <v>1298</v>
      </c>
      <c r="B531" t="s">
        <v>701</v>
      </c>
      <c r="C531" t="s">
        <v>790</v>
      </c>
      <c r="D531" t="s">
        <v>791</v>
      </c>
      <c r="E531" t="s">
        <v>805</v>
      </c>
      <c r="F531" t="s">
        <v>806</v>
      </c>
    </row>
    <row r="532" spans="1:6" x14ac:dyDescent="0.25">
      <c r="A532" t="s">
        <v>1299</v>
      </c>
      <c r="B532" t="s">
        <v>764</v>
      </c>
      <c r="C532" t="s">
        <v>702</v>
      </c>
      <c r="D532" t="s">
        <v>134</v>
      </c>
      <c r="E532" t="s">
        <v>135</v>
      </c>
      <c r="F532" t="s">
        <v>134</v>
      </c>
    </row>
    <row r="533" spans="1:6" x14ac:dyDescent="0.25">
      <c r="A533" t="s">
        <v>1300</v>
      </c>
      <c r="B533" t="s">
        <v>695</v>
      </c>
      <c r="C533" t="s">
        <v>696</v>
      </c>
      <c r="D533" t="s">
        <v>697</v>
      </c>
      <c r="E533" t="s">
        <v>698</v>
      </c>
      <c r="F533" t="s">
        <v>1301</v>
      </c>
    </row>
    <row r="534" spans="1:5" x14ac:dyDescent="0.25">
      <c r="A534" t="s">
        <v>1302</v>
      </c>
      <c r="B534" t="s">
        <v>692</v>
      </c>
      <c r="E534" t="s">
        <v>606</v>
      </c>
    </row>
    <row r="535" spans="1:6" x14ac:dyDescent="0.25">
      <c r="A535" t="s">
        <v>1303</v>
      </c>
      <c r="B535" t="s">
        <v>794</v>
      </c>
      <c r="C535" t="s">
        <v>782</v>
      </c>
      <c r="D535" t="s">
        <v>836</v>
      </c>
      <c r="E535" t="s">
        <v>97</v>
      </c>
      <c r="F535" t="s">
        <v>71</v>
      </c>
    </row>
    <row r="536" spans="1:6" x14ac:dyDescent="0.25">
      <c r="A536" t="s">
        <v>1304</v>
      </c>
      <c r="B536" t="s">
        <v>794</v>
      </c>
      <c r="C536" t="s">
        <v>782</v>
      </c>
      <c r="D536" t="s">
        <v>836</v>
      </c>
      <c r="E536" t="s">
        <v>211</v>
      </c>
      <c r="F536" t="s">
        <v>837</v>
      </c>
    </row>
    <row r="537" spans="1:6" x14ac:dyDescent="0.25">
      <c r="A537" t="s">
        <v>1305</v>
      </c>
      <c r="B537" t="s">
        <v>764</v>
      </c>
      <c r="C537" t="s">
        <v>758</v>
      </c>
      <c r="D537" t="s">
        <v>765</v>
      </c>
      <c r="E537" t="s">
        <v>337</v>
      </c>
      <c r="F537" t="s">
        <v>337</v>
      </c>
    </row>
    <row r="538" spans="1:6" x14ac:dyDescent="0.25">
      <c r="A538" t="s">
        <v>1306</v>
      </c>
      <c r="B538" t="s">
        <v>794</v>
      </c>
      <c r="C538" t="s">
        <v>782</v>
      </c>
      <c r="D538" t="s">
        <v>836</v>
      </c>
      <c r="E538" t="s">
        <v>211</v>
      </c>
      <c r="F538" t="s">
        <v>837</v>
      </c>
    </row>
    <row r="539" spans="1:6" x14ac:dyDescent="0.25">
      <c r="A539" t="s">
        <v>1307</v>
      </c>
      <c r="B539" t="s">
        <v>764</v>
      </c>
      <c r="C539" t="s">
        <v>758</v>
      </c>
      <c r="D539" t="s">
        <v>765</v>
      </c>
      <c r="E539" t="s">
        <v>337</v>
      </c>
      <c r="F539" t="s">
        <v>337</v>
      </c>
    </row>
    <row r="540" spans="1:6" x14ac:dyDescent="0.25">
      <c r="A540" t="s">
        <v>1308</v>
      </c>
      <c r="B540" t="s">
        <v>794</v>
      </c>
      <c r="C540" t="s">
        <v>782</v>
      </c>
      <c r="D540" t="s">
        <v>836</v>
      </c>
      <c r="E540" t="s">
        <v>211</v>
      </c>
      <c r="F540" t="s">
        <v>837</v>
      </c>
    </row>
    <row r="541" spans="1:6" x14ac:dyDescent="0.25">
      <c r="A541" t="s">
        <v>1309</v>
      </c>
      <c r="B541" t="s">
        <v>794</v>
      </c>
      <c r="C541" t="s">
        <v>782</v>
      </c>
      <c r="D541" t="s">
        <v>836</v>
      </c>
      <c r="E541" t="s">
        <v>211</v>
      </c>
      <c r="F541" t="s">
        <v>837</v>
      </c>
    </row>
    <row r="542" spans="1:6" x14ac:dyDescent="0.25">
      <c r="A542" t="s">
        <v>1310</v>
      </c>
      <c r="B542" t="s">
        <v>794</v>
      </c>
      <c r="C542" t="s">
        <v>782</v>
      </c>
      <c r="D542" t="s">
        <v>836</v>
      </c>
      <c r="E542" t="s">
        <v>211</v>
      </c>
      <c r="F542" t="s">
        <v>837</v>
      </c>
    </row>
    <row r="543" spans="1:6" x14ac:dyDescent="0.25">
      <c r="A543" t="s">
        <v>1311</v>
      </c>
      <c r="B543" t="s">
        <v>794</v>
      </c>
      <c r="C543" t="s">
        <v>702</v>
      </c>
      <c r="D543" t="s">
        <v>761</v>
      </c>
      <c r="E543" t="s">
        <v>389</v>
      </c>
      <c r="F543" t="s">
        <v>1007</v>
      </c>
    </row>
    <row r="544" spans="1:6" x14ac:dyDescent="0.25">
      <c r="A544" t="s">
        <v>1312</v>
      </c>
      <c r="B544" t="s">
        <v>764</v>
      </c>
      <c r="C544" t="s">
        <v>702</v>
      </c>
      <c r="D544" t="s">
        <v>761</v>
      </c>
      <c r="E544" t="s">
        <v>327</v>
      </c>
      <c r="F544" t="s">
        <v>924</v>
      </c>
    </row>
    <row r="545" spans="1:6" x14ac:dyDescent="0.25">
      <c r="A545" t="s">
        <v>1313</v>
      </c>
      <c r="B545" t="s">
        <v>692</v>
      </c>
      <c r="E545" t="s">
        <v>539</v>
      </c>
      <c r="F545" t="s">
        <v>91</v>
      </c>
    </row>
    <row r="546" spans="1:6" x14ac:dyDescent="0.25">
      <c r="A546" t="s">
        <v>1314</v>
      </c>
      <c r="B546" t="s">
        <v>695</v>
      </c>
      <c r="C546" t="s">
        <v>696</v>
      </c>
      <c r="D546" t="s">
        <v>697</v>
      </c>
      <c r="E546" t="s">
        <v>1092</v>
      </c>
      <c r="F546" t="s">
        <v>1315</v>
      </c>
    </row>
    <row r="547" spans="1:6" x14ac:dyDescent="0.25">
      <c r="A547" t="s">
        <v>1316</v>
      </c>
      <c r="B547" t="s">
        <v>692</v>
      </c>
      <c r="E547" t="s">
        <v>246</v>
      </c>
      <c r="F547" t="s">
        <v>189</v>
      </c>
    </row>
    <row r="548" spans="1:6" x14ac:dyDescent="0.25">
      <c r="A548" t="s">
        <v>1317</v>
      </c>
      <c r="B548" t="s">
        <v>764</v>
      </c>
      <c r="C548" t="s">
        <v>702</v>
      </c>
      <c r="D548" t="s">
        <v>761</v>
      </c>
      <c r="E548" t="s">
        <v>327</v>
      </c>
      <c r="F548" t="s">
        <v>924</v>
      </c>
    </row>
    <row r="549" spans="1:5" x14ac:dyDescent="0.25">
      <c r="A549" t="s">
        <v>1318</v>
      </c>
      <c r="B549" t="s">
        <v>692</v>
      </c>
      <c r="E549" t="s">
        <v>97</v>
      </c>
    </row>
    <row r="550" spans="1:6" x14ac:dyDescent="0.25">
      <c r="A550" t="s">
        <v>1319</v>
      </c>
      <c r="B550" t="s">
        <v>701</v>
      </c>
      <c r="C550" t="s">
        <v>702</v>
      </c>
      <c r="D550" t="s">
        <v>750</v>
      </c>
      <c r="E550" t="s">
        <v>1111</v>
      </c>
      <c r="F550" t="s">
        <v>1112</v>
      </c>
    </row>
    <row r="551" spans="1:6" x14ac:dyDescent="0.25">
      <c r="A551" t="s">
        <v>1320</v>
      </c>
      <c r="B551" t="s">
        <v>701</v>
      </c>
      <c r="C551" t="s">
        <v>702</v>
      </c>
      <c r="D551" t="s">
        <v>750</v>
      </c>
      <c r="E551" t="s">
        <v>1111</v>
      </c>
      <c r="F551" t="s">
        <v>1112</v>
      </c>
    </row>
    <row r="552" spans="1:6" x14ac:dyDescent="0.25">
      <c r="A552" t="s">
        <v>1321</v>
      </c>
      <c r="B552" t="s">
        <v>701</v>
      </c>
      <c r="C552" t="s">
        <v>702</v>
      </c>
      <c r="D552" t="s">
        <v>750</v>
      </c>
      <c r="E552" t="s">
        <v>1111</v>
      </c>
      <c r="F552" t="s">
        <v>1112</v>
      </c>
    </row>
    <row r="553" spans="1:5" x14ac:dyDescent="0.25">
      <c r="A553" t="s">
        <v>1322</v>
      </c>
      <c r="B553" t="s">
        <v>692</v>
      </c>
      <c r="E553" t="s">
        <v>97</v>
      </c>
    </row>
    <row r="554" spans="1:5" x14ac:dyDescent="0.25">
      <c r="A554" t="s">
        <v>1323</v>
      </c>
      <c r="B554" t="s">
        <v>692</v>
      </c>
      <c r="E554" t="s">
        <v>539</v>
      </c>
    </row>
    <row r="555" spans="1:6" x14ac:dyDescent="0.25">
      <c r="A555" t="s">
        <v>1324</v>
      </c>
      <c r="B555" t="s">
        <v>701</v>
      </c>
      <c r="C555" t="s">
        <v>702</v>
      </c>
      <c r="D555" t="s">
        <v>750</v>
      </c>
      <c r="E555" t="s">
        <v>1111</v>
      </c>
      <c r="F555" t="s">
        <v>1112</v>
      </c>
    </row>
    <row r="556" spans="1:6" x14ac:dyDescent="0.25">
      <c r="A556" t="s">
        <v>1325</v>
      </c>
      <c r="B556" t="s">
        <v>701</v>
      </c>
      <c r="C556" t="s">
        <v>702</v>
      </c>
      <c r="D556" t="s">
        <v>750</v>
      </c>
      <c r="E556" t="s">
        <v>1111</v>
      </c>
      <c r="F556" t="s">
        <v>1112</v>
      </c>
    </row>
    <row r="557" spans="1:6" x14ac:dyDescent="0.25">
      <c r="A557" t="s">
        <v>1326</v>
      </c>
      <c r="B557" t="s">
        <v>701</v>
      </c>
      <c r="C557" t="s">
        <v>702</v>
      </c>
      <c r="D557" t="s">
        <v>750</v>
      </c>
      <c r="E557" t="s">
        <v>1111</v>
      </c>
      <c r="F557" t="s">
        <v>1112</v>
      </c>
    </row>
    <row r="558" spans="1:6" x14ac:dyDescent="0.25">
      <c r="A558" t="s">
        <v>1327</v>
      </c>
      <c r="B558" t="s">
        <v>701</v>
      </c>
      <c r="C558" t="s">
        <v>702</v>
      </c>
      <c r="D558" t="s">
        <v>750</v>
      </c>
      <c r="E558" t="s">
        <v>1111</v>
      </c>
      <c r="F558" t="s">
        <v>1112</v>
      </c>
    </row>
    <row r="559" spans="1:6" x14ac:dyDescent="0.25">
      <c r="A559" t="s">
        <v>1328</v>
      </c>
      <c r="B559" t="s">
        <v>764</v>
      </c>
      <c r="C559" t="s">
        <v>702</v>
      </c>
      <c r="D559" t="s">
        <v>134</v>
      </c>
      <c r="E559" t="s">
        <v>135</v>
      </c>
      <c r="F559" t="s">
        <v>134</v>
      </c>
    </row>
    <row r="560" spans="1:6" x14ac:dyDescent="0.25">
      <c r="A560" t="s">
        <v>1328</v>
      </c>
      <c r="B560" t="s">
        <v>701</v>
      </c>
      <c r="C560" t="s">
        <v>702</v>
      </c>
      <c r="D560" t="s">
        <v>134</v>
      </c>
      <c r="E560" t="s">
        <v>135</v>
      </c>
      <c r="F560" t="s">
        <v>916</v>
      </c>
    </row>
    <row r="561" spans="1:5" x14ac:dyDescent="0.25">
      <c r="A561" t="s">
        <v>1329</v>
      </c>
      <c r="B561" t="s">
        <v>692</v>
      </c>
      <c r="E561" t="s">
        <v>135</v>
      </c>
    </row>
    <row r="562" spans="1:5" x14ac:dyDescent="0.25">
      <c r="A562" t="s">
        <v>1330</v>
      </c>
      <c r="B562" t="s">
        <v>692</v>
      </c>
      <c r="E562" t="s">
        <v>1286</v>
      </c>
    </row>
    <row r="563" spans="1:6" x14ac:dyDescent="0.25">
      <c r="A563" t="s">
        <v>1331</v>
      </c>
      <c r="B563" t="s">
        <v>764</v>
      </c>
      <c r="C563" t="s">
        <v>782</v>
      </c>
      <c r="D563" t="s">
        <v>849</v>
      </c>
      <c r="E563" t="s">
        <v>850</v>
      </c>
      <c r="F563" t="s">
        <v>851</v>
      </c>
    </row>
    <row r="564" spans="1:6" x14ac:dyDescent="0.25">
      <c r="A564" t="s">
        <v>1332</v>
      </c>
      <c r="B564" t="s">
        <v>701</v>
      </c>
      <c r="C564" t="s">
        <v>758</v>
      </c>
      <c r="D564" t="s">
        <v>759</v>
      </c>
      <c r="E564" t="s">
        <v>246</v>
      </c>
      <c r="F564" t="s">
        <v>246</v>
      </c>
    </row>
    <row r="565" spans="1:6" x14ac:dyDescent="0.25">
      <c r="A565" t="s">
        <v>1333</v>
      </c>
      <c r="B565" t="s">
        <v>701</v>
      </c>
      <c r="C565" t="s">
        <v>702</v>
      </c>
      <c r="D565" t="s">
        <v>750</v>
      </c>
      <c r="E565" t="s">
        <v>539</v>
      </c>
      <c r="F565" t="s">
        <v>751</v>
      </c>
    </row>
    <row r="566" spans="1:6" x14ac:dyDescent="0.25">
      <c r="A566" t="s">
        <v>1334</v>
      </c>
      <c r="B566" t="s">
        <v>764</v>
      </c>
      <c r="C566" t="s">
        <v>702</v>
      </c>
      <c r="D566" t="s">
        <v>134</v>
      </c>
      <c r="E566" t="s">
        <v>135</v>
      </c>
      <c r="F566" t="s">
        <v>134</v>
      </c>
    </row>
    <row r="567" spans="1:6" x14ac:dyDescent="0.25">
      <c r="A567" t="s">
        <v>1335</v>
      </c>
      <c r="B567" t="s">
        <v>764</v>
      </c>
      <c r="C567" t="s">
        <v>702</v>
      </c>
      <c r="D567" t="s">
        <v>786</v>
      </c>
      <c r="E567" t="s">
        <v>787</v>
      </c>
      <c r="F567" t="s">
        <v>788</v>
      </c>
    </row>
    <row r="568" spans="1:6" x14ac:dyDescent="0.25">
      <c r="A568" t="s">
        <v>1336</v>
      </c>
      <c r="B568" t="s">
        <v>764</v>
      </c>
      <c r="C568" t="s">
        <v>702</v>
      </c>
      <c r="D568" t="s">
        <v>786</v>
      </c>
      <c r="E568" t="s">
        <v>787</v>
      </c>
      <c r="F568" t="s">
        <v>788</v>
      </c>
    </row>
    <row r="569" spans="1:6" x14ac:dyDescent="0.25">
      <c r="A569" t="s">
        <v>1337</v>
      </c>
      <c r="B569" t="s">
        <v>764</v>
      </c>
      <c r="C569" t="s">
        <v>702</v>
      </c>
      <c r="D569" t="s">
        <v>786</v>
      </c>
      <c r="E569" t="s">
        <v>787</v>
      </c>
      <c r="F569" t="s">
        <v>788</v>
      </c>
    </row>
    <row r="570" spans="1:6" x14ac:dyDescent="0.25">
      <c r="A570" t="s">
        <v>1338</v>
      </c>
      <c r="B570" t="s">
        <v>764</v>
      </c>
      <c r="C570" t="s">
        <v>706</v>
      </c>
      <c r="D570" t="s">
        <v>1043</v>
      </c>
      <c r="E570" t="s">
        <v>1044</v>
      </c>
      <c r="F570" t="s">
        <v>1045</v>
      </c>
    </row>
    <row r="571" spans="1:6" x14ac:dyDescent="0.25">
      <c r="A571" t="s">
        <v>1339</v>
      </c>
      <c r="B571" t="s">
        <v>764</v>
      </c>
      <c r="C571" t="s">
        <v>706</v>
      </c>
      <c r="D571" t="s">
        <v>1043</v>
      </c>
      <c r="E571" t="s">
        <v>1044</v>
      </c>
      <c r="F571" t="s">
        <v>1045</v>
      </c>
    </row>
    <row r="572" spans="1:6" x14ac:dyDescent="0.25">
      <c r="A572" t="s">
        <v>1340</v>
      </c>
      <c r="B572" t="s">
        <v>764</v>
      </c>
      <c r="C572" t="s">
        <v>702</v>
      </c>
      <c r="D572" t="s">
        <v>962</v>
      </c>
      <c r="E572" t="s">
        <v>103</v>
      </c>
      <c r="F572" t="s">
        <v>103</v>
      </c>
    </row>
    <row r="573" spans="1:6" x14ac:dyDescent="0.25">
      <c r="A573" t="s">
        <v>1341</v>
      </c>
      <c r="B573" t="s">
        <v>764</v>
      </c>
      <c r="C573" t="s">
        <v>790</v>
      </c>
      <c r="D573" t="s">
        <v>791</v>
      </c>
      <c r="E573" t="s">
        <v>598</v>
      </c>
      <c r="F573" t="s">
        <v>792</v>
      </c>
    </row>
    <row r="574" spans="1:6" x14ac:dyDescent="0.25">
      <c r="A574" t="s">
        <v>1342</v>
      </c>
      <c r="B574" t="s">
        <v>764</v>
      </c>
      <c r="C574" t="s">
        <v>702</v>
      </c>
      <c r="D574" t="s">
        <v>761</v>
      </c>
      <c r="E574" t="s">
        <v>327</v>
      </c>
      <c r="F574" t="s">
        <v>924</v>
      </c>
    </row>
    <row r="575" spans="1:5" x14ac:dyDescent="0.25">
      <c r="A575" t="s">
        <v>1343</v>
      </c>
      <c r="B575" t="s">
        <v>692</v>
      </c>
      <c r="E575" t="s">
        <v>1002</v>
      </c>
    </row>
    <row r="576" spans="1:6" x14ac:dyDescent="0.25">
      <c r="A576" t="s">
        <v>1344</v>
      </c>
      <c r="B576" t="s">
        <v>701</v>
      </c>
      <c r="C576" t="s">
        <v>702</v>
      </c>
      <c r="D576" t="s">
        <v>134</v>
      </c>
      <c r="E576" t="s">
        <v>135</v>
      </c>
      <c r="F576" t="s">
        <v>916</v>
      </c>
    </row>
    <row r="577" spans="1:6" x14ac:dyDescent="0.25">
      <c r="A577" t="s">
        <v>1345</v>
      </c>
      <c r="B577" t="s">
        <v>764</v>
      </c>
      <c r="C577" t="s">
        <v>702</v>
      </c>
      <c r="D577" t="s">
        <v>962</v>
      </c>
      <c r="E577" t="s">
        <v>103</v>
      </c>
      <c r="F577" t="s">
        <v>103</v>
      </c>
    </row>
    <row r="578" spans="1:6" x14ac:dyDescent="0.25">
      <c r="A578" t="s">
        <v>1346</v>
      </c>
      <c r="B578" t="s">
        <v>764</v>
      </c>
      <c r="C578" t="s">
        <v>782</v>
      </c>
      <c r="D578" t="s">
        <v>836</v>
      </c>
      <c r="E578" t="s">
        <v>97</v>
      </c>
      <c r="F578" t="s">
        <v>71</v>
      </c>
    </row>
    <row r="579" spans="1:5" x14ac:dyDescent="0.25">
      <c r="A579" t="s">
        <v>1347</v>
      </c>
      <c r="B579" t="s">
        <v>692</v>
      </c>
      <c r="E579" t="s">
        <v>97</v>
      </c>
    </row>
    <row r="580" spans="1:6" x14ac:dyDescent="0.25">
      <c r="A580" t="s">
        <v>1348</v>
      </c>
      <c r="B580" t="s">
        <v>764</v>
      </c>
      <c r="C580" t="s">
        <v>758</v>
      </c>
      <c r="D580" t="s">
        <v>899</v>
      </c>
      <c r="E580" t="s">
        <v>265</v>
      </c>
      <c r="F580" t="s">
        <v>942</v>
      </c>
    </row>
    <row r="581" spans="1:6" x14ac:dyDescent="0.25">
      <c r="A581" t="s">
        <v>1349</v>
      </c>
      <c r="B581" t="s">
        <v>764</v>
      </c>
      <c r="C581" t="s">
        <v>782</v>
      </c>
      <c r="D581" t="s">
        <v>849</v>
      </c>
      <c r="E581" t="s">
        <v>850</v>
      </c>
      <c r="F581" t="s">
        <v>851</v>
      </c>
    </row>
    <row r="582" spans="1:6" x14ac:dyDescent="0.25">
      <c r="A582" t="s">
        <v>1350</v>
      </c>
      <c r="B582" t="s">
        <v>764</v>
      </c>
      <c r="C582" t="s">
        <v>758</v>
      </c>
      <c r="D582" t="s">
        <v>765</v>
      </c>
      <c r="E582" t="s">
        <v>337</v>
      </c>
      <c r="F582" t="s">
        <v>337</v>
      </c>
    </row>
    <row r="583" spans="1:6" x14ac:dyDescent="0.25">
      <c r="A583" t="s">
        <v>1351</v>
      </c>
      <c r="B583" t="s">
        <v>695</v>
      </c>
      <c r="C583" t="s">
        <v>702</v>
      </c>
      <c r="D583" t="s">
        <v>786</v>
      </c>
      <c r="E583" t="s">
        <v>824</v>
      </c>
      <c r="F583" t="s">
        <v>1352</v>
      </c>
    </row>
    <row r="584" spans="1:6" x14ac:dyDescent="0.25">
      <c r="A584" t="s">
        <v>1353</v>
      </c>
      <c r="B584" t="s">
        <v>764</v>
      </c>
      <c r="C584" t="s">
        <v>702</v>
      </c>
      <c r="D584" t="s">
        <v>134</v>
      </c>
      <c r="E584" t="s">
        <v>135</v>
      </c>
      <c r="F584" t="s">
        <v>134</v>
      </c>
    </row>
    <row r="585" spans="1:5" x14ac:dyDescent="0.25">
      <c r="A585" t="s">
        <v>1354</v>
      </c>
      <c r="B585" t="s">
        <v>692</v>
      </c>
      <c r="E585" t="s">
        <v>867</v>
      </c>
    </row>
    <row r="586" spans="1:6" x14ac:dyDescent="0.25">
      <c r="A586" t="s">
        <v>1355</v>
      </c>
      <c r="B586" t="s">
        <v>764</v>
      </c>
      <c r="C586" t="s">
        <v>758</v>
      </c>
      <c r="D586" t="s">
        <v>979</v>
      </c>
      <c r="E586" t="s">
        <v>85</v>
      </c>
      <c r="F586" t="s">
        <v>124</v>
      </c>
    </row>
    <row r="587" spans="1:6" x14ac:dyDescent="0.25">
      <c r="A587" t="s">
        <v>1356</v>
      </c>
      <c r="B587" t="s">
        <v>764</v>
      </c>
      <c r="C587" t="s">
        <v>758</v>
      </c>
      <c r="D587" t="s">
        <v>979</v>
      </c>
      <c r="E587" t="s">
        <v>85</v>
      </c>
      <c r="F587" t="s">
        <v>124</v>
      </c>
    </row>
    <row r="588" spans="1:6" x14ac:dyDescent="0.25">
      <c r="A588" t="s">
        <v>1357</v>
      </c>
      <c r="B588" t="s">
        <v>764</v>
      </c>
      <c r="C588" t="s">
        <v>758</v>
      </c>
      <c r="D588" t="s">
        <v>979</v>
      </c>
      <c r="E588" t="s">
        <v>85</v>
      </c>
      <c r="F588" t="s">
        <v>124</v>
      </c>
    </row>
    <row r="589" spans="1:6" x14ac:dyDescent="0.25">
      <c r="A589" t="s">
        <v>1358</v>
      </c>
      <c r="B589" t="s">
        <v>764</v>
      </c>
      <c r="C589" t="s">
        <v>758</v>
      </c>
      <c r="D589" t="s">
        <v>979</v>
      </c>
      <c r="E589" t="s">
        <v>85</v>
      </c>
      <c r="F589" t="s">
        <v>124</v>
      </c>
    </row>
    <row r="590" spans="1:6" x14ac:dyDescent="0.25">
      <c r="A590" t="s">
        <v>1359</v>
      </c>
      <c r="B590" t="s">
        <v>764</v>
      </c>
      <c r="C590" t="s">
        <v>758</v>
      </c>
      <c r="D590" t="s">
        <v>979</v>
      </c>
      <c r="E590" t="s">
        <v>85</v>
      </c>
      <c r="F590" t="s">
        <v>124</v>
      </c>
    </row>
    <row r="591" spans="1:6" x14ac:dyDescent="0.25">
      <c r="A591" t="s">
        <v>1360</v>
      </c>
      <c r="B591" t="s">
        <v>764</v>
      </c>
      <c r="C591" t="s">
        <v>758</v>
      </c>
      <c r="D591" t="s">
        <v>979</v>
      </c>
      <c r="E591" t="s">
        <v>85</v>
      </c>
      <c r="F591" t="s">
        <v>124</v>
      </c>
    </row>
    <row r="592" spans="1:6" x14ac:dyDescent="0.25">
      <c r="A592" t="s">
        <v>1361</v>
      </c>
      <c r="B592" t="s">
        <v>764</v>
      </c>
      <c r="C592" t="s">
        <v>758</v>
      </c>
      <c r="D592" t="s">
        <v>979</v>
      </c>
      <c r="E592" t="s">
        <v>85</v>
      </c>
      <c r="F592" t="s">
        <v>124</v>
      </c>
    </row>
    <row r="593" spans="1:6" x14ac:dyDescent="0.25">
      <c r="A593" t="s">
        <v>1362</v>
      </c>
      <c r="B593" t="s">
        <v>764</v>
      </c>
      <c r="C593" t="s">
        <v>758</v>
      </c>
      <c r="D593" t="s">
        <v>979</v>
      </c>
      <c r="E593" t="s">
        <v>85</v>
      </c>
      <c r="F593" t="s">
        <v>124</v>
      </c>
    </row>
    <row r="594" spans="1:6" x14ac:dyDescent="0.25">
      <c r="A594" t="s">
        <v>1363</v>
      </c>
      <c r="B594" t="s">
        <v>764</v>
      </c>
      <c r="C594" t="s">
        <v>758</v>
      </c>
      <c r="D594" t="s">
        <v>979</v>
      </c>
      <c r="E594" t="s">
        <v>85</v>
      </c>
      <c r="F594" t="s">
        <v>124</v>
      </c>
    </row>
    <row r="595" spans="1:6" x14ac:dyDescent="0.25">
      <c r="A595" t="s">
        <v>1364</v>
      </c>
      <c r="B595" t="s">
        <v>764</v>
      </c>
      <c r="C595" t="s">
        <v>758</v>
      </c>
      <c r="D595" t="s">
        <v>979</v>
      </c>
      <c r="E595" t="s">
        <v>85</v>
      </c>
      <c r="F595" t="s">
        <v>124</v>
      </c>
    </row>
    <row r="596" spans="1:6" x14ac:dyDescent="0.25">
      <c r="A596" t="s">
        <v>1365</v>
      </c>
      <c r="B596" t="s">
        <v>764</v>
      </c>
      <c r="C596" t="s">
        <v>758</v>
      </c>
      <c r="D596" t="s">
        <v>979</v>
      </c>
      <c r="E596" t="s">
        <v>85</v>
      </c>
      <c r="F596" t="s">
        <v>124</v>
      </c>
    </row>
    <row r="597" spans="1:5" x14ac:dyDescent="0.25">
      <c r="A597" t="s">
        <v>1366</v>
      </c>
      <c r="B597" t="s">
        <v>692</v>
      </c>
      <c r="E597" t="s">
        <v>1367</v>
      </c>
    </row>
    <row r="598" spans="1:6" x14ac:dyDescent="0.25">
      <c r="A598" t="s">
        <v>1368</v>
      </c>
      <c r="B598" t="s">
        <v>764</v>
      </c>
      <c r="C598" t="s">
        <v>790</v>
      </c>
      <c r="D598" t="s">
        <v>791</v>
      </c>
      <c r="E598" t="s">
        <v>598</v>
      </c>
      <c r="F598" t="s">
        <v>792</v>
      </c>
    </row>
    <row r="599" spans="1:6" x14ac:dyDescent="0.25">
      <c r="A599" t="s">
        <v>1369</v>
      </c>
      <c r="B599" t="s">
        <v>764</v>
      </c>
      <c r="C599" t="s">
        <v>758</v>
      </c>
      <c r="D599" t="s">
        <v>979</v>
      </c>
      <c r="E599" t="s">
        <v>85</v>
      </c>
      <c r="F599" t="s">
        <v>124</v>
      </c>
    </row>
    <row r="600" spans="1:6" x14ac:dyDescent="0.25">
      <c r="A600" t="s">
        <v>1370</v>
      </c>
      <c r="B600" t="s">
        <v>764</v>
      </c>
      <c r="C600" t="s">
        <v>758</v>
      </c>
      <c r="D600" t="s">
        <v>979</v>
      </c>
      <c r="E600" t="s">
        <v>85</v>
      </c>
      <c r="F600" t="s">
        <v>124</v>
      </c>
    </row>
    <row r="601" spans="1:5" x14ac:dyDescent="0.25">
      <c r="A601" t="s">
        <v>1371</v>
      </c>
      <c r="B601" t="s">
        <v>692</v>
      </c>
      <c r="E601" t="s">
        <v>135</v>
      </c>
    </row>
    <row r="602" spans="1:6" x14ac:dyDescent="0.25">
      <c r="A602" t="s">
        <v>1372</v>
      </c>
      <c r="B602" t="s">
        <v>701</v>
      </c>
      <c r="C602" t="s">
        <v>702</v>
      </c>
      <c r="D602" t="s">
        <v>134</v>
      </c>
      <c r="E602" t="s">
        <v>135</v>
      </c>
      <c r="F602" t="s">
        <v>1373</v>
      </c>
    </row>
    <row r="603" spans="1:6" x14ac:dyDescent="0.25">
      <c r="A603" t="s">
        <v>1374</v>
      </c>
      <c r="B603" t="s">
        <v>692</v>
      </c>
      <c r="E603" t="s">
        <v>135</v>
      </c>
      <c r="F603" t="s">
        <v>91</v>
      </c>
    </row>
    <row r="604" spans="1:6" x14ac:dyDescent="0.25">
      <c r="A604" t="s">
        <v>1375</v>
      </c>
      <c r="B604" t="s">
        <v>701</v>
      </c>
      <c r="C604" t="s">
        <v>746</v>
      </c>
      <c r="D604" t="s">
        <v>747</v>
      </c>
      <c r="E604" t="s">
        <v>748</v>
      </c>
      <c r="F604" t="s">
        <v>748</v>
      </c>
    </row>
    <row r="605" spans="1:6" x14ac:dyDescent="0.25">
      <c r="A605" t="s">
        <v>1376</v>
      </c>
      <c r="B605" t="s">
        <v>701</v>
      </c>
      <c r="C605" t="s">
        <v>702</v>
      </c>
      <c r="D605" t="s">
        <v>134</v>
      </c>
      <c r="E605" t="s">
        <v>135</v>
      </c>
      <c r="F605" t="s">
        <v>916</v>
      </c>
    </row>
    <row r="606" spans="1:6" x14ac:dyDescent="0.25">
      <c r="A606" t="s">
        <v>1377</v>
      </c>
      <c r="B606" t="s">
        <v>764</v>
      </c>
      <c r="C606" t="s">
        <v>758</v>
      </c>
      <c r="D606" t="s">
        <v>765</v>
      </c>
      <c r="E606" t="s">
        <v>337</v>
      </c>
      <c r="F606" t="s">
        <v>337</v>
      </c>
    </row>
    <row r="607" spans="1:6" x14ac:dyDescent="0.25">
      <c r="A607" t="s">
        <v>1378</v>
      </c>
      <c r="B607" t="s">
        <v>701</v>
      </c>
      <c r="C607" t="s">
        <v>702</v>
      </c>
      <c r="D607" t="s">
        <v>761</v>
      </c>
      <c r="E607" t="s">
        <v>389</v>
      </c>
      <c r="F607" t="s">
        <v>762</v>
      </c>
    </row>
    <row r="608" spans="1:6" x14ac:dyDescent="0.25">
      <c r="A608" t="s">
        <v>1379</v>
      </c>
      <c r="B608" t="s">
        <v>701</v>
      </c>
      <c r="C608" t="s">
        <v>702</v>
      </c>
      <c r="D608" t="s">
        <v>761</v>
      </c>
      <c r="E608" t="s">
        <v>389</v>
      </c>
      <c r="F608" t="s">
        <v>762</v>
      </c>
    </row>
    <row r="609" spans="1:6" x14ac:dyDescent="0.25">
      <c r="A609" t="s">
        <v>1380</v>
      </c>
      <c r="B609" t="s">
        <v>701</v>
      </c>
      <c r="C609" t="s">
        <v>702</v>
      </c>
      <c r="D609" t="s">
        <v>750</v>
      </c>
      <c r="E609" t="s">
        <v>539</v>
      </c>
      <c r="F609" t="s">
        <v>751</v>
      </c>
    </row>
    <row r="610" spans="1:6" x14ac:dyDescent="0.25">
      <c r="A610" t="s">
        <v>1381</v>
      </c>
      <c r="B610" t="s">
        <v>701</v>
      </c>
      <c r="C610" t="s">
        <v>702</v>
      </c>
      <c r="D610" t="s">
        <v>750</v>
      </c>
      <c r="E610" t="s">
        <v>539</v>
      </c>
      <c r="F610" t="s">
        <v>751</v>
      </c>
    </row>
    <row r="611" spans="1:6" x14ac:dyDescent="0.25">
      <c r="A611" t="s">
        <v>1382</v>
      </c>
      <c r="B611" t="s">
        <v>701</v>
      </c>
      <c r="C611" t="s">
        <v>702</v>
      </c>
      <c r="D611" t="s">
        <v>750</v>
      </c>
      <c r="E611" t="s">
        <v>539</v>
      </c>
      <c r="F611" t="s">
        <v>751</v>
      </c>
    </row>
    <row r="612" spans="1:6" x14ac:dyDescent="0.25">
      <c r="A612" t="s">
        <v>1383</v>
      </c>
      <c r="B612" t="s">
        <v>701</v>
      </c>
      <c r="C612" t="s">
        <v>702</v>
      </c>
      <c r="D612" t="s">
        <v>750</v>
      </c>
      <c r="E612" t="s">
        <v>539</v>
      </c>
      <c r="F612" t="s">
        <v>751</v>
      </c>
    </row>
    <row r="613" spans="1:6" x14ac:dyDescent="0.25">
      <c r="A613" t="s">
        <v>1384</v>
      </c>
      <c r="B613" t="s">
        <v>764</v>
      </c>
      <c r="C613" t="s">
        <v>702</v>
      </c>
      <c r="D613" t="s">
        <v>761</v>
      </c>
      <c r="E613" t="s">
        <v>327</v>
      </c>
      <c r="F613" t="s">
        <v>924</v>
      </c>
    </row>
    <row r="614" spans="1:6" x14ac:dyDescent="0.25">
      <c r="A614" t="s">
        <v>1385</v>
      </c>
      <c r="B614" t="s">
        <v>764</v>
      </c>
      <c r="C614" t="s">
        <v>702</v>
      </c>
      <c r="D614" t="s">
        <v>761</v>
      </c>
      <c r="E614" t="s">
        <v>327</v>
      </c>
      <c r="F614" t="s">
        <v>924</v>
      </c>
    </row>
    <row r="615" spans="1:6" x14ac:dyDescent="0.25">
      <c r="A615" t="s">
        <v>1386</v>
      </c>
      <c r="B615" t="s">
        <v>692</v>
      </c>
      <c r="E615" t="s">
        <v>1387</v>
      </c>
      <c r="F615" t="s">
        <v>1388</v>
      </c>
    </row>
    <row r="616" spans="1:5" x14ac:dyDescent="0.25">
      <c r="A616" t="s">
        <v>1389</v>
      </c>
      <c r="B616" t="s">
        <v>692</v>
      </c>
      <c r="E616" t="s">
        <v>981</v>
      </c>
    </row>
    <row r="617" spans="1:6" x14ac:dyDescent="0.25">
      <c r="A617" t="s">
        <v>1390</v>
      </c>
      <c r="B617" t="s">
        <v>764</v>
      </c>
      <c r="C617" t="s">
        <v>782</v>
      </c>
      <c r="D617" t="s">
        <v>836</v>
      </c>
      <c r="E617" t="s">
        <v>97</v>
      </c>
      <c r="F617" t="s">
        <v>71</v>
      </c>
    </row>
    <row r="618" spans="1:5" x14ac:dyDescent="0.25">
      <c r="A618" t="s">
        <v>1391</v>
      </c>
      <c r="B618" t="s">
        <v>692</v>
      </c>
      <c r="E618" t="s">
        <v>327</v>
      </c>
    </row>
    <row r="619" spans="1:6" x14ac:dyDescent="0.25">
      <c r="A619" t="s">
        <v>1392</v>
      </c>
      <c r="B619" t="s">
        <v>701</v>
      </c>
      <c r="C619" t="s">
        <v>702</v>
      </c>
      <c r="D619" t="s">
        <v>761</v>
      </c>
      <c r="E619" t="s">
        <v>389</v>
      </c>
      <c r="F619" t="s">
        <v>762</v>
      </c>
    </row>
    <row r="620" spans="1:5" x14ac:dyDescent="0.25">
      <c r="A620" t="s">
        <v>1392</v>
      </c>
      <c r="B620" t="s">
        <v>692</v>
      </c>
      <c r="E620" t="s">
        <v>327</v>
      </c>
    </row>
    <row r="621" spans="1:6" x14ac:dyDescent="0.25">
      <c r="A621" t="s">
        <v>1393</v>
      </c>
      <c r="B621" t="s">
        <v>701</v>
      </c>
      <c r="C621" t="s">
        <v>746</v>
      </c>
      <c r="D621" t="s">
        <v>747</v>
      </c>
      <c r="E621" t="s">
        <v>748</v>
      </c>
      <c r="F621" t="s">
        <v>748</v>
      </c>
    </row>
    <row r="622" spans="1:6" x14ac:dyDescent="0.25">
      <c r="A622" t="s">
        <v>1394</v>
      </c>
      <c r="B622" t="s">
        <v>701</v>
      </c>
      <c r="C622" t="s">
        <v>702</v>
      </c>
      <c r="D622" t="s">
        <v>134</v>
      </c>
      <c r="E622" t="s">
        <v>135</v>
      </c>
      <c r="F622" t="s">
        <v>916</v>
      </c>
    </row>
    <row r="623" spans="1:6" x14ac:dyDescent="0.25">
      <c r="A623" t="s">
        <v>1395</v>
      </c>
      <c r="B623" t="s">
        <v>692</v>
      </c>
      <c r="E623" t="s">
        <v>97</v>
      </c>
      <c r="F623" t="s">
        <v>1028</v>
      </c>
    </row>
    <row r="624" spans="1:5" x14ac:dyDescent="0.25">
      <c r="A624" t="s">
        <v>439</v>
      </c>
      <c r="B624" t="s">
        <v>692</v>
      </c>
      <c r="E624" t="s">
        <v>327</v>
      </c>
    </row>
    <row r="625" spans="1:5" x14ac:dyDescent="0.25">
      <c r="A625" t="s">
        <v>1396</v>
      </c>
      <c r="B625" t="s">
        <v>692</v>
      </c>
      <c r="E625" t="s">
        <v>327</v>
      </c>
    </row>
    <row r="626" spans="1:6" x14ac:dyDescent="0.25">
      <c r="A626" t="s">
        <v>1396</v>
      </c>
      <c r="B626" t="s">
        <v>692</v>
      </c>
      <c r="E626" t="s">
        <v>327</v>
      </c>
      <c r="F626" t="s">
        <v>1397</v>
      </c>
    </row>
    <row r="627" spans="1:6" x14ac:dyDescent="0.25">
      <c r="A627" t="s">
        <v>1398</v>
      </c>
      <c r="B627" t="s">
        <v>692</v>
      </c>
      <c r="E627" t="s">
        <v>97</v>
      </c>
      <c r="F627" t="s">
        <v>1028</v>
      </c>
    </row>
    <row r="628" spans="1:6" x14ac:dyDescent="0.25">
      <c r="A628" t="s">
        <v>1399</v>
      </c>
      <c r="B628" t="s">
        <v>692</v>
      </c>
      <c r="E628" t="s">
        <v>633</v>
      </c>
      <c r="F628" t="s">
        <v>1028</v>
      </c>
    </row>
    <row r="629" spans="1:5" x14ac:dyDescent="0.25">
      <c r="A629" t="s">
        <v>1400</v>
      </c>
      <c r="B629" t="s">
        <v>692</v>
      </c>
      <c r="E629" t="s">
        <v>327</v>
      </c>
    </row>
    <row r="630" spans="1:6" x14ac:dyDescent="0.25">
      <c r="A630" t="s">
        <v>1401</v>
      </c>
      <c r="B630" t="s">
        <v>692</v>
      </c>
      <c r="E630" t="s">
        <v>327</v>
      </c>
      <c r="F630" t="s">
        <v>1402</v>
      </c>
    </row>
    <row r="631" spans="1:6" x14ac:dyDescent="0.25">
      <c r="A631" t="s">
        <v>1403</v>
      </c>
      <c r="B631" t="s">
        <v>764</v>
      </c>
      <c r="C631" t="s">
        <v>758</v>
      </c>
      <c r="D631" t="s">
        <v>899</v>
      </c>
      <c r="E631" t="s">
        <v>265</v>
      </c>
      <c r="F631" t="s">
        <v>942</v>
      </c>
    </row>
    <row r="632" spans="1:5" x14ac:dyDescent="0.25">
      <c r="A632" t="s">
        <v>1404</v>
      </c>
      <c r="B632" t="s">
        <v>692</v>
      </c>
      <c r="E632" t="s">
        <v>1405</v>
      </c>
    </row>
    <row r="633" spans="1:6" x14ac:dyDescent="0.25">
      <c r="A633" t="s">
        <v>1406</v>
      </c>
      <c r="B633" t="s">
        <v>764</v>
      </c>
      <c r="C633" t="s">
        <v>758</v>
      </c>
      <c r="D633" t="s">
        <v>875</v>
      </c>
      <c r="E633" t="s">
        <v>173</v>
      </c>
      <c r="F633" t="s">
        <v>206</v>
      </c>
    </row>
    <row r="634" spans="1:6" x14ac:dyDescent="0.25">
      <c r="A634" t="s">
        <v>1407</v>
      </c>
      <c r="B634" t="s">
        <v>764</v>
      </c>
      <c r="C634" t="s">
        <v>758</v>
      </c>
      <c r="D634" t="s">
        <v>765</v>
      </c>
      <c r="E634" t="s">
        <v>337</v>
      </c>
      <c r="F634" t="s">
        <v>337</v>
      </c>
    </row>
    <row r="635" spans="1:6" x14ac:dyDescent="0.25">
      <c r="A635" t="s">
        <v>1408</v>
      </c>
      <c r="B635" t="s">
        <v>764</v>
      </c>
      <c r="C635" t="s">
        <v>758</v>
      </c>
      <c r="D635" t="s">
        <v>765</v>
      </c>
      <c r="E635" t="s">
        <v>337</v>
      </c>
      <c r="F635" t="s">
        <v>337</v>
      </c>
    </row>
    <row r="636" spans="1:6" x14ac:dyDescent="0.25">
      <c r="A636" t="s">
        <v>1409</v>
      </c>
      <c r="B636" t="s">
        <v>764</v>
      </c>
      <c r="C636" t="s">
        <v>758</v>
      </c>
      <c r="D636" t="s">
        <v>765</v>
      </c>
      <c r="E636" t="s">
        <v>337</v>
      </c>
      <c r="F636" t="s">
        <v>337</v>
      </c>
    </row>
    <row r="637" spans="1:6" x14ac:dyDescent="0.25">
      <c r="A637" t="s">
        <v>1410</v>
      </c>
      <c r="B637" t="s">
        <v>764</v>
      </c>
      <c r="C637" t="s">
        <v>758</v>
      </c>
      <c r="D637" t="s">
        <v>765</v>
      </c>
      <c r="E637" t="s">
        <v>337</v>
      </c>
      <c r="F637" t="s">
        <v>337</v>
      </c>
    </row>
    <row r="638" spans="1:6" x14ac:dyDescent="0.25">
      <c r="A638" t="s">
        <v>1411</v>
      </c>
      <c r="B638" t="s">
        <v>764</v>
      </c>
      <c r="C638" t="s">
        <v>758</v>
      </c>
      <c r="D638" t="s">
        <v>765</v>
      </c>
      <c r="E638" t="s">
        <v>337</v>
      </c>
      <c r="F638" t="s">
        <v>337</v>
      </c>
    </row>
    <row r="639" spans="1:6" x14ac:dyDescent="0.25">
      <c r="A639" t="s">
        <v>1412</v>
      </c>
      <c r="B639" t="s">
        <v>764</v>
      </c>
      <c r="C639" t="s">
        <v>758</v>
      </c>
      <c r="D639" t="s">
        <v>765</v>
      </c>
      <c r="E639" t="s">
        <v>337</v>
      </c>
      <c r="F639" t="s">
        <v>337</v>
      </c>
    </row>
    <row r="640" spans="1:6" x14ac:dyDescent="0.25">
      <c r="A640" t="s">
        <v>1413</v>
      </c>
      <c r="B640" t="s">
        <v>764</v>
      </c>
      <c r="C640" t="s">
        <v>758</v>
      </c>
      <c r="D640" t="s">
        <v>765</v>
      </c>
      <c r="E640" t="s">
        <v>337</v>
      </c>
      <c r="F640" t="s">
        <v>337</v>
      </c>
    </row>
    <row r="641" spans="1:6" x14ac:dyDescent="0.25">
      <c r="A641" t="s">
        <v>1414</v>
      </c>
      <c r="B641" t="s">
        <v>764</v>
      </c>
      <c r="C641" t="s">
        <v>758</v>
      </c>
      <c r="D641" t="s">
        <v>765</v>
      </c>
      <c r="E641" t="s">
        <v>337</v>
      </c>
      <c r="F641" t="s">
        <v>337</v>
      </c>
    </row>
    <row r="642" spans="1:6" x14ac:dyDescent="0.25">
      <c r="A642" t="s">
        <v>1415</v>
      </c>
      <c r="B642" t="s">
        <v>764</v>
      </c>
      <c r="C642" t="s">
        <v>758</v>
      </c>
      <c r="D642" t="s">
        <v>765</v>
      </c>
      <c r="E642" t="s">
        <v>337</v>
      </c>
      <c r="F642" t="s">
        <v>337</v>
      </c>
    </row>
    <row r="643" spans="1:6" x14ac:dyDescent="0.25">
      <c r="A643" t="s">
        <v>1416</v>
      </c>
      <c r="B643" t="s">
        <v>764</v>
      </c>
      <c r="C643" t="s">
        <v>758</v>
      </c>
      <c r="D643" t="s">
        <v>875</v>
      </c>
      <c r="E643" t="s">
        <v>173</v>
      </c>
      <c r="F643" t="s">
        <v>206</v>
      </c>
    </row>
    <row r="644" spans="1:6" x14ac:dyDescent="0.25">
      <c r="A644" t="s">
        <v>1417</v>
      </c>
      <c r="B644" t="s">
        <v>764</v>
      </c>
      <c r="C644" t="s">
        <v>758</v>
      </c>
      <c r="D644" t="s">
        <v>979</v>
      </c>
      <c r="E644" t="s">
        <v>85</v>
      </c>
      <c r="F644" t="s">
        <v>124</v>
      </c>
    </row>
    <row r="645" spans="1:6" x14ac:dyDescent="0.25">
      <c r="A645" t="s">
        <v>1418</v>
      </c>
      <c r="B645" t="s">
        <v>764</v>
      </c>
      <c r="C645" t="s">
        <v>758</v>
      </c>
      <c r="D645" t="s">
        <v>765</v>
      </c>
      <c r="E645" t="s">
        <v>337</v>
      </c>
      <c r="F645" t="s">
        <v>337</v>
      </c>
    </row>
    <row r="646" spans="1:6" x14ac:dyDescent="0.25">
      <c r="A646" t="s">
        <v>1419</v>
      </c>
      <c r="B646" t="s">
        <v>764</v>
      </c>
      <c r="C646" t="s">
        <v>758</v>
      </c>
      <c r="D646" t="s">
        <v>765</v>
      </c>
      <c r="E646" t="s">
        <v>337</v>
      </c>
      <c r="F646" t="s">
        <v>337</v>
      </c>
    </row>
    <row r="647" spans="1:6" x14ac:dyDescent="0.25">
      <c r="A647" t="s">
        <v>1420</v>
      </c>
      <c r="B647" t="s">
        <v>701</v>
      </c>
      <c r="C647" t="s">
        <v>746</v>
      </c>
      <c r="D647" t="s">
        <v>747</v>
      </c>
      <c r="E647" t="s">
        <v>748</v>
      </c>
      <c r="F647" t="s">
        <v>748</v>
      </c>
    </row>
    <row r="648" spans="1:5" x14ac:dyDescent="0.25">
      <c r="A648" t="s">
        <v>1421</v>
      </c>
      <c r="B648" t="s">
        <v>692</v>
      </c>
      <c r="E648" t="s">
        <v>394</v>
      </c>
    </row>
    <row r="649" spans="1:6" x14ac:dyDescent="0.25">
      <c r="A649" t="s">
        <v>1422</v>
      </c>
      <c r="B649" t="s">
        <v>764</v>
      </c>
      <c r="C649" t="s">
        <v>702</v>
      </c>
      <c r="D649" t="s">
        <v>134</v>
      </c>
      <c r="E649" t="s">
        <v>135</v>
      </c>
      <c r="F649" t="s">
        <v>134</v>
      </c>
    </row>
    <row r="650" spans="1:6" x14ac:dyDescent="0.25">
      <c r="A650" t="s">
        <v>1423</v>
      </c>
      <c r="B650" t="s">
        <v>764</v>
      </c>
      <c r="C650" t="s">
        <v>702</v>
      </c>
      <c r="D650" t="s">
        <v>134</v>
      </c>
      <c r="E650" t="s">
        <v>135</v>
      </c>
      <c r="F650" t="s">
        <v>134</v>
      </c>
    </row>
    <row r="651" spans="1:6" x14ac:dyDescent="0.25">
      <c r="A651" t="s">
        <v>1424</v>
      </c>
      <c r="B651" t="s">
        <v>701</v>
      </c>
      <c r="C651" t="s">
        <v>702</v>
      </c>
      <c r="D651" t="s">
        <v>134</v>
      </c>
      <c r="E651" t="s">
        <v>135</v>
      </c>
      <c r="F651" t="s">
        <v>926</v>
      </c>
    </row>
    <row r="652" spans="1:6" x14ac:dyDescent="0.25">
      <c r="A652" t="s">
        <v>1425</v>
      </c>
      <c r="B652" t="s">
        <v>764</v>
      </c>
      <c r="C652" t="s">
        <v>702</v>
      </c>
      <c r="D652" t="s">
        <v>786</v>
      </c>
      <c r="E652" t="s">
        <v>787</v>
      </c>
      <c r="F652" t="s">
        <v>788</v>
      </c>
    </row>
    <row r="653" spans="1:6" x14ac:dyDescent="0.25">
      <c r="A653" t="s">
        <v>1426</v>
      </c>
      <c r="B653" t="s">
        <v>764</v>
      </c>
      <c r="C653" t="s">
        <v>702</v>
      </c>
      <c r="D653" t="s">
        <v>786</v>
      </c>
      <c r="E653" t="s">
        <v>787</v>
      </c>
      <c r="F653" t="s">
        <v>788</v>
      </c>
    </row>
    <row r="654" spans="1:6" x14ac:dyDescent="0.25">
      <c r="A654" t="s">
        <v>1427</v>
      </c>
      <c r="B654" t="s">
        <v>701</v>
      </c>
      <c r="C654" t="s">
        <v>702</v>
      </c>
      <c r="D654" t="s">
        <v>134</v>
      </c>
      <c r="E654" t="s">
        <v>135</v>
      </c>
      <c r="F654" t="s">
        <v>703</v>
      </c>
    </row>
    <row r="655" spans="1:6" x14ac:dyDescent="0.25">
      <c r="A655" t="s">
        <v>1428</v>
      </c>
      <c r="B655" t="s">
        <v>764</v>
      </c>
      <c r="C655" t="s">
        <v>702</v>
      </c>
      <c r="D655" t="s">
        <v>134</v>
      </c>
      <c r="E655" t="s">
        <v>135</v>
      </c>
      <c r="F655" t="s">
        <v>134</v>
      </c>
    </row>
    <row r="656" spans="1:6" x14ac:dyDescent="0.25">
      <c r="A656" t="s">
        <v>1429</v>
      </c>
      <c r="B656" t="s">
        <v>764</v>
      </c>
      <c r="C656" t="s">
        <v>702</v>
      </c>
      <c r="D656" t="s">
        <v>134</v>
      </c>
      <c r="E656" t="s">
        <v>135</v>
      </c>
      <c r="F656" t="s">
        <v>134</v>
      </c>
    </row>
    <row r="657" spans="1:6" x14ac:dyDescent="0.25">
      <c r="A657" t="s">
        <v>1430</v>
      </c>
      <c r="B657" t="s">
        <v>764</v>
      </c>
      <c r="C657" t="s">
        <v>702</v>
      </c>
      <c r="D657" t="s">
        <v>134</v>
      </c>
      <c r="E657" t="s">
        <v>135</v>
      </c>
      <c r="F657" t="s">
        <v>134</v>
      </c>
    </row>
    <row r="658" spans="1:6" x14ac:dyDescent="0.25">
      <c r="A658" t="s">
        <v>1431</v>
      </c>
      <c r="B658" t="s">
        <v>764</v>
      </c>
      <c r="C658" t="s">
        <v>702</v>
      </c>
      <c r="D658" t="s">
        <v>134</v>
      </c>
      <c r="E658" t="s">
        <v>135</v>
      </c>
      <c r="F658" t="s">
        <v>134</v>
      </c>
    </row>
    <row r="659" spans="1:6" x14ac:dyDescent="0.25">
      <c r="A659" t="s">
        <v>1432</v>
      </c>
      <c r="B659" t="s">
        <v>764</v>
      </c>
      <c r="C659" t="s">
        <v>702</v>
      </c>
      <c r="D659" t="s">
        <v>134</v>
      </c>
      <c r="E659" t="s">
        <v>135</v>
      </c>
      <c r="F659" t="s">
        <v>134</v>
      </c>
    </row>
    <row r="660" spans="1:6" x14ac:dyDescent="0.25">
      <c r="A660" t="s">
        <v>1433</v>
      </c>
      <c r="B660" t="s">
        <v>695</v>
      </c>
      <c r="C660" t="s">
        <v>706</v>
      </c>
      <c r="D660" t="s">
        <v>753</v>
      </c>
      <c r="E660" t="s">
        <v>360</v>
      </c>
      <c r="F660" t="s">
        <v>1434</v>
      </c>
    </row>
    <row r="661" spans="1:6" x14ac:dyDescent="0.25">
      <c r="A661" t="s">
        <v>1435</v>
      </c>
      <c r="B661" t="s">
        <v>692</v>
      </c>
      <c r="E661" t="s">
        <v>90</v>
      </c>
      <c r="F661" t="s">
        <v>91</v>
      </c>
    </row>
    <row r="662" spans="1:6" x14ac:dyDescent="0.25">
      <c r="A662" t="s">
        <v>1436</v>
      </c>
      <c r="B662" t="s">
        <v>701</v>
      </c>
      <c r="C662" t="s">
        <v>702</v>
      </c>
      <c r="D662" t="s">
        <v>750</v>
      </c>
      <c r="E662" t="s">
        <v>539</v>
      </c>
      <c r="F662" t="s">
        <v>751</v>
      </c>
    </row>
    <row r="663" spans="1:6" x14ac:dyDescent="0.25">
      <c r="A663" t="s">
        <v>1437</v>
      </c>
      <c r="B663" t="s">
        <v>701</v>
      </c>
      <c r="C663" t="s">
        <v>702</v>
      </c>
      <c r="D663" t="s">
        <v>750</v>
      </c>
      <c r="E663" t="s">
        <v>539</v>
      </c>
      <c r="F663" t="s">
        <v>751</v>
      </c>
    </row>
    <row r="664" spans="1:6" x14ac:dyDescent="0.25">
      <c r="A664" t="s">
        <v>1438</v>
      </c>
      <c r="B664" t="s">
        <v>701</v>
      </c>
      <c r="C664" t="s">
        <v>702</v>
      </c>
      <c r="D664" t="s">
        <v>750</v>
      </c>
      <c r="E664" t="s">
        <v>539</v>
      </c>
      <c r="F664" t="s">
        <v>751</v>
      </c>
    </row>
    <row r="665" spans="1:6" x14ac:dyDescent="0.25">
      <c r="A665" t="s">
        <v>1439</v>
      </c>
      <c r="B665" t="s">
        <v>701</v>
      </c>
      <c r="C665" t="s">
        <v>702</v>
      </c>
      <c r="D665" t="s">
        <v>750</v>
      </c>
      <c r="E665" t="s">
        <v>539</v>
      </c>
      <c r="F665" t="s">
        <v>751</v>
      </c>
    </row>
    <row r="666" spans="1:6" x14ac:dyDescent="0.25">
      <c r="A666" t="s">
        <v>1440</v>
      </c>
      <c r="B666" t="s">
        <v>764</v>
      </c>
      <c r="C666" t="s">
        <v>758</v>
      </c>
      <c r="D666" t="s">
        <v>979</v>
      </c>
      <c r="E666" t="s">
        <v>85</v>
      </c>
      <c r="F666" t="s">
        <v>124</v>
      </c>
    </row>
    <row r="667" spans="1:6" x14ac:dyDescent="0.25">
      <c r="A667" t="s">
        <v>1441</v>
      </c>
      <c r="B667" t="s">
        <v>764</v>
      </c>
      <c r="C667" t="s">
        <v>758</v>
      </c>
      <c r="D667" t="s">
        <v>979</v>
      </c>
      <c r="E667" t="s">
        <v>85</v>
      </c>
      <c r="F667" t="s">
        <v>124</v>
      </c>
    </row>
    <row r="668" spans="1:6" x14ac:dyDescent="0.25">
      <c r="A668" t="s">
        <v>1442</v>
      </c>
      <c r="B668" t="s">
        <v>764</v>
      </c>
      <c r="C668" t="s">
        <v>702</v>
      </c>
      <c r="D668" t="s">
        <v>134</v>
      </c>
      <c r="E668" t="s">
        <v>135</v>
      </c>
      <c r="F668" t="s">
        <v>134</v>
      </c>
    </row>
    <row r="669" spans="1:6" x14ac:dyDescent="0.25">
      <c r="A669" t="s">
        <v>1442</v>
      </c>
      <c r="B669" t="s">
        <v>701</v>
      </c>
      <c r="C669" t="s">
        <v>702</v>
      </c>
      <c r="D669" t="s">
        <v>134</v>
      </c>
      <c r="E669" t="s">
        <v>135</v>
      </c>
      <c r="F669" t="s">
        <v>916</v>
      </c>
    </row>
    <row r="670" spans="1:5" x14ac:dyDescent="0.25">
      <c r="A670" t="s">
        <v>1443</v>
      </c>
      <c r="B670" t="s">
        <v>692</v>
      </c>
      <c r="E670" t="s">
        <v>814</v>
      </c>
    </row>
    <row r="671" spans="1:6" x14ac:dyDescent="0.25">
      <c r="A671" t="s">
        <v>1444</v>
      </c>
      <c r="B671" t="s">
        <v>764</v>
      </c>
      <c r="C671" t="s">
        <v>706</v>
      </c>
      <c r="D671" t="s">
        <v>1043</v>
      </c>
      <c r="E671" t="s">
        <v>1044</v>
      </c>
      <c r="F671" t="s">
        <v>1045</v>
      </c>
    </row>
    <row r="672" spans="1:6" x14ac:dyDescent="0.25">
      <c r="A672" t="s">
        <v>1445</v>
      </c>
      <c r="B672" t="s">
        <v>692</v>
      </c>
      <c r="E672" t="s">
        <v>97</v>
      </c>
      <c r="F672" t="s">
        <v>1446</v>
      </c>
    </row>
    <row r="673" spans="1:6" x14ac:dyDescent="0.25">
      <c r="A673" t="s">
        <v>1447</v>
      </c>
      <c r="B673" t="s">
        <v>764</v>
      </c>
      <c r="C673" t="s">
        <v>702</v>
      </c>
      <c r="D673" t="s">
        <v>761</v>
      </c>
      <c r="E673" t="s">
        <v>327</v>
      </c>
      <c r="F673" t="s">
        <v>924</v>
      </c>
    </row>
    <row r="674" spans="1:5" x14ac:dyDescent="0.25">
      <c r="A674" t="s">
        <v>1448</v>
      </c>
      <c r="B674" t="s">
        <v>692</v>
      </c>
      <c r="E674" t="s">
        <v>254</v>
      </c>
    </row>
    <row r="675" spans="1:6" x14ac:dyDescent="0.25">
      <c r="A675" t="s">
        <v>1449</v>
      </c>
      <c r="B675" t="s">
        <v>764</v>
      </c>
      <c r="C675" t="s">
        <v>782</v>
      </c>
      <c r="D675" t="s">
        <v>836</v>
      </c>
      <c r="E675" t="s">
        <v>97</v>
      </c>
      <c r="F675" t="s">
        <v>71</v>
      </c>
    </row>
    <row r="676" spans="1:6" x14ac:dyDescent="0.25">
      <c r="A676" t="s">
        <v>1450</v>
      </c>
      <c r="B676" t="s">
        <v>764</v>
      </c>
      <c r="C676" t="s">
        <v>782</v>
      </c>
      <c r="D676" t="s">
        <v>836</v>
      </c>
      <c r="E676" t="s">
        <v>97</v>
      </c>
      <c r="F676" t="s">
        <v>71</v>
      </c>
    </row>
    <row r="677" spans="1:6" x14ac:dyDescent="0.25">
      <c r="A677" t="s">
        <v>1451</v>
      </c>
      <c r="B677" t="s">
        <v>764</v>
      </c>
      <c r="C677" t="s">
        <v>782</v>
      </c>
      <c r="D677" t="s">
        <v>849</v>
      </c>
      <c r="E677" t="s">
        <v>850</v>
      </c>
      <c r="F677" t="s">
        <v>851</v>
      </c>
    </row>
    <row r="678" spans="1:6" x14ac:dyDescent="0.25">
      <c r="A678" t="s">
        <v>1452</v>
      </c>
      <c r="B678" t="s">
        <v>764</v>
      </c>
      <c r="C678" t="s">
        <v>702</v>
      </c>
      <c r="D678" t="s">
        <v>962</v>
      </c>
      <c r="E678" t="s">
        <v>103</v>
      </c>
      <c r="F678" t="s">
        <v>103</v>
      </c>
    </row>
    <row r="679" spans="1:6" x14ac:dyDescent="0.25">
      <c r="A679" t="s">
        <v>1453</v>
      </c>
      <c r="B679" t="s">
        <v>764</v>
      </c>
      <c r="C679" t="s">
        <v>790</v>
      </c>
      <c r="D679" t="s">
        <v>791</v>
      </c>
      <c r="E679" t="s">
        <v>598</v>
      </c>
      <c r="F679" t="s">
        <v>792</v>
      </c>
    </row>
    <row r="680" spans="1:6" x14ac:dyDescent="0.25">
      <c r="A680" t="s">
        <v>1453</v>
      </c>
      <c r="B680" t="s">
        <v>701</v>
      </c>
      <c r="C680" t="s">
        <v>790</v>
      </c>
      <c r="D680" t="s">
        <v>791</v>
      </c>
      <c r="E680" t="s">
        <v>598</v>
      </c>
      <c r="F680" t="s">
        <v>793</v>
      </c>
    </row>
    <row r="681" spans="1:6" x14ac:dyDescent="0.25">
      <c r="A681" t="s">
        <v>1454</v>
      </c>
      <c r="B681" t="s">
        <v>764</v>
      </c>
      <c r="C681" t="s">
        <v>702</v>
      </c>
      <c r="D681" t="s">
        <v>786</v>
      </c>
      <c r="E681" t="s">
        <v>787</v>
      </c>
      <c r="F681" t="s">
        <v>788</v>
      </c>
    </row>
    <row r="682" spans="1:6" x14ac:dyDescent="0.25">
      <c r="A682" t="s">
        <v>1455</v>
      </c>
      <c r="B682" t="s">
        <v>764</v>
      </c>
      <c r="C682" t="s">
        <v>702</v>
      </c>
      <c r="D682" t="s">
        <v>786</v>
      </c>
      <c r="E682" t="s">
        <v>787</v>
      </c>
      <c r="F682" t="s">
        <v>788</v>
      </c>
    </row>
    <row r="683" spans="1:6" x14ac:dyDescent="0.25">
      <c r="A683" t="s">
        <v>1456</v>
      </c>
      <c r="B683" t="s">
        <v>764</v>
      </c>
      <c r="C683" t="s">
        <v>702</v>
      </c>
      <c r="D683" t="s">
        <v>962</v>
      </c>
      <c r="E683" t="s">
        <v>103</v>
      </c>
      <c r="F683" t="s">
        <v>103</v>
      </c>
    </row>
    <row r="684" spans="1:6" x14ac:dyDescent="0.25">
      <c r="A684" t="s">
        <v>1457</v>
      </c>
      <c r="B684" t="s">
        <v>764</v>
      </c>
      <c r="C684" t="s">
        <v>758</v>
      </c>
      <c r="D684" t="s">
        <v>765</v>
      </c>
      <c r="E684" t="s">
        <v>337</v>
      </c>
      <c r="F684" t="s">
        <v>337</v>
      </c>
    </row>
    <row r="685" spans="1:6" x14ac:dyDescent="0.25">
      <c r="A685" t="s">
        <v>1458</v>
      </c>
      <c r="B685" t="s">
        <v>701</v>
      </c>
      <c r="C685" t="s">
        <v>702</v>
      </c>
      <c r="D685" t="s">
        <v>750</v>
      </c>
      <c r="E685" t="s">
        <v>539</v>
      </c>
      <c r="F685" t="s">
        <v>751</v>
      </c>
    </row>
    <row r="686" spans="1:6" x14ac:dyDescent="0.25">
      <c r="A686" t="s">
        <v>1459</v>
      </c>
      <c r="B686" t="s">
        <v>764</v>
      </c>
      <c r="C686" t="s">
        <v>702</v>
      </c>
      <c r="D686" t="s">
        <v>761</v>
      </c>
      <c r="E686" t="s">
        <v>327</v>
      </c>
      <c r="F686" t="s">
        <v>924</v>
      </c>
    </row>
    <row r="687" spans="1:6" x14ac:dyDescent="0.25">
      <c r="A687" t="s">
        <v>1460</v>
      </c>
      <c r="B687" t="s">
        <v>764</v>
      </c>
      <c r="C687" t="s">
        <v>702</v>
      </c>
      <c r="D687" t="s">
        <v>761</v>
      </c>
      <c r="E687" t="s">
        <v>327</v>
      </c>
      <c r="F687" t="s">
        <v>924</v>
      </c>
    </row>
    <row r="688" spans="1:6" x14ac:dyDescent="0.25">
      <c r="A688" t="s">
        <v>1461</v>
      </c>
      <c r="B688" t="s">
        <v>701</v>
      </c>
      <c r="C688" t="s">
        <v>746</v>
      </c>
      <c r="D688" t="s">
        <v>747</v>
      </c>
      <c r="E688" t="s">
        <v>748</v>
      </c>
      <c r="F688" t="s">
        <v>748</v>
      </c>
    </row>
    <row r="689" spans="1:5" x14ac:dyDescent="0.25">
      <c r="A689" t="s">
        <v>1462</v>
      </c>
      <c r="B689" t="s">
        <v>692</v>
      </c>
      <c r="E689" t="s">
        <v>394</v>
      </c>
    </row>
    <row r="690" spans="1:6" x14ac:dyDescent="0.25">
      <c r="A690" t="s">
        <v>1463</v>
      </c>
      <c r="B690" t="s">
        <v>692</v>
      </c>
      <c r="E690" t="s">
        <v>394</v>
      </c>
      <c r="F690" t="s">
        <v>73</v>
      </c>
    </row>
    <row r="691" spans="1:6" x14ac:dyDescent="0.25">
      <c r="A691" t="s">
        <v>1464</v>
      </c>
      <c r="B691" t="s">
        <v>701</v>
      </c>
      <c r="C691" t="s">
        <v>702</v>
      </c>
      <c r="D691" t="s">
        <v>750</v>
      </c>
      <c r="E691" t="s">
        <v>539</v>
      </c>
      <c r="F691" t="s">
        <v>751</v>
      </c>
    </row>
    <row r="692" spans="1:6" x14ac:dyDescent="0.25">
      <c r="A692" t="s">
        <v>1465</v>
      </c>
      <c r="B692" t="s">
        <v>764</v>
      </c>
      <c r="C692" t="s">
        <v>790</v>
      </c>
      <c r="D692" t="s">
        <v>791</v>
      </c>
      <c r="E692" t="s">
        <v>805</v>
      </c>
      <c r="F692" t="s">
        <v>806</v>
      </c>
    </row>
    <row r="693" spans="1:6" x14ac:dyDescent="0.25">
      <c r="A693" t="s">
        <v>1466</v>
      </c>
      <c r="B693" t="s">
        <v>764</v>
      </c>
      <c r="C693" t="s">
        <v>790</v>
      </c>
      <c r="D693" t="s">
        <v>791</v>
      </c>
      <c r="E693" t="s">
        <v>805</v>
      </c>
      <c r="F693" t="s">
        <v>806</v>
      </c>
    </row>
    <row r="694" spans="1:6" x14ac:dyDescent="0.25">
      <c r="A694" t="s">
        <v>1467</v>
      </c>
      <c r="B694" t="s">
        <v>764</v>
      </c>
      <c r="C694" t="s">
        <v>790</v>
      </c>
      <c r="D694" t="s">
        <v>791</v>
      </c>
      <c r="E694" t="s">
        <v>805</v>
      </c>
      <c r="F694" t="s">
        <v>806</v>
      </c>
    </row>
    <row r="695" spans="1:6" x14ac:dyDescent="0.25">
      <c r="A695" t="s">
        <v>1468</v>
      </c>
      <c r="B695" t="s">
        <v>764</v>
      </c>
      <c r="C695" t="s">
        <v>790</v>
      </c>
      <c r="D695" t="s">
        <v>791</v>
      </c>
      <c r="E695" t="s">
        <v>805</v>
      </c>
      <c r="F695" t="s">
        <v>806</v>
      </c>
    </row>
    <row r="696" spans="1:6" x14ac:dyDescent="0.25">
      <c r="A696" t="s">
        <v>1469</v>
      </c>
      <c r="B696" t="s">
        <v>764</v>
      </c>
      <c r="C696" t="s">
        <v>782</v>
      </c>
      <c r="D696" t="s">
        <v>849</v>
      </c>
      <c r="E696" t="s">
        <v>850</v>
      </c>
      <c r="F696" t="s">
        <v>851</v>
      </c>
    </row>
    <row r="697" spans="1:6" x14ac:dyDescent="0.25">
      <c r="A697" t="s">
        <v>1470</v>
      </c>
      <c r="B697" t="s">
        <v>764</v>
      </c>
      <c r="C697" t="s">
        <v>782</v>
      </c>
      <c r="D697" t="s">
        <v>849</v>
      </c>
      <c r="E697" t="s">
        <v>850</v>
      </c>
      <c r="F697" t="s">
        <v>851</v>
      </c>
    </row>
    <row r="698" spans="1:6" x14ac:dyDescent="0.25">
      <c r="A698" t="s">
        <v>1471</v>
      </c>
      <c r="B698" t="s">
        <v>764</v>
      </c>
      <c r="C698" t="s">
        <v>782</v>
      </c>
      <c r="D698" t="s">
        <v>849</v>
      </c>
      <c r="E698" t="s">
        <v>850</v>
      </c>
      <c r="F698" t="s">
        <v>851</v>
      </c>
    </row>
    <row r="699" spans="1:6" x14ac:dyDescent="0.25">
      <c r="A699" t="s">
        <v>1472</v>
      </c>
      <c r="B699" t="s">
        <v>764</v>
      </c>
      <c r="C699" t="s">
        <v>782</v>
      </c>
      <c r="D699" t="s">
        <v>849</v>
      </c>
      <c r="E699" t="s">
        <v>850</v>
      </c>
      <c r="F699" t="s">
        <v>851</v>
      </c>
    </row>
    <row r="700" spans="1:6" x14ac:dyDescent="0.25">
      <c r="A700" t="s">
        <v>1473</v>
      </c>
      <c r="B700" t="s">
        <v>764</v>
      </c>
      <c r="C700" t="s">
        <v>782</v>
      </c>
      <c r="D700" t="s">
        <v>849</v>
      </c>
      <c r="E700" t="s">
        <v>850</v>
      </c>
      <c r="F700" t="s">
        <v>851</v>
      </c>
    </row>
    <row r="701" spans="1:6" x14ac:dyDescent="0.25">
      <c r="A701" t="s">
        <v>1474</v>
      </c>
      <c r="B701" t="s">
        <v>764</v>
      </c>
      <c r="C701" t="s">
        <v>782</v>
      </c>
      <c r="D701" t="s">
        <v>849</v>
      </c>
      <c r="E701" t="s">
        <v>850</v>
      </c>
      <c r="F701" t="s">
        <v>851</v>
      </c>
    </row>
    <row r="702" spans="1:6" x14ac:dyDescent="0.25">
      <c r="A702" t="s">
        <v>1475</v>
      </c>
      <c r="B702" t="s">
        <v>764</v>
      </c>
      <c r="C702" t="s">
        <v>782</v>
      </c>
      <c r="D702" t="s">
        <v>849</v>
      </c>
      <c r="E702" t="s">
        <v>850</v>
      </c>
      <c r="F702" t="s">
        <v>851</v>
      </c>
    </row>
    <row r="703" spans="1:6" x14ac:dyDescent="0.25">
      <c r="A703" t="s">
        <v>1476</v>
      </c>
      <c r="B703" t="s">
        <v>764</v>
      </c>
      <c r="C703" t="s">
        <v>782</v>
      </c>
      <c r="D703" t="s">
        <v>849</v>
      </c>
      <c r="E703" t="s">
        <v>850</v>
      </c>
      <c r="F703" t="s">
        <v>851</v>
      </c>
    </row>
    <row r="704" spans="1:6" x14ac:dyDescent="0.25">
      <c r="A704" t="s">
        <v>1477</v>
      </c>
      <c r="B704" t="s">
        <v>764</v>
      </c>
      <c r="C704" t="s">
        <v>702</v>
      </c>
      <c r="D704" t="s">
        <v>962</v>
      </c>
      <c r="E704" t="s">
        <v>103</v>
      </c>
      <c r="F704" t="s">
        <v>103</v>
      </c>
    </row>
    <row r="705" spans="1:6" x14ac:dyDescent="0.25">
      <c r="A705" t="s">
        <v>1478</v>
      </c>
      <c r="B705" t="s">
        <v>764</v>
      </c>
      <c r="C705" t="s">
        <v>702</v>
      </c>
      <c r="D705" t="s">
        <v>962</v>
      </c>
      <c r="E705" t="s">
        <v>103</v>
      </c>
      <c r="F705" t="s">
        <v>103</v>
      </c>
    </row>
    <row r="706" spans="1:6" x14ac:dyDescent="0.25">
      <c r="A706" t="s">
        <v>1479</v>
      </c>
      <c r="B706" t="s">
        <v>701</v>
      </c>
      <c r="C706" t="s">
        <v>758</v>
      </c>
      <c r="D706" t="s">
        <v>759</v>
      </c>
      <c r="E706" t="s">
        <v>246</v>
      </c>
      <c r="F706" t="s">
        <v>246</v>
      </c>
    </row>
    <row r="707" spans="1:6" x14ac:dyDescent="0.25">
      <c r="A707" t="s">
        <v>1480</v>
      </c>
      <c r="B707" t="s">
        <v>701</v>
      </c>
      <c r="C707" t="s">
        <v>758</v>
      </c>
      <c r="D707" t="s">
        <v>759</v>
      </c>
      <c r="E707" t="s">
        <v>246</v>
      </c>
      <c r="F707" t="s">
        <v>246</v>
      </c>
    </row>
    <row r="708" spans="1:6" x14ac:dyDescent="0.25">
      <c r="A708" t="s">
        <v>1481</v>
      </c>
      <c r="B708" t="s">
        <v>692</v>
      </c>
      <c r="E708" t="s">
        <v>129</v>
      </c>
      <c r="F708" t="s">
        <v>130</v>
      </c>
    </row>
    <row r="709" spans="1:5" x14ac:dyDescent="0.25">
      <c r="A709" t="s">
        <v>1482</v>
      </c>
      <c r="B709" t="s">
        <v>692</v>
      </c>
      <c r="E709" t="s">
        <v>254</v>
      </c>
    </row>
    <row r="710" spans="1:6" x14ac:dyDescent="0.25">
      <c r="A710" t="s">
        <v>1483</v>
      </c>
      <c r="B710" t="s">
        <v>701</v>
      </c>
      <c r="C710" t="s">
        <v>702</v>
      </c>
      <c r="D710" t="s">
        <v>750</v>
      </c>
      <c r="E710" t="s">
        <v>539</v>
      </c>
      <c r="F710" t="s">
        <v>751</v>
      </c>
    </row>
    <row r="711" spans="1:5" x14ac:dyDescent="0.25">
      <c r="A711" t="s">
        <v>1484</v>
      </c>
      <c r="B711" t="s">
        <v>692</v>
      </c>
      <c r="E711" t="s">
        <v>135</v>
      </c>
    </row>
    <row r="712" spans="1:6" x14ac:dyDescent="0.25">
      <c r="A712" t="s">
        <v>1485</v>
      </c>
      <c r="B712" t="s">
        <v>701</v>
      </c>
      <c r="C712" t="s">
        <v>702</v>
      </c>
      <c r="D712" t="s">
        <v>750</v>
      </c>
      <c r="E712" t="s">
        <v>1111</v>
      </c>
      <c r="F712" t="s">
        <v>1112</v>
      </c>
    </row>
    <row r="713" spans="1:6" x14ac:dyDescent="0.25">
      <c r="A713" t="s">
        <v>1486</v>
      </c>
      <c r="B713" t="s">
        <v>701</v>
      </c>
      <c r="C713" t="s">
        <v>702</v>
      </c>
      <c r="D713" t="s">
        <v>134</v>
      </c>
      <c r="E713" t="s">
        <v>135</v>
      </c>
      <c r="F713" t="s">
        <v>916</v>
      </c>
    </row>
    <row r="714" spans="1:6" x14ac:dyDescent="0.25">
      <c r="A714" t="s">
        <v>1487</v>
      </c>
      <c r="B714" t="s">
        <v>701</v>
      </c>
      <c r="C714" t="s">
        <v>702</v>
      </c>
      <c r="D714" t="s">
        <v>134</v>
      </c>
      <c r="E714" t="s">
        <v>135</v>
      </c>
      <c r="F714" t="s">
        <v>916</v>
      </c>
    </row>
    <row r="715" spans="1:6" x14ac:dyDescent="0.25">
      <c r="A715" t="s">
        <v>1488</v>
      </c>
      <c r="B715" t="s">
        <v>701</v>
      </c>
      <c r="C715" t="s">
        <v>702</v>
      </c>
      <c r="D715" t="s">
        <v>134</v>
      </c>
      <c r="E715" t="s">
        <v>135</v>
      </c>
      <c r="F715" t="s">
        <v>916</v>
      </c>
    </row>
    <row r="716" spans="1:6" x14ac:dyDescent="0.25">
      <c r="A716" t="s">
        <v>1489</v>
      </c>
      <c r="B716" t="s">
        <v>764</v>
      </c>
      <c r="C716" t="s">
        <v>702</v>
      </c>
      <c r="D716" t="s">
        <v>134</v>
      </c>
      <c r="E716" t="s">
        <v>135</v>
      </c>
      <c r="F716" t="s">
        <v>134</v>
      </c>
    </row>
    <row r="717" spans="1:6" x14ac:dyDescent="0.25">
      <c r="A717" t="s">
        <v>1490</v>
      </c>
      <c r="B717" t="s">
        <v>764</v>
      </c>
      <c r="C717" t="s">
        <v>790</v>
      </c>
      <c r="D717" t="s">
        <v>791</v>
      </c>
      <c r="E717" t="s">
        <v>805</v>
      </c>
      <c r="F717" t="s">
        <v>806</v>
      </c>
    </row>
    <row r="718" spans="1:6" x14ac:dyDescent="0.25">
      <c r="A718" t="s">
        <v>1490</v>
      </c>
      <c r="B718" t="s">
        <v>701</v>
      </c>
      <c r="C718" t="s">
        <v>790</v>
      </c>
      <c r="D718" t="s">
        <v>791</v>
      </c>
      <c r="E718" t="s">
        <v>805</v>
      </c>
      <c r="F718" t="s">
        <v>806</v>
      </c>
    </row>
    <row r="719" spans="1:6" x14ac:dyDescent="0.25">
      <c r="A719" t="s">
        <v>1491</v>
      </c>
      <c r="B719" t="s">
        <v>701</v>
      </c>
      <c r="C719" t="s">
        <v>702</v>
      </c>
      <c r="D719" t="s">
        <v>750</v>
      </c>
      <c r="E719" t="s">
        <v>1111</v>
      </c>
      <c r="F719" t="s">
        <v>1112</v>
      </c>
    </row>
    <row r="720" spans="1:5" x14ac:dyDescent="0.25">
      <c r="A720" t="s">
        <v>1492</v>
      </c>
      <c r="B720" t="s">
        <v>692</v>
      </c>
      <c r="E720" t="s">
        <v>97</v>
      </c>
    </row>
    <row r="721" spans="1:6" x14ac:dyDescent="0.25">
      <c r="A721" t="s">
        <v>1493</v>
      </c>
      <c r="B721" t="s">
        <v>764</v>
      </c>
      <c r="C721" t="s">
        <v>758</v>
      </c>
      <c r="D721" t="s">
        <v>979</v>
      </c>
      <c r="E721" t="s">
        <v>85</v>
      </c>
      <c r="F721" t="s">
        <v>124</v>
      </c>
    </row>
    <row r="722" spans="1:5" x14ac:dyDescent="0.25">
      <c r="A722" t="s">
        <v>1494</v>
      </c>
      <c r="B722" t="s">
        <v>692</v>
      </c>
      <c r="E722" t="s">
        <v>90</v>
      </c>
    </row>
    <row r="723" spans="1:6" x14ac:dyDescent="0.25">
      <c r="A723" t="s">
        <v>1495</v>
      </c>
      <c r="B723" t="s">
        <v>764</v>
      </c>
      <c r="C723" t="s">
        <v>758</v>
      </c>
      <c r="D723" t="s">
        <v>979</v>
      </c>
      <c r="E723" t="s">
        <v>85</v>
      </c>
      <c r="F723" t="s">
        <v>124</v>
      </c>
    </row>
    <row r="724" spans="1:6" x14ac:dyDescent="0.25">
      <c r="A724" t="s">
        <v>1496</v>
      </c>
      <c r="B724" t="s">
        <v>701</v>
      </c>
      <c r="C724" t="s">
        <v>790</v>
      </c>
      <c r="D724" t="s">
        <v>791</v>
      </c>
      <c r="E724" t="s">
        <v>598</v>
      </c>
      <c r="F724" t="s">
        <v>793</v>
      </c>
    </row>
    <row r="725" spans="1:6" x14ac:dyDescent="0.25">
      <c r="A725" t="s">
        <v>1497</v>
      </c>
      <c r="B725" t="s">
        <v>692</v>
      </c>
      <c r="E725" t="s">
        <v>135</v>
      </c>
      <c r="F725" t="s">
        <v>91</v>
      </c>
    </row>
    <row r="726" spans="1:6" x14ac:dyDescent="0.25">
      <c r="A726" t="s">
        <v>1498</v>
      </c>
      <c r="B726" t="s">
        <v>764</v>
      </c>
      <c r="C726" t="s">
        <v>790</v>
      </c>
      <c r="D726" t="s">
        <v>791</v>
      </c>
      <c r="E726" t="s">
        <v>598</v>
      </c>
      <c r="F726" t="s">
        <v>792</v>
      </c>
    </row>
    <row r="727" spans="1:6" x14ac:dyDescent="0.25">
      <c r="A727" t="s">
        <v>1498</v>
      </c>
      <c r="B727" t="s">
        <v>701</v>
      </c>
      <c r="C727" t="s">
        <v>790</v>
      </c>
      <c r="D727" t="s">
        <v>791</v>
      </c>
      <c r="E727" t="s">
        <v>598</v>
      </c>
      <c r="F727" t="s">
        <v>793</v>
      </c>
    </row>
    <row r="728" spans="1:6" x14ac:dyDescent="0.25">
      <c r="A728" t="s">
        <v>1499</v>
      </c>
      <c r="B728" t="s">
        <v>764</v>
      </c>
      <c r="C728" t="s">
        <v>758</v>
      </c>
      <c r="D728" t="s">
        <v>875</v>
      </c>
      <c r="E728" t="s">
        <v>173</v>
      </c>
      <c r="F728" t="s">
        <v>206</v>
      </c>
    </row>
    <row r="729" spans="1:6" x14ac:dyDescent="0.25">
      <c r="A729" t="s">
        <v>1500</v>
      </c>
      <c r="B729" t="s">
        <v>764</v>
      </c>
      <c r="C729" t="s">
        <v>790</v>
      </c>
      <c r="D729" t="s">
        <v>791</v>
      </c>
      <c r="E729" t="s">
        <v>598</v>
      </c>
      <c r="F729" t="s">
        <v>792</v>
      </c>
    </row>
    <row r="730" spans="1:6" x14ac:dyDescent="0.25">
      <c r="A730" t="s">
        <v>1501</v>
      </c>
      <c r="B730" t="s">
        <v>764</v>
      </c>
      <c r="C730" t="s">
        <v>758</v>
      </c>
      <c r="D730" t="s">
        <v>979</v>
      </c>
      <c r="E730" t="s">
        <v>987</v>
      </c>
      <c r="F730" t="s">
        <v>988</v>
      </c>
    </row>
    <row r="731" spans="1:6" x14ac:dyDescent="0.25">
      <c r="A731" t="s">
        <v>1502</v>
      </c>
      <c r="B731" t="s">
        <v>764</v>
      </c>
      <c r="C731" t="s">
        <v>702</v>
      </c>
      <c r="D731" t="s">
        <v>962</v>
      </c>
      <c r="E731" t="s">
        <v>103</v>
      </c>
      <c r="F731" t="s">
        <v>103</v>
      </c>
    </row>
    <row r="732" spans="1:6" x14ac:dyDescent="0.25">
      <c r="A732" t="s">
        <v>1503</v>
      </c>
      <c r="B732" t="s">
        <v>764</v>
      </c>
      <c r="C732" t="s">
        <v>790</v>
      </c>
      <c r="D732" t="s">
        <v>791</v>
      </c>
      <c r="E732" t="s">
        <v>805</v>
      </c>
      <c r="F732" t="s">
        <v>806</v>
      </c>
    </row>
    <row r="733" spans="1:6" x14ac:dyDescent="0.25">
      <c r="A733" t="s">
        <v>1503</v>
      </c>
      <c r="B733" t="s">
        <v>701</v>
      </c>
      <c r="C733" t="s">
        <v>790</v>
      </c>
      <c r="D733" t="s">
        <v>791</v>
      </c>
      <c r="E733" t="s">
        <v>805</v>
      </c>
      <c r="F733" t="s">
        <v>806</v>
      </c>
    </row>
    <row r="734" spans="1:6" x14ac:dyDescent="0.25">
      <c r="A734" t="s">
        <v>1504</v>
      </c>
      <c r="B734" t="s">
        <v>701</v>
      </c>
      <c r="C734" t="s">
        <v>702</v>
      </c>
      <c r="D734" t="s">
        <v>134</v>
      </c>
      <c r="E734" t="s">
        <v>135</v>
      </c>
      <c r="F734" t="s">
        <v>916</v>
      </c>
    </row>
    <row r="735" spans="1:6" x14ac:dyDescent="0.25">
      <c r="A735" t="s">
        <v>1505</v>
      </c>
      <c r="B735" t="s">
        <v>764</v>
      </c>
      <c r="C735" t="s">
        <v>790</v>
      </c>
      <c r="D735" t="s">
        <v>791</v>
      </c>
      <c r="E735" t="s">
        <v>805</v>
      </c>
      <c r="F735" t="s">
        <v>806</v>
      </c>
    </row>
    <row r="736" spans="1:6" x14ac:dyDescent="0.25">
      <c r="A736" t="s">
        <v>1505</v>
      </c>
      <c r="B736" t="s">
        <v>701</v>
      </c>
      <c r="C736" t="s">
        <v>790</v>
      </c>
      <c r="D736" t="s">
        <v>791</v>
      </c>
      <c r="E736" t="s">
        <v>805</v>
      </c>
      <c r="F736" t="s">
        <v>806</v>
      </c>
    </row>
    <row r="737" spans="1:5" x14ac:dyDescent="0.25">
      <c r="A737" t="s">
        <v>1506</v>
      </c>
      <c r="B737" t="s">
        <v>692</v>
      </c>
      <c r="E737" t="s">
        <v>85</v>
      </c>
    </row>
    <row r="738" spans="1:6" x14ac:dyDescent="0.25">
      <c r="A738" t="s">
        <v>1507</v>
      </c>
      <c r="B738" t="s">
        <v>701</v>
      </c>
      <c r="C738" t="s">
        <v>746</v>
      </c>
      <c r="D738" t="s">
        <v>747</v>
      </c>
      <c r="E738" t="s">
        <v>748</v>
      </c>
      <c r="F738" t="s">
        <v>748</v>
      </c>
    </row>
    <row r="739" spans="1:6" x14ac:dyDescent="0.25">
      <c r="A739" t="s">
        <v>1508</v>
      </c>
      <c r="B739" t="s">
        <v>764</v>
      </c>
      <c r="C739" t="s">
        <v>782</v>
      </c>
      <c r="D739" t="s">
        <v>849</v>
      </c>
      <c r="E739" t="s">
        <v>850</v>
      </c>
      <c r="F739" t="s">
        <v>851</v>
      </c>
    </row>
    <row r="740" spans="1:6" x14ac:dyDescent="0.25">
      <c r="A740" t="s">
        <v>1509</v>
      </c>
      <c r="B740" t="s">
        <v>764</v>
      </c>
      <c r="C740" t="s">
        <v>702</v>
      </c>
      <c r="D740" t="s">
        <v>134</v>
      </c>
      <c r="E740" t="s">
        <v>135</v>
      </c>
      <c r="F740" t="s">
        <v>134</v>
      </c>
    </row>
    <row r="741" spans="1:6" x14ac:dyDescent="0.25">
      <c r="A741" t="s">
        <v>1509</v>
      </c>
      <c r="B741" t="s">
        <v>701</v>
      </c>
      <c r="C741" t="s">
        <v>702</v>
      </c>
      <c r="D741" t="s">
        <v>134</v>
      </c>
      <c r="E741" t="s">
        <v>135</v>
      </c>
      <c r="F741" t="s">
        <v>916</v>
      </c>
    </row>
    <row r="742" spans="1:6" x14ac:dyDescent="0.25">
      <c r="A742" t="s">
        <v>1510</v>
      </c>
      <c r="B742" t="s">
        <v>764</v>
      </c>
      <c r="C742" t="s">
        <v>702</v>
      </c>
      <c r="D742" t="s">
        <v>134</v>
      </c>
      <c r="E742" t="s">
        <v>135</v>
      </c>
      <c r="F742" t="s">
        <v>134</v>
      </c>
    </row>
    <row r="743" spans="1:5" x14ac:dyDescent="0.25">
      <c r="A743" t="s">
        <v>1511</v>
      </c>
      <c r="B743" t="s">
        <v>692</v>
      </c>
      <c r="E743" t="s">
        <v>135</v>
      </c>
    </row>
    <row r="744" spans="1:6" x14ac:dyDescent="0.25">
      <c r="A744" t="s">
        <v>1512</v>
      </c>
      <c r="B744" t="s">
        <v>764</v>
      </c>
      <c r="C744" t="s">
        <v>706</v>
      </c>
      <c r="D744" t="s">
        <v>1043</v>
      </c>
      <c r="E744" t="s">
        <v>1044</v>
      </c>
      <c r="F744" t="s">
        <v>1045</v>
      </c>
    </row>
    <row r="745" spans="1:6" x14ac:dyDescent="0.25">
      <c r="A745" t="s">
        <v>1513</v>
      </c>
      <c r="B745" t="s">
        <v>764</v>
      </c>
      <c r="C745" t="s">
        <v>758</v>
      </c>
      <c r="D745" t="s">
        <v>979</v>
      </c>
      <c r="E745" t="s">
        <v>85</v>
      </c>
      <c r="F745" t="s">
        <v>124</v>
      </c>
    </row>
    <row r="746" spans="1:6" x14ac:dyDescent="0.25">
      <c r="A746" t="s">
        <v>1514</v>
      </c>
      <c r="B746" t="s">
        <v>764</v>
      </c>
      <c r="C746" t="s">
        <v>782</v>
      </c>
      <c r="D746" t="s">
        <v>849</v>
      </c>
      <c r="E746" t="s">
        <v>850</v>
      </c>
      <c r="F746" t="s">
        <v>851</v>
      </c>
    </row>
    <row r="747" spans="1:6" x14ac:dyDescent="0.25">
      <c r="A747" t="s">
        <v>1515</v>
      </c>
      <c r="B747" t="s">
        <v>701</v>
      </c>
      <c r="C747" t="s">
        <v>702</v>
      </c>
      <c r="D747" t="s">
        <v>134</v>
      </c>
      <c r="E747" t="s">
        <v>135</v>
      </c>
      <c r="F747" t="s">
        <v>926</v>
      </c>
    </row>
    <row r="748" spans="1:6" x14ac:dyDescent="0.25">
      <c r="A748" t="s">
        <v>1516</v>
      </c>
      <c r="B748" t="s">
        <v>764</v>
      </c>
      <c r="C748" t="s">
        <v>702</v>
      </c>
      <c r="D748" t="s">
        <v>134</v>
      </c>
      <c r="E748" t="s">
        <v>135</v>
      </c>
      <c r="F748" t="s">
        <v>134</v>
      </c>
    </row>
    <row r="749" spans="1:6" x14ac:dyDescent="0.25">
      <c r="A749" t="s">
        <v>1516</v>
      </c>
      <c r="B749" t="s">
        <v>701</v>
      </c>
      <c r="C749" t="s">
        <v>702</v>
      </c>
      <c r="D749" t="s">
        <v>134</v>
      </c>
      <c r="E749" t="s">
        <v>135</v>
      </c>
      <c r="F749" t="s">
        <v>916</v>
      </c>
    </row>
    <row r="750" spans="1:6" x14ac:dyDescent="0.25">
      <c r="A750" t="s">
        <v>1517</v>
      </c>
      <c r="B750" t="s">
        <v>701</v>
      </c>
      <c r="C750" t="s">
        <v>702</v>
      </c>
      <c r="D750" t="s">
        <v>134</v>
      </c>
      <c r="E750" t="s">
        <v>135</v>
      </c>
      <c r="F750" t="s">
        <v>916</v>
      </c>
    </row>
    <row r="751" spans="1:6" x14ac:dyDescent="0.25">
      <c r="A751" t="s">
        <v>1518</v>
      </c>
      <c r="B751" t="s">
        <v>701</v>
      </c>
      <c r="C751" t="s">
        <v>702</v>
      </c>
      <c r="D751" t="s">
        <v>134</v>
      </c>
      <c r="E751" t="s">
        <v>135</v>
      </c>
      <c r="F751" t="s">
        <v>916</v>
      </c>
    </row>
    <row r="752" spans="1:6" x14ac:dyDescent="0.25">
      <c r="A752" t="s">
        <v>1519</v>
      </c>
      <c r="B752" t="s">
        <v>764</v>
      </c>
      <c r="C752" t="s">
        <v>702</v>
      </c>
      <c r="D752" t="s">
        <v>134</v>
      </c>
      <c r="E752" t="s">
        <v>135</v>
      </c>
      <c r="F752" t="s">
        <v>134</v>
      </c>
    </row>
    <row r="753" spans="1:6" x14ac:dyDescent="0.25">
      <c r="A753" t="s">
        <v>1519</v>
      </c>
      <c r="B753" t="s">
        <v>701</v>
      </c>
      <c r="C753" t="s">
        <v>702</v>
      </c>
      <c r="D753" t="s">
        <v>134</v>
      </c>
      <c r="E753" t="s">
        <v>135</v>
      </c>
      <c r="F753" t="s">
        <v>916</v>
      </c>
    </row>
    <row r="754" spans="1:6" x14ac:dyDescent="0.25">
      <c r="A754" t="s">
        <v>1520</v>
      </c>
      <c r="B754" t="s">
        <v>701</v>
      </c>
      <c r="C754" t="s">
        <v>702</v>
      </c>
      <c r="D754" t="s">
        <v>134</v>
      </c>
      <c r="E754" t="s">
        <v>135</v>
      </c>
      <c r="F754" t="s">
        <v>916</v>
      </c>
    </row>
    <row r="755" spans="1:6" x14ac:dyDescent="0.25">
      <c r="A755" t="s">
        <v>1521</v>
      </c>
      <c r="B755" t="s">
        <v>701</v>
      </c>
      <c r="C755" t="s">
        <v>702</v>
      </c>
      <c r="D755" t="s">
        <v>134</v>
      </c>
      <c r="E755" t="s">
        <v>135</v>
      </c>
      <c r="F755" t="s">
        <v>916</v>
      </c>
    </row>
    <row r="756" spans="1:6" x14ac:dyDescent="0.25">
      <c r="A756" t="s">
        <v>1522</v>
      </c>
      <c r="B756" t="s">
        <v>764</v>
      </c>
      <c r="C756" t="s">
        <v>702</v>
      </c>
      <c r="D756" t="s">
        <v>134</v>
      </c>
      <c r="E756" t="s">
        <v>135</v>
      </c>
      <c r="F756" t="s">
        <v>134</v>
      </c>
    </row>
    <row r="757" spans="1:6" x14ac:dyDescent="0.25">
      <c r="A757" t="s">
        <v>1522</v>
      </c>
      <c r="B757" t="s">
        <v>701</v>
      </c>
      <c r="C757" t="s">
        <v>702</v>
      </c>
      <c r="D757" t="s">
        <v>134</v>
      </c>
      <c r="E757" t="s">
        <v>135</v>
      </c>
      <c r="F757" t="s">
        <v>916</v>
      </c>
    </row>
    <row r="758" spans="1:6" x14ac:dyDescent="0.25">
      <c r="A758" t="s">
        <v>1523</v>
      </c>
      <c r="B758" t="s">
        <v>764</v>
      </c>
      <c r="C758" t="s">
        <v>702</v>
      </c>
      <c r="D758" t="s">
        <v>134</v>
      </c>
      <c r="E758" t="s">
        <v>135</v>
      </c>
      <c r="F758" t="s">
        <v>134</v>
      </c>
    </row>
    <row r="759" spans="1:6" x14ac:dyDescent="0.25">
      <c r="A759" t="s">
        <v>1523</v>
      </c>
      <c r="B759" t="s">
        <v>701</v>
      </c>
      <c r="C759" t="s">
        <v>702</v>
      </c>
      <c r="D759" t="s">
        <v>134</v>
      </c>
      <c r="E759" t="s">
        <v>135</v>
      </c>
      <c r="F759" t="s">
        <v>916</v>
      </c>
    </row>
    <row r="760" spans="1:6" x14ac:dyDescent="0.25">
      <c r="A760" t="s">
        <v>1524</v>
      </c>
      <c r="B760" t="s">
        <v>764</v>
      </c>
      <c r="C760" t="s">
        <v>702</v>
      </c>
      <c r="D760" t="s">
        <v>134</v>
      </c>
      <c r="E760" t="s">
        <v>135</v>
      </c>
      <c r="F760" t="s">
        <v>134</v>
      </c>
    </row>
    <row r="761" spans="1:6" x14ac:dyDescent="0.25">
      <c r="A761" t="s">
        <v>1525</v>
      </c>
      <c r="B761" t="s">
        <v>764</v>
      </c>
      <c r="C761" t="s">
        <v>702</v>
      </c>
      <c r="D761" t="s">
        <v>134</v>
      </c>
      <c r="E761" t="s">
        <v>135</v>
      </c>
      <c r="F761" t="s">
        <v>134</v>
      </c>
    </row>
    <row r="762" spans="1:5" x14ac:dyDescent="0.25">
      <c r="A762" t="s">
        <v>1526</v>
      </c>
      <c r="B762" t="s">
        <v>692</v>
      </c>
      <c r="E762" t="s">
        <v>1527</v>
      </c>
    </row>
    <row r="763" spans="1:6" x14ac:dyDescent="0.25">
      <c r="A763" t="s">
        <v>1528</v>
      </c>
      <c r="B763" t="s">
        <v>764</v>
      </c>
      <c r="C763" t="s">
        <v>758</v>
      </c>
      <c r="D763" t="s">
        <v>979</v>
      </c>
      <c r="E763" t="s">
        <v>85</v>
      </c>
      <c r="F763" t="s">
        <v>124</v>
      </c>
    </row>
    <row r="764" spans="1:6" x14ac:dyDescent="0.25">
      <c r="A764" t="s">
        <v>1529</v>
      </c>
      <c r="B764" t="s">
        <v>701</v>
      </c>
      <c r="C764" t="s">
        <v>702</v>
      </c>
      <c r="D764" t="s">
        <v>134</v>
      </c>
      <c r="E764" t="s">
        <v>135</v>
      </c>
      <c r="F764" t="s">
        <v>916</v>
      </c>
    </row>
    <row r="765" spans="1:6" x14ac:dyDescent="0.25">
      <c r="A765" t="s">
        <v>1530</v>
      </c>
      <c r="B765" t="s">
        <v>764</v>
      </c>
      <c r="C765" t="s">
        <v>702</v>
      </c>
      <c r="D765" t="s">
        <v>134</v>
      </c>
      <c r="E765" t="s">
        <v>135</v>
      </c>
      <c r="F765" t="s">
        <v>134</v>
      </c>
    </row>
    <row r="766" spans="1:6" x14ac:dyDescent="0.25">
      <c r="A766" t="s">
        <v>1530</v>
      </c>
      <c r="B766" t="s">
        <v>701</v>
      </c>
      <c r="C766" t="s">
        <v>702</v>
      </c>
      <c r="D766" t="s">
        <v>134</v>
      </c>
      <c r="E766" t="s">
        <v>135</v>
      </c>
      <c r="F766" t="s">
        <v>916</v>
      </c>
    </row>
    <row r="767" spans="1:6" x14ac:dyDescent="0.25">
      <c r="A767" t="s">
        <v>1531</v>
      </c>
      <c r="B767" t="s">
        <v>764</v>
      </c>
      <c r="C767" t="s">
        <v>702</v>
      </c>
      <c r="D767" t="s">
        <v>134</v>
      </c>
      <c r="E767" t="s">
        <v>135</v>
      </c>
      <c r="F767" t="s">
        <v>134</v>
      </c>
    </row>
    <row r="768" spans="1:6" x14ac:dyDescent="0.25">
      <c r="A768" t="s">
        <v>1531</v>
      </c>
      <c r="B768" t="s">
        <v>701</v>
      </c>
      <c r="C768" t="s">
        <v>702</v>
      </c>
      <c r="D768" t="s">
        <v>134</v>
      </c>
      <c r="E768" t="s">
        <v>135</v>
      </c>
      <c r="F768" t="s">
        <v>916</v>
      </c>
    </row>
    <row r="769" spans="1:6" x14ac:dyDescent="0.25">
      <c r="A769" t="s">
        <v>1532</v>
      </c>
      <c r="B769" t="s">
        <v>701</v>
      </c>
      <c r="C769" t="s">
        <v>702</v>
      </c>
      <c r="D769" t="s">
        <v>134</v>
      </c>
      <c r="E769" t="s">
        <v>135</v>
      </c>
      <c r="F769" t="s">
        <v>916</v>
      </c>
    </row>
    <row r="770" spans="1:6" x14ac:dyDescent="0.25">
      <c r="A770" t="s">
        <v>1533</v>
      </c>
      <c r="B770" t="s">
        <v>764</v>
      </c>
      <c r="C770" t="s">
        <v>702</v>
      </c>
      <c r="D770" t="s">
        <v>134</v>
      </c>
      <c r="E770" t="s">
        <v>135</v>
      </c>
      <c r="F770" t="s">
        <v>134</v>
      </c>
    </row>
    <row r="771" spans="1:6" x14ac:dyDescent="0.25">
      <c r="A771" t="s">
        <v>1534</v>
      </c>
      <c r="B771" t="s">
        <v>764</v>
      </c>
      <c r="C771" t="s">
        <v>702</v>
      </c>
      <c r="D771" t="s">
        <v>134</v>
      </c>
      <c r="E771" t="s">
        <v>135</v>
      </c>
      <c r="F771" t="s">
        <v>134</v>
      </c>
    </row>
    <row r="772" spans="1:6" x14ac:dyDescent="0.25">
      <c r="A772" t="s">
        <v>1534</v>
      </c>
      <c r="B772" t="s">
        <v>701</v>
      </c>
      <c r="C772" t="s">
        <v>702</v>
      </c>
      <c r="D772" t="s">
        <v>134</v>
      </c>
      <c r="E772" t="s">
        <v>135</v>
      </c>
      <c r="F772" t="s">
        <v>916</v>
      </c>
    </row>
    <row r="773" spans="1:6" x14ac:dyDescent="0.25">
      <c r="A773" t="s">
        <v>1535</v>
      </c>
      <c r="B773" t="s">
        <v>701</v>
      </c>
      <c r="C773" t="s">
        <v>702</v>
      </c>
      <c r="D773" t="s">
        <v>134</v>
      </c>
      <c r="E773" t="s">
        <v>135</v>
      </c>
      <c r="F773" t="s">
        <v>916</v>
      </c>
    </row>
    <row r="774" spans="1:6" x14ac:dyDescent="0.25">
      <c r="A774" t="s">
        <v>1536</v>
      </c>
      <c r="B774" t="s">
        <v>764</v>
      </c>
      <c r="C774" t="s">
        <v>702</v>
      </c>
      <c r="D774" t="s">
        <v>134</v>
      </c>
      <c r="E774" t="s">
        <v>135</v>
      </c>
      <c r="F774" t="s">
        <v>134</v>
      </c>
    </row>
    <row r="775" spans="1:6" x14ac:dyDescent="0.25">
      <c r="A775" t="s">
        <v>1536</v>
      </c>
      <c r="B775" t="s">
        <v>701</v>
      </c>
      <c r="C775" t="s">
        <v>702</v>
      </c>
      <c r="D775" t="s">
        <v>134</v>
      </c>
      <c r="E775" t="s">
        <v>135</v>
      </c>
      <c r="F775" t="s">
        <v>916</v>
      </c>
    </row>
    <row r="776" spans="1:6" x14ac:dyDescent="0.25">
      <c r="A776" t="s">
        <v>1537</v>
      </c>
      <c r="B776" t="s">
        <v>701</v>
      </c>
      <c r="C776" t="s">
        <v>702</v>
      </c>
      <c r="D776" t="s">
        <v>134</v>
      </c>
      <c r="E776" t="s">
        <v>135</v>
      </c>
      <c r="F776" t="s">
        <v>916</v>
      </c>
    </row>
    <row r="777" spans="1:6" x14ac:dyDescent="0.25">
      <c r="A777" t="s">
        <v>1538</v>
      </c>
      <c r="B777" t="s">
        <v>764</v>
      </c>
      <c r="C777" t="s">
        <v>702</v>
      </c>
      <c r="D777" t="s">
        <v>134</v>
      </c>
      <c r="E777" t="s">
        <v>135</v>
      </c>
      <c r="F777" t="s">
        <v>134</v>
      </c>
    </row>
    <row r="778" spans="1:6" x14ac:dyDescent="0.25">
      <c r="A778" t="s">
        <v>1539</v>
      </c>
      <c r="B778" t="s">
        <v>764</v>
      </c>
      <c r="C778" t="s">
        <v>702</v>
      </c>
      <c r="D778" t="s">
        <v>134</v>
      </c>
      <c r="E778" t="s">
        <v>135</v>
      </c>
      <c r="F778" t="s">
        <v>134</v>
      </c>
    </row>
    <row r="779" spans="1:6" x14ac:dyDescent="0.25">
      <c r="A779" t="s">
        <v>1540</v>
      </c>
      <c r="B779" t="s">
        <v>764</v>
      </c>
      <c r="C779" t="s">
        <v>702</v>
      </c>
      <c r="D779" t="s">
        <v>134</v>
      </c>
      <c r="E779" t="s">
        <v>135</v>
      </c>
      <c r="F779" t="s">
        <v>134</v>
      </c>
    </row>
    <row r="780" spans="1:6" x14ac:dyDescent="0.25">
      <c r="A780" t="s">
        <v>1541</v>
      </c>
      <c r="B780" t="s">
        <v>701</v>
      </c>
      <c r="C780" t="s">
        <v>702</v>
      </c>
      <c r="D780" t="s">
        <v>134</v>
      </c>
      <c r="E780" t="s">
        <v>135</v>
      </c>
      <c r="F780" t="s">
        <v>916</v>
      </c>
    </row>
    <row r="781" spans="1:6" x14ac:dyDescent="0.25">
      <c r="A781" t="s">
        <v>1542</v>
      </c>
      <c r="B781" t="s">
        <v>701</v>
      </c>
      <c r="C781" t="s">
        <v>702</v>
      </c>
      <c r="D781" t="s">
        <v>134</v>
      </c>
      <c r="E781" t="s">
        <v>135</v>
      </c>
      <c r="F781" t="s">
        <v>916</v>
      </c>
    </row>
    <row r="782" spans="1:6" x14ac:dyDescent="0.25">
      <c r="A782" t="s">
        <v>1543</v>
      </c>
      <c r="B782" t="s">
        <v>764</v>
      </c>
      <c r="C782" t="s">
        <v>702</v>
      </c>
      <c r="D782" t="s">
        <v>134</v>
      </c>
      <c r="E782" t="s">
        <v>135</v>
      </c>
      <c r="F782" t="s">
        <v>134</v>
      </c>
    </row>
    <row r="783" spans="1:5" x14ac:dyDescent="0.25">
      <c r="A783" t="s">
        <v>1544</v>
      </c>
      <c r="B783" t="s">
        <v>692</v>
      </c>
      <c r="E783" t="s">
        <v>90</v>
      </c>
    </row>
    <row r="784" spans="1:6" x14ac:dyDescent="0.25">
      <c r="A784" t="s">
        <v>1545</v>
      </c>
      <c r="B784" t="s">
        <v>692</v>
      </c>
      <c r="E784" t="s">
        <v>97</v>
      </c>
      <c r="F784" t="s">
        <v>1028</v>
      </c>
    </row>
    <row r="785" spans="1:5" x14ac:dyDescent="0.25">
      <c r="A785" t="s">
        <v>1546</v>
      </c>
      <c r="B785" t="s">
        <v>692</v>
      </c>
      <c r="E785" t="s">
        <v>598</v>
      </c>
    </row>
    <row r="786" spans="1:5" x14ac:dyDescent="0.25">
      <c r="A786" t="s">
        <v>1547</v>
      </c>
      <c r="B786" t="s">
        <v>692</v>
      </c>
      <c r="E786" t="s">
        <v>97</v>
      </c>
    </row>
    <row r="787" spans="1:5" x14ac:dyDescent="0.25">
      <c r="A787" t="s">
        <v>1548</v>
      </c>
      <c r="B787" t="s">
        <v>692</v>
      </c>
      <c r="E787" t="s">
        <v>327</v>
      </c>
    </row>
    <row r="788" spans="1:5" x14ac:dyDescent="0.25">
      <c r="A788" t="s">
        <v>1548</v>
      </c>
      <c r="B788" t="s">
        <v>692</v>
      </c>
      <c r="E788" t="s">
        <v>327</v>
      </c>
    </row>
    <row r="789" spans="1:6" x14ac:dyDescent="0.25">
      <c r="A789" t="s">
        <v>1549</v>
      </c>
      <c r="B789" t="s">
        <v>764</v>
      </c>
      <c r="C789" t="s">
        <v>702</v>
      </c>
      <c r="D789" t="s">
        <v>134</v>
      </c>
      <c r="E789" t="s">
        <v>135</v>
      </c>
      <c r="F789" t="s">
        <v>134</v>
      </c>
    </row>
    <row r="790" spans="1:6" x14ac:dyDescent="0.25">
      <c r="A790" t="s">
        <v>1549</v>
      </c>
      <c r="B790" t="s">
        <v>701</v>
      </c>
      <c r="C790" t="s">
        <v>702</v>
      </c>
      <c r="D790" t="s">
        <v>134</v>
      </c>
      <c r="E790" t="s">
        <v>135</v>
      </c>
      <c r="F790" t="s">
        <v>916</v>
      </c>
    </row>
    <row r="791" spans="1:6" x14ac:dyDescent="0.25">
      <c r="A791" t="s">
        <v>1550</v>
      </c>
      <c r="B791" t="s">
        <v>764</v>
      </c>
      <c r="C791" t="s">
        <v>702</v>
      </c>
      <c r="D791" t="s">
        <v>134</v>
      </c>
      <c r="E791" t="s">
        <v>135</v>
      </c>
      <c r="F791" t="s">
        <v>134</v>
      </c>
    </row>
    <row r="792" spans="1:6" x14ac:dyDescent="0.25">
      <c r="A792" t="s">
        <v>1551</v>
      </c>
      <c r="B792" t="s">
        <v>764</v>
      </c>
      <c r="C792" t="s">
        <v>702</v>
      </c>
      <c r="D792" t="s">
        <v>134</v>
      </c>
      <c r="E792" t="s">
        <v>135</v>
      </c>
      <c r="F792" t="s">
        <v>134</v>
      </c>
    </row>
    <row r="793" spans="1:6" x14ac:dyDescent="0.25">
      <c r="A793" t="s">
        <v>1552</v>
      </c>
      <c r="B793" t="s">
        <v>764</v>
      </c>
      <c r="C793" t="s">
        <v>702</v>
      </c>
      <c r="D793" t="s">
        <v>134</v>
      </c>
      <c r="E793" t="s">
        <v>135</v>
      </c>
      <c r="F793" t="s">
        <v>134</v>
      </c>
    </row>
    <row r="794" spans="1:6" x14ac:dyDescent="0.25">
      <c r="A794" t="s">
        <v>1553</v>
      </c>
      <c r="B794" t="s">
        <v>764</v>
      </c>
      <c r="C794" t="s">
        <v>758</v>
      </c>
      <c r="D794" t="s">
        <v>979</v>
      </c>
      <c r="E794" t="s">
        <v>85</v>
      </c>
      <c r="F794" t="s">
        <v>124</v>
      </c>
    </row>
    <row r="795" spans="1:6" x14ac:dyDescent="0.25">
      <c r="A795" t="s">
        <v>1554</v>
      </c>
      <c r="B795" t="s">
        <v>764</v>
      </c>
      <c r="C795" t="s">
        <v>758</v>
      </c>
      <c r="D795" t="s">
        <v>979</v>
      </c>
      <c r="E795" t="s">
        <v>85</v>
      </c>
      <c r="F795" t="s">
        <v>124</v>
      </c>
    </row>
    <row r="796" spans="1:6" x14ac:dyDescent="0.25">
      <c r="A796" t="s">
        <v>1555</v>
      </c>
      <c r="B796" t="s">
        <v>764</v>
      </c>
      <c r="C796" t="s">
        <v>758</v>
      </c>
      <c r="D796" t="s">
        <v>979</v>
      </c>
      <c r="E796" t="s">
        <v>85</v>
      </c>
      <c r="F796" t="s">
        <v>124</v>
      </c>
    </row>
    <row r="797" spans="1:6" x14ac:dyDescent="0.25">
      <c r="A797" t="s">
        <v>1556</v>
      </c>
      <c r="B797" t="s">
        <v>764</v>
      </c>
      <c r="C797" t="s">
        <v>758</v>
      </c>
      <c r="D797" t="s">
        <v>979</v>
      </c>
      <c r="E797" t="s">
        <v>85</v>
      </c>
      <c r="F797" t="s">
        <v>124</v>
      </c>
    </row>
    <row r="798" spans="1:6" x14ac:dyDescent="0.25">
      <c r="A798" t="s">
        <v>1557</v>
      </c>
      <c r="B798" t="s">
        <v>764</v>
      </c>
      <c r="C798" t="s">
        <v>758</v>
      </c>
      <c r="D798" t="s">
        <v>979</v>
      </c>
      <c r="E798" t="s">
        <v>85</v>
      </c>
      <c r="F798" t="s">
        <v>124</v>
      </c>
    </row>
    <row r="799" spans="1:6" x14ac:dyDescent="0.25">
      <c r="A799" t="s">
        <v>1558</v>
      </c>
      <c r="B799" t="s">
        <v>764</v>
      </c>
      <c r="C799" t="s">
        <v>758</v>
      </c>
      <c r="D799" t="s">
        <v>979</v>
      </c>
      <c r="E799" t="s">
        <v>85</v>
      </c>
      <c r="F799" t="s">
        <v>124</v>
      </c>
    </row>
    <row r="800" spans="1:6" x14ac:dyDescent="0.25">
      <c r="A800" t="s">
        <v>1559</v>
      </c>
      <c r="B800" t="s">
        <v>764</v>
      </c>
      <c r="C800" t="s">
        <v>702</v>
      </c>
      <c r="D800" t="s">
        <v>134</v>
      </c>
      <c r="E800" t="s">
        <v>135</v>
      </c>
      <c r="F800" t="s">
        <v>134</v>
      </c>
    </row>
    <row r="801" spans="1:6" x14ac:dyDescent="0.25">
      <c r="A801" t="s">
        <v>1560</v>
      </c>
      <c r="B801" t="s">
        <v>764</v>
      </c>
      <c r="C801" t="s">
        <v>702</v>
      </c>
      <c r="D801" t="s">
        <v>134</v>
      </c>
      <c r="E801" t="s">
        <v>135</v>
      </c>
      <c r="F801" t="s">
        <v>134</v>
      </c>
    </row>
    <row r="802" spans="1:5" x14ac:dyDescent="0.25">
      <c r="A802" t="s">
        <v>1561</v>
      </c>
      <c r="B802" t="s">
        <v>692</v>
      </c>
      <c r="E802" t="s">
        <v>1229</v>
      </c>
    </row>
    <row r="803" spans="1:6" x14ac:dyDescent="0.25">
      <c r="A803" t="s">
        <v>1562</v>
      </c>
      <c r="B803" t="s">
        <v>701</v>
      </c>
      <c r="C803" t="s">
        <v>702</v>
      </c>
      <c r="D803" t="s">
        <v>134</v>
      </c>
      <c r="E803" t="s">
        <v>135</v>
      </c>
      <c r="F803" t="s">
        <v>916</v>
      </c>
    </row>
    <row r="804" spans="1:6" x14ac:dyDescent="0.25">
      <c r="A804" t="s">
        <v>1563</v>
      </c>
      <c r="B804" t="s">
        <v>701</v>
      </c>
      <c r="C804" t="s">
        <v>702</v>
      </c>
      <c r="D804" t="s">
        <v>134</v>
      </c>
      <c r="E804" t="s">
        <v>135</v>
      </c>
      <c r="F804" t="s">
        <v>703</v>
      </c>
    </row>
    <row r="805" spans="1:6" x14ac:dyDescent="0.25">
      <c r="A805" t="s">
        <v>1564</v>
      </c>
      <c r="B805" t="s">
        <v>701</v>
      </c>
      <c r="C805" t="s">
        <v>702</v>
      </c>
      <c r="D805" t="s">
        <v>134</v>
      </c>
      <c r="E805" t="s">
        <v>135</v>
      </c>
      <c r="F805" t="s">
        <v>916</v>
      </c>
    </row>
    <row r="806" spans="1:5" x14ac:dyDescent="0.25">
      <c r="A806" t="s">
        <v>1565</v>
      </c>
      <c r="B806" t="s">
        <v>692</v>
      </c>
      <c r="E806" t="s">
        <v>1566</v>
      </c>
    </row>
    <row r="807" spans="1:5" x14ac:dyDescent="0.25">
      <c r="A807" t="s">
        <v>1567</v>
      </c>
      <c r="B807" t="s">
        <v>692</v>
      </c>
      <c r="E807" t="s">
        <v>1002</v>
      </c>
    </row>
    <row r="808" spans="1:6" x14ac:dyDescent="0.25">
      <c r="A808" t="s">
        <v>1568</v>
      </c>
      <c r="B808" t="s">
        <v>701</v>
      </c>
      <c r="C808" t="s">
        <v>702</v>
      </c>
      <c r="D808" t="s">
        <v>827</v>
      </c>
      <c r="E808" t="s">
        <v>828</v>
      </c>
      <c r="F808" t="s">
        <v>828</v>
      </c>
    </row>
    <row r="809" spans="1:6" x14ac:dyDescent="0.25">
      <c r="A809" t="s">
        <v>1569</v>
      </c>
      <c r="B809" t="s">
        <v>764</v>
      </c>
      <c r="C809" t="s">
        <v>702</v>
      </c>
      <c r="D809" t="s">
        <v>786</v>
      </c>
      <c r="E809" t="s">
        <v>787</v>
      </c>
      <c r="F809" t="s">
        <v>788</v>
      </c>
    </row>
    <row r="810" spans="1:6" x14ac:dyDescent="0.25">
      <c r="A810" t="s">
        <v>1570</v>
      </c>
      <c r="B810" t="s">
        <v>764</v>
      </c>
      <c r="C810" t="s">
        <v>702</v>
      </c>
      <c r="D810" t="s">
        <v>786</v>
      </c>
      <c r="E810" t="s">
        <v>787</v>
      </c>
      <c r="F810" t="s">
        <v>788</v>
      </c>
    </row>
    <row r="811" spans="1:6" x14ac:dyDescent="0.25">
      <c r="A811" t="s">
        <v>1571</v>
      </c>
      <c r="B811" t="s">
        <v>764</v>
      </c>
      <c r="C811" t="s">
        <v>702</v>
      </c>
      <c r="D811" t="s">
        <v>786</v>
      </c>
      <c r="E811" t="s">
        <v>787</v>
      </c>
      <c r="F811" t="s">
        <v>788</v>
      </c>
    </row>
    <row r="812" spans="1:6" x14ac:dyDescent="0.25">
      <c r="A812" t="s">
        <v>1572</v>
      </c>
      <c r="B812" t="s">
        <v>764</v>
      </c>
      <c r="C812" t="s">
        <v>702</v>
      </c>
      <c r="D812" t="s">
        <v>786</v>
      </c>
      <c r="E812" t="s">
        <v>787</v>
      </c>
      <c r="F812" t="s">
        <v>788</v>
      </c>
    </row>
    <row r="813" spans="1:6" x14ac:dyDescent="0.25">
      <c r="A813" t="s">
        <v>1573</v>
      </c>
      <c r="B813" t="s">
        <v>764</v>
      </c>
      <c r="C813" t="s">
        <v>702</v>
      </c>
      <c r="D813" t="s">
        <v>786</v>
      </c>
      <c r="E813" t="s">
        <v>787</v>
      </c>
      <c r="F813" t="s">
        <v>788</v>
      </c>
    </row>
    <row r="814" spans="1:6" x14ac:dyDescent="0.25">
      <c r="A814" t="s">
        <v>1574</v>
      </c>
      <c r="B814" t="s">
        <v>764</v>
      </c>
      <c r="C814" t="s">
        <v>702</v>
      </c>
      <c r="D814" t="s">
        <v>134</v>
      </c>
      <c r="E814" t="s">
        <v>135</v>
      </c>
      <c r="F814" t="s">
        <v>134</v>
      </c>
    </row>
    <row r="815" spans="1:6" x14ac:dyDescent="0.25">
      <c r="A815" t="s">
        <v>1575</v>
      </c>
      <c r="B815" t="s">
        <v>764</v>
      </c>
      <c r="C815" t="s">
        <v>702</v>
      </c>
      <c r="D815" t="s">
        <v>134</v>
      </c>
      <c r="E815" t="s">
        <v>135</v>
      </c>
      <c r="F815" t="s">
        <v>134</v>
      </c>
    </row>
    <row r="816" spans="1:6" x14ac:dyDescent="0.25">
      <c r="A816" t="s">
        <v>1576</v>
      </c>
      <c r="B816" t="s">
        <v>764</v>
      </c>
      <c r="C816" t="s">
        <v>702</v>
      </c>
      <c r="D816" t="s">
        <v>134</v>
      </c>
      <c r="E816" t="s">
        <v>135</v>
      </c>
      <c r="F816" t="s">
        <v>134</v>
      </c>
    </row>
    <row r="817" spans="1:6" x14ac:dyDescent="0.25">
      <c r="A817" t="s">
        <v>1577</v>
      </c>
      <c r="B817" t="s">
        <v>764</v>
      </c>
      <c r="C817" t="s">
        <v>702</v>
      </c>
      <c r="D817" t="s">
        <v>134</v>
      </c>
      <c r="E817" t="s">
        <v>135</v>
      </c>
      <c r="F817" t="s">
        <v>134</v>
      </c>
    </row>
    <row r="818" spans="1:6" x14ac:dyDescent="0.25">
      <c r="A818" t="s">
        <v>1578</v>
      </c>
      <c r="B818" t="s">
        <v>764</v>
      </c>
      <c r="C818" t="s">
        <v>702</v>
      </c>
      <c r="D818" t="s">
        <v>134</v>
      </c>
      <c r="E818" t="s">
        <v>135</v>
      </c>
      <c r="F818" t="s">
        <v>134</v>
      </c>
    </row>
    <row r="819" spans="1:6" x14ac:dyDescent="0.25">
      <c r="A819" t="s">
        <v>1579</v>
      </c>
      <c r="B819" t="s">
        <v>764</v>
      </c>
      <c r="C819" t="s">
        <v>702</v>
      </c>
      <c r="D819" t="s">
        <v>134</v>
      </c>
      <c r="E819" t="s">
        <v>135</v>
      </c>
      <c r="F819" t="s">
        <v>134</v>
      </c>
    </row>
    <row r="820" spans="1:6" x14ac:dyDescent="0.25">
      <c r="A820" t="s">
        <v>1579</v>
      </c>
      <c r="B820" t="s">
        <v>701</v>
      </c>
      <c r="C820" t="s">
        <v>702</v>
      </c>
      <c r="D820" t="s">
        <v>134</v>
      </c>
      <c r="E820" t="s">
        <v>135</v>
      </c>
      <c r="F820" t="s">
        <v>916</v>
      </c>
    </row>
    <row r="821" spans="1:6" x14ac:dyDescent="0.25">
      <c r="A821" t="s">
        <v>1580</v>
      </c>
      <c r="B821" t="s">
        <v>701</v>
      </c>
      <c r="C821" t="s">
        <v>702</v>
      </c>
      <c r="D821" t="s">
        <v>134</v>
      </c>
      <c r="E821" t="s">
        <v>135</v>
      </c>
      <c r="F821" t="s">
        <v>703</v>
      </c>
    </row>
    <row r="822" spans="1:5" x14ac:dyDescent="0.25">
      <c r="A822" t="s">
        <v>1581</v>
      </c>
      <c r="B822" t="s">
        <v>692</v>
      </c>
      <c r="E822" t="s">
        <v>173</v>
      </c>
    </row>
    <row r="823" spans="1:6" x14ac:dyDescent="0.25">
      <c r="A823" t="s">
        <v>1582</v>
      </c>
      <c r="B823" t="s">
        <v>692</v>
      </c>
      <c r="E823" t="s">
        <v>280</v>
      </c>
      <c r="F823" t="s">
        <v>73</v>
      </c>
    </row>
    <row r="824" spans="1:6" x14ac:dyDescent="0.25">
      <c r="A824" t="s">
        <v>1583</v>
      </c>
      <c r="B824" t="s">
        <v>764</v>
      </c>
      <c r="C824" t="s">
        <v>758</v>
      </c>
      <c r="D824" t="s">
        <v>875</v>
      </c>
      <c r="E824" t="s">
        <v>173</v>
      </c>
      <c r="F824" t="s">
        <v>206</v>
      </c>
    </row>
    <row r="825" spans="1:5" x14ac:dyDescent="0.25">
      <c r="A825" t="s">
        <v>1584</v>
      </c>
      <c r="B825" t="s">
        <v>692</v>
      </c>
      <c r="E825" t="s">
        <v>280</v>
      </c>
    </row>
    <row r="826" spans="1:6" x14ac:dyDescent="0.25">
      <c r="A826" t="s">
        <v>1585</v>
      </c>
      <c r="B826" t="s">
        <v>764</v>
      </c>
      <c r="C826" t="s">
        <v>758</v>
      </c>
      <c r="D826" t="s">
        <v>875</v>
      </c>
      <c r="E826" t="s">
        <v>173</v>
      </c>
      <c r="F826" t="s">
        <v>206</v>
      </c>
    </row>
    <row r="827" spans="1:5" x14ac:dyDescent="0.25">
      <c r="A827" t="s">
        <v>1586</v>
      </c>
      <c r="B827" t="s">
        <v>692</v>
      </c>
      <c r="E827" t="s">
        <v>280</v>
      </c>
    </row>
    <row r="828" spans="1:6" x14ac:dyDescent="0.25">
      <c r="A828" t="s">
        <v>1587</v>
      </c>
      <c r="B828" t="s">
        <v>764</v>
      </c>
      <c r="C828" t="s">
        <v>758</v>
      </c>
      <c r="D828" t="s">
        <v>875</v>
      </c>
      <c r="E828" t="s">
        <v>173</v>
      </c>
      <c r="F828" t="s">
        <v>206</v>
      </c>
    </row>
    <row r="829" spans="1:5" x14ac:dyDescent="0.25">
      <c r="A829" t="s">
        <v>374</v>
      </c>
      <c r="B829" t="s">
        <v>692</v>
      </c>
      <c r="E829" t="s">
        <v>280</v>
      </c>
    </row>
    <row r="830" spans="1:6" x14ac:dyDescent="0.25">
      <c r="A830" t="s">
        <v>1588</v>
      </c>
      <c r="B830" t="s">
        <v>764</v>
      </c>
      <c r="C830" t="s">
        <v>782</v>
      </c>
      <c r="D830" t="s">
        <v>849</v>
      </c>
      <c r="E830" t="s">
        <v>850</v>
      </c>
      <c r="F830" t="s">
        <v>851</v>
      </c>
    </row>
    <row r="831" spans="1:6" x14ac:dyDescent="0.25">
      <c r="A831" t="s">
        <v>1589</v>
      </c>
      <c r="B831" t="s">
        <v>764</v>
      </c>
      <c r="C831" t="s">
        <v>782</v>
      </c>
      <c r="D831" t="s">
        <v>849</v>
      </c>
      <c r="E831" t="s">
        <v>850</v>
      </c>
      <c r="F831" t="s">
        <v>851</v>
      </c>
    </row>
    <row r="832" spans="1:6" x14ac:dyDescent="0.25">
      <c r="A832" t="s">
        <v>1590</v>
      </c>
      <c r="B832" t="s">
        <v>764</v>
      </c>
      <c r="C832" t="s">
        <v>782</v>
      </c>
      <c r="D832" t="s">
        <v>849</v>
      </c>
      <c r="E832" t="s">
        <v>850</v>
      </c>
      <c r="F832" t="s">
        <v>851</v>
      </c>
    </row>
    <row r="833" spans="1:6" x14ac:dyDescent="0.25">
      <c r="A833" t="s">
        <v>1591</v>
      </c>
      <c r="B833" t="s">
        <v>764</v>
      </c>
      <c r="C833" t="s">
        <v>782</v>
      </c>
      <c r="D833" t="s">
        <v>849</v>
      </c>
      <c r="E833" t="s">
        <v>850</v>
      </c>
      <c r="F833" t="s">
        <v>851</v>
      </c>
    </row>
    <row r="834" spans="1:6" x14ac:dyDescent="0.25">
      <c r="A834" t="s">
        <v>1592</v>
      </c>
      <c r="B834" t="s">
        <v>701</v>
      </c>
      <c r="C834" t="s">
        <v>702</v>
      </c>
      <c r="D834" t="s">
        <v>134</v>
      </c>
      <c r="E834" t="s">
        <v>135</v>
      </c>
      <c r="F834" t="s">
        <v>926</v>
      </c>
    </row>
    <row r="835" spans="1:6" x14ac:dyDescent="0.25">
      <c r="A835" t="s">
        <v>1593</v>
      </c>
      <c r="B835" t="s">
        <v>764</v>
      </c>
      <c r="C835" t="s">
        <v>758</v>
      </c>
      <c r="D835" t="s">
        <v>875</v>
      </c>
      <c r="E835" t="s">
        <v>173</v>
      </c>
      <c r="F835" t="s">
        <v>206</v>
      </c>
    </row>
    <row r="836" spans="1:6" x14ac:dyDescent="0.25">
      <c r="A836" t="s">
        <v>1594</v>
      </c>
      <c r="B836" t="s">
        <v>764</v>
      </c>
      <c r="C836" t="s">
        <v>758</v>
      </c>
      <c r="D836" t="s">
        <v>875</v>
      </c>
      <c r="E836" t="s">
        <v>173</v>
      </c>
      <c r="F836" t="s">
        <v>206</v>
      </c>
    </row>
    <row r="837" spans="1:6" x14ac:dyDescent="0.25">
      <c r="A837" t="s">
        <v>1595</v>
      </c>
      <c r="B837" t="s">
        <v>764</v>
      </c>
      <c r="C837" t="s">
        <v>758</v>
      </c>
      <c r="D837" t="s">
        <v>875</v>
      </c>
      <c r="E837" t="s">
        <v>173</v>
      </c>
      <c r="F837" t="s">
        <v>206</v>
      </c>
    </row>
    <row r="838" spans="1:6" x14ac:dyDescent="0.25">
      <c r="A838" t="s">
        <v>1596</v>
      </c>
      <c r="B838" t="s">
        <v>764</v>
      </c>
      <c r="C838" t="s">
        <v>782</v>
      </c>
      <c r="D838" t="s">
        <v>849</v>
      </c>
      <c r="E838" t="s">
        <v>850</v>
      </c>
      <c r="F838" t="s">
        <v>851</v>
      </c>
    </row>
    <row r="839" spans="1:6" x14ac:dyDescent="0.25">
      <c r="A839" t="s">
        <v>1597</v>
      </c>
      <c r="B839" t="s">
        <v>764</v>
      </c>
      <c r="C839" t="s">
        <v>782</v>
      </c>
      <c r="D839" t="s">
        <v>849</v>
      </c>
      <c r="E839" t="s">
        <v>850</v>
      </c>
      <c r="F839" t="s">
        <v>851</v>
      </c>
    </row>
    <row r="840" spans="1:6" x14ac:dyDescent="0.25">
      <c r="A840" t="s">
        <v>1598</v>
      </c>
      <c r="B840" t="s">
        <v>764</v>
      </c>
      <c r="C840" t="s">
        <v>782</v>
      </c>
      <c r="D840" t="s">
        <v>849</v>
      </c>
      <c r="E840" t="s">
        <v>850</v>
      </c>
      <c r="F840" t="s">
        <v>851</v>
      </c>
    </row>
    <row r="841" spans="1:5" x14ac:dyDescent="0.25">
      <c r="A841" t="s">
        <v>1599</v>
      </c>
      <c r="B841" t="s">
        <v>692</v>
      </c>
      <c r="E841" t="s">
        <v>370</v>
      </c>
    </row>
    <row r="842" spans="1:5" x14ac:dyDescent="0.25">
      <c r="A842" t="s">
        <v>1600</v>
      </c>
      <c r="B842" t="s">
        <v>692</v>
      </c>
      <c r="E842" t="s">
        <v>370</v>
      </c>
    </row>
    <row r="843" spans="1:6" x14ac:dyDescent="0.25">
      <c r="A843" t="s">
        <v>1601</v>
      </c>
      <c r="B843" t="s">
        <v>764</v>
      </c>
      <c r="C843" t="s">
        <v>782</v>
      </c>
      <c r="D843" t="s">
        <v>836</v>
      </c>
      <c r="E843" t="s">
        <v>97</v>
      </c>
      <c r="F843" t="s">
        <v>71</v>
      </c>
    </row>
    <row r="844" spans="1:6" x14ac:dyDescent="0.25">
      <c r="A844" t="s">
        <v>1602</v>
      </c>
      <c r="B844" t="s">
        <v>701</v>
      </c>
      <c r="C844" t="s">
        <v>702</v>
      </c>
      <c r="D844" t="s">
        <v>827</v>
      </c>
      <c r="E844" t="s">
        <v>828</v>
      </c>
      <c r="F844" t="s">
        <v>828</v>
      </c>
    </row>
    <row r="845" spans="1:6" x14ac:dyDescent="0.25">
      <c r="A845" t="s">
        <v>1603</v>
      </c>
      <c r="B845" t="s">
        <v>764</v>
      </c>
      <c r="C845" t="s">
        <v>702</v>
      </c>
      <c r="D845" t="s">
        <v>786</v>
      </c>
      <c r="E845" t="s">
        <v>787</v>
      </c>
      <c r="F845" t="s">
        <v>788</v>
      </c>
    </row>
    <row r="846" spans="1:5" x14ac:dyDescent="0.25">
      <c r="A846" t="s">
        <v>1604</v>
      </c>
      <c r="B846" t="s">
        <v>692</v>
      </c>
      <c r="E846" t="s">
        <v>370</v>
      </c>
    </row>
    <row r="847" spans="1:5" x14ac:dyDescent="0.25">
      <c r="A847" t="s">
        <v>1605</v>
      </c>
      <c r="B847" t="s">
        <v>692</v>
      </c>
      <c r="E847" t="s">
        <v>370</v>
      </c>
    </row>
    <row r="848" spans="1:6" x14ac:dyDescent="0.25">
      <c r="A848" t="s">
        <v>1606</v>
      </c>
      <c r="B848" t="s">
        <v>764</v>
      </c>
      <c r="C848" t="s">
        <v>702</v>
      </c>
      <c r="D848" t="s">
        <v>134</v>
      </c>
      <c r="E848" t="s">
        <v>135</v>
      </c>
      <c r="F848" t="s">
        <v>134</v>
      </c>
    </row>
    <row r="849" spans="1:6" x14ac:dyDescent="0.25">
      <c r="A849" t="s">
        <v>1607</v>
      </c>
      <c r="B849" t="s">
        <v>701</v>
      </c>
      <c r="C849" t="s">
        <v>702</v>
      </c>
      <c r="D849" t="s">
        <v>134</v>
      </c>
      <c r="E849" t="s">
        <v>135</v>
      </c>
      <c r="F849" t="s">
        <v>926</v>
      </c>
    </row>
    <row r="850" spans="1:6" x14ac:dyDescent="0.25">
      <c r="A850" t="s">
        <v>1608</v>
      </c>
      <c r="B850" t="s">
        <v>692</v>
      </c>
      <c r="E850" t="s">
        <v>1609</v>
      </c>
      <c r="F850" t="s">
        <v>73</v>
      </c>
    </row>
    <row r="851" spans="1:6" x14ac:dyDescent="0.25">
      <c r="A851" t="s">
        <v>1610</v>
      </c>
      <c r="B851" t="s">
        <v>701</v>
      </c>
      <c r="C851" t="s">
        <v>702</v>
      </c>
      <c r="D851" t="s">
        <v>134</v>
      </c>
      <c r="E851" t="s">
        <v>135</v>
      </c>
      <c r="F851" t="s">
        <v>916</v>
      </c>
    </row>
    <row r="852" spans="1:6" x14ac:dyDescent="0.25">
      <c r="A852" t="s">
        <v>1611</v>
      </c>
      <c r="B852" t="s">
        <v>764</v>
      </c>
      <c r="C852" t="s">
        <v>758</v>
      </c>
      <c r="D852" t="s">
        <v>979</v>
      </c>
      <c r="E852" t="s">
        <v>85</v>
      </c>
      <c r="F852" t="s">
        <v>124</v>
      </c>
    </row>
    <row r="853" spans="1:6" x14ac:dyDescent="0.25">
      <c r="A853" t="s">
        <v>1612</v>
      </c>
      <c r="B853" t="s">
        <v>764</v>
      </c>
      <c r="C853" t="s">
        <v>702</v>
      </c>
      <c r="D853" t="s">
        <v>134</v>
      </c>
      <c r="E853" t="s">
        <v>135</v>
      </c>
      <c r="F853" t="s">
        <v>134</v>
      </c>
    </row>
    <row r="854" spans="1:6" x14ac:dyDescent="0.25">
      <c r="A854" t="s">
        <v>1612</v>
      </c>
      <c r="B854" t="s">
        <v>701</v>
      </c>
      <c r="C854" t="s">
        <v>702</v>
      </c>
      <c r="D854" t="s">
        <v>134</v>
      </c>
      <c r="E854" t="s">
        <v>135</v>
      </c>
      <c r="F854" t="s">
        <v>916</v>
      </c>
    </row>
    <row r="855" spans="1:6" x14ac:dyDescent="0.25">
      <c r="A855" t="s">
        <v>1613</v>
      </c>
      <c r="B855" t="s">
        <v>764</v>
      </c>
      <c r="C855" t="s">
        <v>702</v>
      </c>
      <c r="D855" t="s">
        <v>134</v>
      </c>
      <c r="E855" t="s">
        <v>135</v>
      </c>
      <c r="F855" t="s">
        <v>134</v>
      </c>
    </row>
    <row r="856" spans="1:6" x14ac:dyDescent="0.25">
      <c r="A856" t="s">
        <v>1613</v>
      </c>
      <c r="B856" t="s">
        <v>701</v>
      </c>
      <c r="C856" t="s">
        <v>702</v>
      </c>
      <c r="D856" t="s">
        <v>134</v>
      </c>
      <c r="E856" t="s">
        <v>135</v>
      </c>
      <c r="F856" t="s">
        <v>916</v>
      </c>
    </row>
    <row r="857" spans="1:6" x14ac:dyDescent="0.25">
      <c r="A857" t="s">
        <v>1614</v>
      </c>
      <c r="B857" t="s">
        <v>701</v>
      </c>
      <c r="C857" t="s">
        <v>702</v>
      </c>
      <c r="D857" t="s">
        <v>134</v>
      </c>
      <c r="E857" t="s">
        <v>135</v>
      </c>
      <c r="F857" t="s">
        <v>916</v>
      </c>
    </row>
    <row r="858" spans="1:6" x14ac:dyDescent="0.25">
      <c r="A858" t="s">
        <v>1615</v>
      </c>
      <c r="B858" t="s">
        <v>701</v>
      </c>
      <c r="C858" t="s">
        <v>702</v>
      </c>
      <c r="D858" t="s">
        <v>134</v>
      </c>
      <c r="E858" t="s">
        <v>135</v>
      </c>
      <c r="F858" t="s">
        <v>703</v>
      </c>
    </row>
    <row r="859" spans="1:6" x14ac:dyDescent="0.25">
      <c r="A859" t="s">
        <v>1616</v>
      </c>
      <c r="B859" t="s">
        <v>701</v>
      </c>
      <c r="C859" t="s">
        <v>702</v>
      </c>
      <c r="D859" t="s">
        <v>134</v>
      </c>
      <c r="E859" t="s">
        <v>135</v>
      </c>
      <c r="F859" t="s">
        <v>703</v>
      </c>
    </row>
    <row r="860" spans="1:6" x14ac:dyDescent="0.25">
      <c r="A860" t="s">
        <v>1617</v>
      </c>
      <c r="B860" t="s">
        <v>764</v>
      </c>
      <c r="C860" t="s">
        <v>702</v>
      </c>
      <c r="D860" t="s">
        <v>134</v>
      </c>
      <c r="E860" t="s">
        <v>135</v>
      </c>
      <c r="F860" t="s">
        <v>134</v>
      </c>
    </row>
    <row r="861" spans="1:6" x14ac:dyDescent="0.25">
      <c r="A861" t="s">
        <v>1618</v>
      </c>
      <c r="B861" t="s">
        <v>764</v>
      </c>
      <c r="C861" t="s">
        <v>758</v>
      </c>
      <c r="D861" t="s">
        <v>765</v>
      </c>
      <c r="E861" t="s">
        <v>337</v>
      </c>
      <c r="F861" t="s">
        <v>337</v>
      </c>
    </row>
    <row r="862" spans="1:6" x14ac:dyDescent="0.25">
      <c r="A862" t="s">
        <v>1619</v>
      </c>
      <c r="B862" t="s">
        <v>764</v>
      </c>
      <c r="C862" t="s">
        <v>758</v>
      </c>
      <c r="D862" t="s">
        <v>765</v>
      </c>
      <c r="E862" t="s">
        <v>337</v>
      </c>
      <c r="F862" t="s">
        <v>337</v>
      </c>
    </row>
    <row r="863" spans="1:6" x14ac:dyDescent="0.25">
      <c r="A863" t="s">
        <v>1620</v>
      </c>
      <c r="B863" t="s">
        <v>764</v>
      </c>
      <c r="C863" t="s">
        <v>758</v>
      </c>
      <c r="D863" t="s">
        <v>765</v>
      </c>
      <c r="E863" t="s">
        <v>337</v>
      </c>
      <c r="F863" t="s">
        <v>337</v>
      </c>
    </row>
    <row r="864" spans="1:6" x14ac:dyDescent="0.25">
      <c r="A864" t="s">
        <v>1621</v>
      </c>
      <c r="B864" t="s">
        <v>764</v>
      </c>
      <c r="C864" t="s">
        <v>758</v>
      </c>
      <c r="D864" t="s">
        <v>765</v>
      </c>
      <c r="E864" t="s">
        <v>337</v>
      </c>
      <c r="F864" t="s">
        <v>337</v>
      </c>
    </row>
    <row r="865" spans="1:6" x14ac:dyDescent="0.25">
      <c r="A865" t="s">
        <v>1622</v>
      </c>
      <c r="B865" t="s">
        <v>764</v>
      </c>
      <c r="C865" t="s">
        <v>758</v>
      </c>
      <c r="D865" t="s">
        <v>765</v>
      </c>
      <c r="E865" t="s">
        <v>337</v>
      </c>
      <c r="F865" t="s">
        <v>337</v>
      </c>
    </row>
    <row r="866" spans="1:6" x14ac:dyDescent="0.25">
      <c r="A866" t="s">
        <v>1623</v>
      </c>
      <c r="B866" t="s">
        <v>764</v>
      </c>
      <c r="C866" t="s">
        <v>758</v>
      </c>
      <c r="D866" t="s">
        <v>765</v>
      </c>
      <c r="E866" t="s">
        <v>337</v>
      </c>
      <c r="F866" t="s">
        <v>337</v>
      </c>
    </row>
    <row r="867" spans="1:6" x14ac:dyDescent="0.25">
      <c r="A867" t="s">
        <v>1624</v>
      </c>
      <c r="B867" t="s">
        <v>764</v>
      </c>
      <c r="C867" t="s">
        <v>758</v>
      </c>
      <c r="D867" t="s">
        <v>765</v>
      </c>
      <c r="E867" t="s">
        <v>337</v>
      </c>
      <c r="F867" t="s">
        <v>337</v>
      </c>
    </row>
    <row r="868" spans="1:6" x14ac:dyDescent="0.25">
      <c r="A868" t="s">
        <v>1625</v>
      </c>
      <c r="B868" t="s">
        <v>764</v>
      </c>
      <c r="C868" t="s">
        <v>758</v>
      </c>
      <c r="D868" t="s">
        <v>765</v>
      </c>
      <c r="E868" t="s">
        <v>337</v>
      </c>
      <c r="F868" t="s">
        <v>337</v>
      </c>
    </row>
    <row r="869" spans="1:6" x14ac:dyDescent="0.25">
      <c r="A869" t="s">
        <v>1626</v>
      </c>
      <c r="B869" t="s">
        <v>764</v>
      </c>
      <c r="C869" t="s">
        <v>758</v>
      </c>
      <c r="D869" t="s">
        <v>765</v>
      </c>
      <c r="E869" t="s">
        <v>337</v>
      </c>
      <c r="F869" t="s">
        <v>337</v>
      </c>
    </row>
    <row r="870" spans="1:6" x14ac:dyDescent="0.25">
      <c r="A870" t="s">
        <v>1627</v>
      </c>
      <c r="B870" t="s">
        <v>764</v>
      </c>
      <c r="C870" t="s">
        <v>758</v>
      </c>
      <c r="D870" t="s">
        <v>765</v>
      </c>
      <c r="E870" t="s">
        <v>337</v>
      </c>
      <c r="F870" t="s">
        <v>337</v>
      </c>
    </row>
    <row r="871" spans="1:6" x14ac:dyDescent="0.25">
      <c r="A871" t="s">
        <v>1628</v>
      </c>
      <c r="B871" t="s">
        <v>764</v>
      </c>
      <c r="C871" t="s">
        <v>790</v>
      </c>
      <c r="D871" t="s">
        <v>791</v>
      </c>
      <c r="E871" t="s">
        <v>598</v>
      </c>
      <c r="F871" t="s">
        <v>792</v>
      </c>
    </row>
    <row r="872" spans="1:6" x14ac:dyDescent="0.25">
      <c r="A872" t="s">
        <v>1628</v>
      </c>
      <c r="B872" t="s">
        <v>701</v>
      </c>
      <c r="C872" t="s">
        <v>790</v>
      </c>
      <c r="D872" t="s">
        <v>791</v>
      </c>
      <c r="E872" t="s">
        <v>598</v>
      </c>
      <c r="F872" t="s">
        <v>793</v>
      </c>
    </row>
    <row r="873" spans="1:5" x14ac:dyDescent="0.25">
      <c r="A873" t="s">
        <v>1629</v>
      </c>
      <c r="B873" t="s">
        <v>692</v>
      </c>
      <c r="E873" t="s">
        <v>1630</v>
      </c>
    </row>
    <row r="874" spans="1:6" x14ac:dyDescent="0.25">
      <c r="A874" t="s">
        <v>1631</v>
      </c>
      <c r="B874" t="s">
        <v>764</v>
      </c>
      <c r="C874" t="s">
        <v>706</v>
      </c>
      <c r="D874" t="s">
        <v>1043</v>
      </c>
      <c r="E874" t="s">
        <v>1044</v>
      </c>
      <c r="F874" t="s">
        <v>1045</v>
      </c>
    </row>
    <row r="875" spans="1:6" x14ac:dyDescent="0.25">
      <c r="A875" t="s">
        <v>1632</v>
      </c>
      <c r="B875" t="s">
        <v>701</v>
      </c>
      <c r="C875" t="s">
        <v>702</v>
      </c>
      <c r="D875" t="s">
        <v>761</v>
      </c>
      <c r="E875" t="s">
        <v>389</v>
      </c>
      <c r="F875" t="s">
        <v>1633</v>
      </c>
    </row>
    <row r="876" spans="1:6" x14ac:dyDescent="0.25">
      <c r="A876" t="s">
        <v>1634</v>
      </c>
      <c r="B876" t="s">
        <v>701</v>
      </c>
      <c r="C876" t="s">
        <v>702</v>
      </c>
      <c r="D876" t="s">
        <v>134</v>
      </c>
      <c r="E876" t="s">
        <v>135</v>
      </c>
      <c r="F876" t="s">
        <v>703</v>
      </c>
    </row>
    <row r="877" spans="1:6" x14ac:dyDescent="0.25">
      <c r="A877" t="s">
        <v>1635</v>
      </c>
      <c r="B877" t="s">
        <v>764</v>
      </c>
      <c r="C877" t="s">
        <v>702</v>
      </c>
      <c r="D877" t="s">
        <v>962</v>
      </c>
      <c r="E877" t="s">
        <v>103</v>
      </c>
      <c r="F877" t="s">
        <v>103</v>
      </c>
    </row>
    <row r="878" spans="1:6" x14ac:dyDescent="0.25">
      <c r="A878" t="s">
        <v>1636</v>
      </c>
      <c r="B878" t="s">
        <v>764</v>
      </c>
      <c r="C878" t="s">
        <v>758</v>
      </c>
      <c r="D878" t="s">
        <v>765</v>
      </c>
      <c r="E878" t="s">
        <v>337</v>
      </c>
      <c r="F878" t="s">
        <v>337</v>
      </c>
    </row>
    <row r="879" spans="1:6" x14ac:dyDescent="0.25">
      <c r="A879" t="s">
        <v>597</v>
      </c>
      <c r="B879" t="s">
        <v>764</v>
      </c>
      <c r="C879" t="s">
        <v>790</v>
      </c>
      <c r="D879" t="s">
        <v>791</v>
      </c>
      <c r="E879" t="s">
        <v>598</v>
      </c>
      <c r="F879" t="s">
        <v>792</v>
      </c>
    </row>
    <row r="880" spans="1:6" x14ac:dyDescent="0.25">
      <c r="A880" t="s">
        <v>597</v>
      </c>
      <c r="B880" t="s">
        <v>701</v>
      </c>
      <c r="C880" t="s">
        <v>790</v>
      </c>
      <c r="D880" t="s">
        <v>791</v>
      </c>
      <c r="E880" t="s">
        <v>598</v>
      </c>
      <c r="F880" t="s">
        <v>793</v>
      </c>
    </row>
    <row r="881" spans="1:6" x14ac:dyDescent="0.25">
      <c r="A881" t="s">
        <v>597</v>
      </c>
      <c r="B881" t="s">
        <v>794</v>
      </c>
      <c r="C881" t="s">
        <v>790</v>
      </c>
      <c r="D881" t="s">
        <v>791</v>
      </c>
      <c r="E881" t="s">
        <v>598</v>
      </c>
      <c r="F881" t="s">
        <v>793</v>
      </c>
    </row>
    <row r="882" spans="1:6" x14ac:dyDescent="0.25">
      <c r="A882" t="s">
        <v>1637</v>
      </c>
      <c r="B882" t="s">
        <v>764</v>
      </c>
      <c r="C882" t="s">
        <v>790</v>
      </c>
      <c r="D882" t="s">
        <v>791</v>
      </c>
      <c r="E882" t="s">
        <v>598</v>
      </c>
      <c r="F882" t="s">
        <v>792</v>
      </c>
    </row>
    <row r="883" spans="1:6" x14ac:dyDescent="0.25">
      <c r="A883" t="s">
        <v>1637</v>
      </c>
      <c r="B883" t="s">
        <v>701</v>
      </c>
      <c r="C883" t="s">
        <v>790</v>
      </c>
      <c r="D883" t="s">
        <v>791</v>
      </c>
      <c r="E883" t="s">
        <v>598</v>
      </c>
      <c r="F883" t="s">
        <v>793</v>
      </c>
    </row>
    <row r="884" spans="1:6" x14ac:dyDescent="0.25">
      <c r="A884" t="s">
        <v>1638</v>
      </c>
      <c r="B884" t="s">
        <v>764</v>
      </c>
      <c r="C884" t="s">
        <v>758</v>
      </c>
      <c r="D884" t="s">
        <v>875</v>
      </c>
      <c r="E884" t="s">
        <v>173</v>
      </c>
      <c r="F884" t="s">
        <v>206</v>
      </c>
    </row>
    <row r="885" spans="1:6" x14ac:dyDescent="0.25">
      <c r="A885" t="s">
        <v>1639</v>
      </c>
      <c r="B885" t="s">
        <v>764</v>
      </c>
      <c r="C885" t="s">
        <v>702</v>
      </c>
      <c r="D885" t="s">
        <v>786</v>
      </c>
      <c r="E885" t="s">
        <v>787</v>
      </c>
      <c r="F885" t="s">
        <v>788</v>
      </c>
    </row>
    <row r="886" spans="1:6" x14ac:dyDescent="0.25">
      <c r="A886" t="s">
        <v>1640</v>
      </c>
      <c r="B886" t="s">
        <v>764</v>
      </c>
      <c r="C886" t="s">
        <v>782</v>
      </c>
      <c r="D886" t="s">
        <v>849</v>
      </c>
      <c r="E886" t="s">
        <v>850</v>
      </c>
      <c r="F886" t="s">
        <v>851</v>
      </c>
    </row>
    <row r="887" spans="1:6" x14ac:dyDescent="0.25">
      <c r="A887" t="s">
        <v>1641</v>
      </c>
      <c r="B887" t="s">
        <v>764</v>
      </c>
      <c r="C887" t="s">
        <v>782</v>
      </c>
      <c r="D887" t="s">
        <v>849</v>
      </c>
      <c r="E887" t="s">
        <v>850</v>
      </c>
      <c r="F887" t="s">
        <v>851</v>
      </c>
    </row>
    <row r="888" spans="1:6" x14ac:dyDescent="0.25">
      <c r="A888" t="s">
        <v>1642</v>
      </c>
      <c r="B888" t="s">
        <v>794</v>
      </c>
      <c r="C888" t="s">
        <v>790</v>
      </c>
      <c r="D888" t="s">
        <v>791</v>
      </c>
      <c r="E888" t="s">
        <v>598</v>
      </c>
      <c r="F888" t="s">
        <v>793</v>
      </c>
    </row>
    <row r="889" spans="1:6" x14ac:dyDescent="0.25">
      <c r="A889" t="s">
        <v>1643</v>
      </c>
      <c r="B889" t="s">
        <v>764</v>
      </c>
      <c r="C889" t="s">
        <v>758</v>
      </c>
      <c r="D889" t="s">
        <v>765</v>
      </c>
      <c r="E889" t="s">
        <v>337</v>
      </c>
      <c r="F889" t="s">
        <v>337</v>
      </c>
    </row>
    <row r="890" spans="1:6" x14ac:dyDescent="0.25">
      <c r="A890" t="s">
        <v>1644</v>
      </c>
      <c r="B890" t="s">
        <v>764</v>
      </c>
      <c r="C890" t="s">
        <v>702</v>
      </c>
      <c r="D890" t="s">
        <v>134</v>
      </c>
      <c r="E890" t="s">
        <v>135</v>
      </c>
      <c r="F890" t="s">
        <v>134</v>
      </c>
    </row>
    <row r="891" spans="1:6" x14ac:dyDescent="0.25">
      <c r="A891" t="s">
        <v>1645</v>
      </c>
      <c r="B891" t="s">
        <v>764</v>
      </c>
      <c r="C891" t="s">
        <v>702</v>
      </c>
      <c r="D891" t="s">
        <v>134</v>
      </c>
      <c r="E891" t="s">
        <v>135</v>
      </c>
      <c r="F891" t="s">
        <v>134</v>
      </c>
    </row>
    <row r="892" spans="1:6" x14ac:dyDescent="0.25">
      <c r="A892" t="s">
        <v>1646</v>
      </c>
      <c r="B892" t="s">
        <v>764</v>
      </c>
      <c r="C892" t="s">
        <v>702</v>
      </c>
      <c r="D892" t="s">
        <v>134</v>
      </c>
      <c r="E892" t="s">
        <v>135</v>
      </c>
      <c r="F892" t="s">
        <v>134</v>
      </c>
    </row>
    <row r="893" spans="1:6" x14ac:dyDescent="0.25">
      <c r="A893" t="s">
        <v>1647</v>
      </c>
      <c r="B893" t="s">
        <v>764</v>
      </c>
      <c r="C893" t="s">
        <v>758</v>
      </c>
      <c r="D893" t="s">
        <v>765</v>
      </c>
      <c r="E893" t="s">
        <v>337</v>
      </c>
      <c r="F893" t="s">
        <v>337</v>
      </c>
    </row>
    <row r="894" spans="1:6" x14ac:dyDescent="0.25">
      <c r="A894" t="s">
        <v>1648</v>
      </c>
      <c r="B894" t="s">
        <v>764</v>
      </c>
      <c r="C894" t="s">
        <v>782</v>
      </c>
      <c r="D894" t="s">
        <v>783</v>
      </c>
      <c r="E894" t="s">
        <v>633</v>
      </c>
      <c r="F894" t="s">
        <v>784</v>
      </c>
    </row>
    <row r="895" spans="1:6" x14ac:dyDescent="0.25">
      <c r="A895" t="s">
        <v>1649</v>
      </c>
      <c r="B895" t="s">
        <v>764</v>
      </c>
      <c r="C895" t="s">
        <v>758</v>
      </c>
      <c r="D895" t="s">
        <v>979</v>
      </c>
      <c r="E895" t="s">
        <v>85</v>
      </c>
      <c r="F895" t="s">
        <v>124</v>
      </c>
    </row>
    <row r="896" spans="1:6" x14ac:dyDescent="0.25">
      <c r="A896" t="s">
        <v>1650</v>
      </c>
      <c r="B896" t="s">
        <v>764</v>
      </c>
      <c r="C896" t="s">
        <v>702</v>
      </c>
      <c r="D896" t="s">
        <v>761</v>
      </c>
      <c r="E896" t="s">
        <v>327</v>
      </c>
      <c r="F896" t="s">
        <v>924</v>
      </c>
    </row>
    <row r="897" spans="1:6" x14ac:dyDescent="0.25">
      <c r="A897" t="s">
        <v>1651</v>
      </c>
      <c r="B897" t="s">
        <v>764</v>
      </c>
      <c r="C897" t="s">
        <v>782</v>
      </c>
      <c r="D897" t="s">
        <v>849</v>
      </c>
      <c r="E897" t="s">
        <v>850</v>
      </c>
      <c r="F897" t="s">
        <v>851</v>
      </c>
    </row>
    <row r="898" spans="1:6" x14ac:dyDescent="0.25">
      <c r="A898" t="s">
        <v>1652</v>
      </c>
      <c r="B898" t="s">
        <v>764</v>
      </c>
      <c r="C898" t="s">
        <v>782</v>
      </c>
      <c r="D898" t="s">
        <v>849</v>
      </c>
      <c r="E898" t="s">
        <v>850</v>
      </c>
      <c r="F898" t="s">
        <v>851</v>
      </c>
    </row>
    <row r="899" spans="1:6" x14ac:dyDescent="0.25">
      <c r="A899" t="s">
        <v>1653</v>
      </c>
      <c r="B899" t="s">
        <v>764</v>
      </c>
      <c r="C899" t="s">
        <v>782</v>
      </c>
      <c r="D899" t="s">
        <v>849</v>
      </c>
      <c r="E899" t="s">
        <v>850</v>
      </c>
      <c r="F899" t="s">
        <v>851</v>
      </c>
    </row>
    <row r="900" spans="1:5" x14ac:dyDescent="0.25">
      <c r="A900" t="s">
        <v>1654</v>
      </c>
      <c r="B900" t="s">
        <v>692</v>
      </c>
      <c r="E900" t="s">
        <v>360</v>
      </c>
    </row>
    <row r="901" spans="1:6" x14ac:dyDescent="0.25">
      <c r="A901" t="s">
        <v>1655</v>
      </c>
      <c r="B901" t="s">
        <v>764</v>
      </c>
      <c r="C901" t="s">
        <v>782</v>
      </c>
      <c r="D901" t="s">
        <v>849</v>
      </c>
      <c r="E901" t="s">
        <v>850</v>
      </c>
      <c r="F901" t="s">
        <v>851</v>
      </c>
    </row>
    <row r="902" spans="1:6" x14ac:dyDescent="0.25">
      <c r="A902" t="s">
        <v>1656</v>
      </c>
      <c r="B902" t="s">
        <v>764</v>
      </c>
      <c r="C902" t="s">
        <v>782</v>
      </c>
      <c r="D902" t="s">
        <v>849</v>
      </c>
      <c r="E902" t="s">
        <v>850</v>
      </c>
      <c r="F902" t="s">
        <v>851</v>
      </c>
    </row>
    <row r="903" spans="1:6" x14ac:dyDescent="0.25">
      <c r="A903" t="s">
        <v>1657</v>
      </c>
      <c r="B903" t="s">
        <v>764</v>
      </c>
      <c r="C903" t="s">
        <v>782</v>
      </c>
      <c r="D903" t="s">
        <v>849</v>
      </c>
      <c r="E903" t="s">
        <v>850</v>
      </c>
      <c r="F903" t="s">
        <v>851</v>
      </c>
    </row>
    <row r="904" spans="1:6" x14ac:dyDescent="0.25">
      <c r="A904" t="s">
        <v>1658</v>
      </c>
      <c r="B904" t="s">
        <v>764</v>
      </c>
      <c r="C904" t="s">
        <v>782</v>
      </c>
      <c r="D904" t="s">
        <v>849</v>
      </c>
      <c r="E904" t="s">
        <v>850</v>
      </c>
      <c r="F904" t="s">
        <v>851</v>
      </c>
    </row>
    <row r="905" spans="1:6" x14ac:dyDescent="0.25">
      <c r="A905" t="s">
        <v>1659</v>
      </c>
      <c r="B905" t="s">
        <v>764</v>
      </c>
      <c r="C905" t="s">
        <v>758</v>
      </c>
      <c r="D905" t="s">
        <v>979</v>
      </c>
      <c r="E905" t="s">
        <v>85</v>
      </c>
      <c r="F905" t="s">
        <v>124</v>
      </c>
    </row>
    <row r="906" spans="1:6" x14ac:dyDescent="0.25">
      <c r="A906" t="s">
        <v>1660</v>
      </c>
      <c r="B906" t="s">
        <v>764</v>
      </c>
      <c r="C906" t="s">
        <v>758</v>
      </c>
      <c r="D906" t="s">
        <v>979</v>
      </c>
      <c r="E906" t="s">
        <v>85</v>
      </c>
      <c r="F906" t="s">
        <v>124</v>
      </c>
    </row>
    <row r="907" spans="1:6" x14ac:dyDescent="0.25">
      <c r="A907" t="s">
        <v>1661</v>
      </c>
      <c r="B907" t="s">
        <v>764</v>
      </c>
      <c r="C907" t="s">
        <v>758</v>
      </c>
      <c r="D907" t="s">
        <v>979</v>
      </c>
      <c r="E907" t="s">
        <v>85</v>
      </c>
      <c r="F907" t="s">
        <v>124</v>
      </c>
    </row>
    <row r="908" spans="1:6" x14ac:dyDescent="0.25">
      <c r="A908" t="s">
        <v>1662</v>
      </c>
      <c r="B908" t="s">
        <v>764</v>
      </c>
      <c r="C908" t="s">
        <v>758</v>
      </c>
      <c r="D908" t="s">
        <v>979</v>
      </c>
      <c r="E908" t="s">
        <v>85</v>
      </c>
      <c r="F908" t="s">
        <v>124</v>
      </c>
    </row>
    <row r="909" spans="1:6" x14ac:dyDescent="0.25">
      <c r="A909" t="s">
        <v>1663</v>
      </c>
      <c r="B909" t="s">
        <v>701</v>
      </c>
      <c r="C909" t="s">
        <v>702</v>
      </c>
      <c r="D909" t="s">
        <v>134</v>
      </c>
      <c r="E909" t="s">
        <v>135</v>
      </c>
      <c r="F909" t="s">
        <v>703</v>
      </c>
    </row>
    <row r="910" spans="1:5" x14ac:dyDescent="0.25">
      <c r="A910" t="s">
        <v>1664</v>
      </c>
      <c r="B910" t="s">
        <v>692</v>
      </c>
      <c r="E910" t="s">
        <v>327</v>
      </c>
    </row>
    <row r="911" spans="1:6" x14ac:dyDescent="0.25">
      <c r="A911" t="s">
        <v>1665</v>
      </c>
      <c r="B911" t="s">
        <v>692</v>
      </c>
      <c r="E911" t="s">
        <v>633</v>
      </c>
      <c r="F911" t="s">
        <v>73</v>
      </c>
    </row>
    <row r="912" spans="1:5" x14ac:dyDescent="0.25">
      <c r="A912" t="s">
        <v>1666</v>
      </c>
      <c r="B912" t="s">
        <v>692</v>
      </c>
      <c r="E912" t="s">
        <v>327</v>
      </c>
    </row>
    <row r="913" spans="1:6" x14ac:dyDescent="0.25">
      <c r="A913" t="s">
        <v>1667</v>
      </c>
      <c r="B913" t="s">
        <v>764</v>
      </c>
      <c r="C913" t="s">
        <v>702</v>
      </c>
      <c r="D913" t="s">
        <v>962</v>
      </c>
      <c r="E913" t="s">
        <v>103</v>
      </c>
      <c r="F913" t="s">
        <v>103</v>
      </c>
    </row>
    <row r="914" spans="1:6" x14ac:dyDescent="0.25">
      <c r="A914" t="s">
        <v>1668</v>
      </c>
      <c r="B914" t="s">
        <v>764</v>
      </c>
      <c r="C914" t="s">
        <v>702</v>
      </c>
      <c r="D914" t="s">
        <v>962</v>
      </c>
      <c r="E914" t="s">
        <v>103</v>
      </c>
      <c r="F914" t="s">
        <v>103</v>
      </c>
    </row>
    <row r="915" spans="1:5" x14ac:dyDescent="0.25">
      <c r="A915" t="s">
        <v>1669</v>
      </c>
      <c r="B915" t="s">
        <v>692</v>
      </c>
      <c r="E915" t="s">
        <v>370</v>
      </c>
    </row>
    <row r="916" spans="1:5" x14ac:dyDescent="0.25">
      <c r="A916" t="s">
        <v>1670</v>
      </c>
      <c r="B916" t="s">
        <v>692</v>
      </c>
      <c r="E916" t="s">
        <v>394</v>
      </c>
    </row>
    <row r="917" spans="1:5" x14ac:dyDescent="0.25">
      <c r="A917" t="s">
        <v>1671</v>
      </c>
      <c r="B917" t="s">
        <v>692</v>
      </c>
      <c r="E917" t="s">
        <v>97</v>
      </c>
    </row>
    <row r="918" spans="1:6" x14ac:dyDescent="0.25">
      <c r="A918" t="s">
        <v>1672</v>
      </c>
      <c r="B918" t="s">
        <v>701</v>
      </c>
      <c r="C918" t="s">
        <v>746</v>
      </c>
      <c r="D918" t="s">
        <v>747</v>
      </c>
      <c r="E918" t="s">
        <v>748</v>
      </c>
      <c r="F918" t="s">
        <v>748</v>
      </c>
    </row>
    <row r="919" spans="1:6" x14ac:dyDescent="0.25">
      <c r="A919" t="s">
        <v>1673</v>
      </c>
      <c r="B919" t="s">
        <v>701</v>
      </c>
      <c r="C919" t="s">
        <v>746</v>
      </c>
      <c r="D919" t="s">
        <v>747</v>
      </c>
      <c r="E919" t="s">
        <v>748</v>
      </c>
      <c r="F919" t="s">
        <v>748</v>
      </c>
    </row>
    <row r="920" spans="1:6" x14ac:dyDescent="0.25">
      <c r="A920" t="s">
        <v>1674</v>
      </c>
      <c r="B920" t="s">
        <v>764</v>
      </c>
      <c r="C920" t="s">
        <v>758</v>
      </c>
      <c r="D920" t="s">
        <v>979</v>
      </c>
      <c r="E920" t="s">
        <v>85</v>
      </c>
      <c r="F920" t="s">
        <v>124</v>
      </c>
    </row>
    <row r="921" spans="1:6" x14ac:dyDescent="0.25">
      <c r="A921" t="s">
        <v>1675</v>
      </c>
      <c r="B921" t="s">
        <v>701</v>
      </c>
      <c r="C921" t="s">
        <v>702</v>
      </c>
      <c r="D921" t="s">
        <v>750</v>
      </c>
      <c r="E921" t="s">
        <v>539</v>
      </c>
      <c r="F921" t="s">
        <v>751</v>
      </c>
    </row>
    <row r="922" spans="1:6" x14ac:dyDescent="0.25">
      <c r="A922" t="s">
        <v>1676</v>
      </c>
      <c r="B922" t="s">
        <v>701</v>
      </c>
      <c r="C922" t="s">
        <v>702</v>
      </c>
      <c r="D922" t="s">
        <v>134</v>
      </c>
      <c r="E922" t="s">
        <v>135</v>
      </c>
      <c r="F922" t="s">
        <v>703</v>
      </c>
    </row>
    <row r="923" spans="1:6" x14ac:dyDescent="0.25">
      <c r="A923" t="s">
        <v>1677</v>
      </c>
      <c r="B923" t="s">
        <v>701</v>
      </c>
      <c r="C923" t="s">
        <v>702</v>
      </c>
      <c r="D923" t="s">
        <v>750</v>
      </c>
      <c r="E923" t="s">
        <v>539</v>
      </c>
      <c r="F923" t="s">
        <v>751</v>
      </c>
    </row>
    <row r="924" spans="1:6" x14ac:dyDescent="0.25">
      <c r="A924" t="s">
        <v>1678</v>
      </c>
      <c r="B924" t="s">
        <v>701</v>
      </c>
      <c r="C924" t="s">
        <v>702</v>
      </c>
      <c r="D924" t="s">
        <v>134</v>
      </c>
      <c r="E924" t="s">
        <v>135</v>
      </c>
      <c r="F924" t="s">
        <v>916</v>
      </c>
    </row>
    <row r="925" spans="1:6" x14ac:dyDescent="0.25">
      <c r="A925" t="s">
        <v>1679</v>
      </c>
      <c r="B925" t="s">
        <v>692</v>
      </c>
      <c r="E925" t="s">
        <v>135</v>
      </c>
      <c r="F925" t="s">
        <v>91</v>
      </c>
    </row>
    <row r="926" spans="1:6" x14ac:dyDescent="0.25">
      <c r="A926" t="s">
        <v>1680</v>
      </c>
      <c r="B926" t="s">
        <v>701</v>
      </c>
      <c r="C926" t="s">
        <v>702</v>
      </c>
      <c r="D926" t="s">
        <v>134</v>
      </c>
      <c r="E926" t="s">
        <v>135</v>
      </c>
      <c r="F926" t="s">
        <v>916</v>
      </c>
    </row>
    <row r="927" spans="1:6" x14ac:dyDescent="0.25">
      <c r="A927" t="s">
        <v>1681</v>
      </c>
      <c r="B927" t="s">
        <v>764</v>
      </c>
      <c r="C927" t="s">
        <v>702</v>
      </c>
      <c r="D927" t="s">
        <v>134</v>
      </c>
      <c r="E927" t="s">
        <v>135</v>
      </c>
      <c r="F927" t="s">
        <v>134</v>
      </c>
    </row>
    <row r="928" spans="1:6" x14ac:dyDescent="0.25">
      <c r="A928" t="s">
        <v>1682</v>
      </c>
      <c r="B928" t="s">
        <v>692</v>
      </c>
      <c r="E928" t="s">
        <v>135</v>
      </c>
      <c r="F928" t="s">
        <v>91</v>
      </c>
    </row>
    <row r="929" spans="1:6" x14ac:dyDescent="0.25">
      <c r="A929" t="s">
        <v>1683</v>
      </c>
      <c r="B929" t="s">
        <v>764</v>
      </c>
      <c r="C929" t="s">
        <v>702</v>
      </c>
      <c r="D929" t="s">
        <v>134</v>
      </c>
      <c r="E929" t="s">
        <v>135</v>
      </c>
      <c r="F929" t="s">
        <v>134</v>
      </c>
    </row>
    <row r="930" spans="1:6" x14ac:dyDescent="0.25">
      <c r="A930" t="s">
        <v>1684</v>
      </c>
      <c r="B930" t="s">
        <v>701</v>
      </c>
      <c r="C930" t="s">
        <v>702</v>
      </c>
      <c r="D930" t="s">
        <v>134</v>
      </c>
      <c r="E930" t="s">
        <v>135</v>
      </c>
      <c r="F930" t="s">
        <v>926</v>
      </c>
    </row>
    <row r="931" spans="1:6" x14ac:dyDescent="0.25">
      <c r="A931" t="s">
        <v>1685</v>
      </c>
      <c r="B931" t="s">
        <v>692</v>
      </c>
      <c r="E931" t="s">
        <v>135</v>
      </c>
      <c r="F931" t="s">
        <v>91</v>
      </c>
    </row>
    <row r="932" spans="1:6" x14ac:dyDescent="0.25">
      <c r="A932" t="s">
        <v>1686</v>
      </c>
      <c r="B932" t="s">
        <v>764</v>
      </c>
      <c r="C932" t="s">
        <v>702</v>
      </c>
      <c r="D932" t="s">
        <v>134</v>
      </c>
      <c r="E932" t="s">
        <v>135</v>
      </c>
      <c r="F932" t="s">
        <v>134</v>
      </c>
    </row>
    <row r="933" spans="1:5" x14ac:dyDescent="0.25">
      <c r="A933" t="s">
        <v>1687</v>
      </c>
      <c r="B933" t="s">
        <v>692</v>
      </c>
      <c r="E933" t="s">
        <v>606</v>
      </c>
    </row>
    <row r="934" spans="1:6" x14ac:dyDescent="0.25">
      <c r="A934" t="s">
        <v>1688</v>
      </c>
      <c r="B934" t="s">
        <v>764</v>
      </c>
      <c r="C934" t="s">
        <v>758</v>
      </c>
      <c r="D934" t="s">
        <v>979</v>
      </c>
      <c r="E934" t="s">
        <v>987</v>
      </c>
      <c r="F934" t="s">
        <v>988</v>
      </c>
    </row>
    <row r="935" spans="1:6" x14ac:dyDescent="0.25">
      <c r="A935" t="s">
        <v>1689</v>
      </c>
      <c r="B935" t="s">
        <v>764</v>
      </c>
      <c r="C935" t="s">
        <v>758</v>
      </c>
      <c r="D935" t="s">
        <v>979</v>
      </c>
      <c r="E935" t="s">
        <v>85</v>
      </c>
      <c r="F935" t="s">
        <v>124</v>
      </c>
    </row>
    <row r="936" spans="1:6" x14ac:dyDescent="0.25">
      <c r="A936" t="s">
        <v>1690</v>
      </c>
      <c r="B936" t="s">
        <v>764</v>
      </c>
      <c r="C936" t="s">
        <v>758</v>
      </c>
      <c r="D936" t="s">
        <v>979</v>
      </c>
      <c r="E936" t="s">
        <v>85</v>
      </c>
      <c r="F936" t="s">
        <v>124</v>
      </c>
    </row>
    <row r="937" spans="1:6" x14ac:dyDescent="0.25">
      <c r="A937" t="s">
        <v>1691</v>
      </c>
      <c r="B937" t="s">
        <v>764</v>
      </c>
      <c r="C937" t="s">
        <v>758</v>
      </c>
      <c r="D937" t="s">
        <v>979</v>
      </c>
      <c r="E937" t="s">
        <v>85</v>
      </c>
      <c r="F937" t="s">
        <v>124</v>
      </c>
    </row>
    <row r="938" spans="1:6" x14ac:dyDescent="0.25">
      <c r="A938" t="s">
        <v>1692</v>
      </c>
      <c r="B938" t="s">
        <v>764</v>
      </c>
      <c r="C938" t="s">
        <v>758</v>
      </c>
      <c r="D938" t="s">
        <v>979</v>
      </c>
      <c r="E938" t="s">
        <v>85</v>
      </c>
      <c r="F938" t="s">
        <v>124</v>
      </c>
    </row>
    <row r="939" spans="1:6" x14ac:dyDescent="0.25">
      <c r="A939" t="s">
        <v>1693</v>
      </c>
      <c r="B939" t="s">
        <v>764</v>
      </c>
      <c r="C939" t="s">
        <v>758</v>
      </c>
      <c r="D939" t="s">
        <v>979</v>
      </c>
      <c r="E939" t="s">
        <v>85</v>
      </c>
      <c r="F939" t="s">
        <v>124</v>
      </c>
    </row>
    <row r="940" spans="1:6" x14ac:dyDescent="0.25">
      <c r="A940" t="s">
        <v>1694</v>
      </c>
      <c r="B940" t="s">
        <v>764</v>
      </c>
      <c r="C940" t="s">
        <v>758</v>
      </c>
      <c r="D940" t="s">
        <v>979</v>
      </c>
      <c r="E940" t="s">
        <v>85</v>
      </c>
      <c r="F940" t="s">
        <v>124</v>
      </c>
    </row>
    <row r="941" spans="1:5" x14ac:dyDescent="0.25">
      <c r="A941" t="s">
        <v>1695</v>
      </c>
      <c r="B941" t="s">
        <v>692</v>
      </c>
      <c r="E941" t="s">
        <v>1002</v>
      </c>
    </row>
    <row r="942" spans="1:6" x14ac:dyDescent="0.25">
      <c r="A942" t="s">
        <v>1696</v>
      </c>
      <c r="B942" t="s">
        <v>701</v>
      </c>
      <c r="C942" t="s">
        <v>702</v>
      </c>
      <c r="D942" t="s">
        <v>750</v>
      </c>
      <c r="E942" t="s">
        <v>1111</v>
      </c>
      <c r="F942" t="s">
        <v>1112</v>
      </c>
    </row>
    <row r="943" spans="1:6" x14ac:dyDescent="0.25">
      <c r="A943" t="s">
        <v>1697</v>
      </c>
      <c r="B943" t="s">
        <v>701</v>
      </c>
      <c r="C943" t="s">
        <v>702</v>
      </c>
      <c r="D943" t="s">
        <v>750</v>
      </c>
      <c r="E943" t="s">
        <v>1111</v>
      </c>
      <c r="F943" t="s">
        <v>1112</v>
      </c>
    </row>
    <row r="944" spans="1:6" x14ac:dyDescent="0.25">
      <c r="A944" t="s">
        <v>1698</v>
      </c>
      <c r="B944" t="s">
        <v>764</v>
      </c>
      <c r="C944" t="s">
        <v>758</v>
      </c>
      <c r="D944" t="s">
        <v>979</v>
      </c>
      <c r="E944" t="s">
        <v>85</v>
      </c>
      <c r="F944" t="s">
        <v>124</v>
      </c>
    </row>
    <row r="945" spans="1:6" x14ac:dyDescent="0.25">
      <c r="A945" t="s">
        <v>1699</v>
      </c>
      <c r="B945" t="s">
        <v>764</v>
      </c>
      <c r="C945" t="s">
        <v>758</v>
      </c>
      <c r="D945" t="s">
        <v>979</v>
      </c>
      <c r="E945" t="s">
        <v>85</v>
      </c>
      <c r="F945" t="s">
        <v>124</v>
      </c>
    </row>
    <row r="946" spans="1:6" x14ac:dyDescent="0.25">
      <c r="A946" t="s">
        <v>1700</v>
      </c>
      <c r="B946" t="s">
        <v>764</v>
      </c>
      <c r="C946" t="s">
        <v>702</v>
      </c>
      <c r="D946" t="s">
        <v>761</v>
      </c>
      <c r="E946" t="s">
        <v>327</v>
      </c>
      <c r="F946" t="s">
        <v>924</v>
      </c>
    </row>
    <row r="947" spans="1:5" x14ac:dyDescent="0.25">
      <c r="A947" t="s">
        <v>1701</v>
      </c>
      <c r="B947" t="s">
        <v>692</v>
      </c>
      <c r="E947" t="s">
        <v>1527</v>
      </c>
    </row>
    <row r="948" spans="1:6" x14ac:dyDescent="0.25">
      <c r="A948" t="s">
        <v>1702</v>
      </c>
      <c r="B948" t="s">
        <v>692</v>
      </c>
      <c r="E948" t="s">
        <v>90</v>
      </c>
      <c r="F948" t="s">
        <v>91</v>
      </c>
    </row>
    <row r="949" spans="1:6" x14ac:dyDescent="0.25">
      <c r="A949" t="s">
        <v>1703</v>
      </c>
      <c r="B949" t="s">
        <v>692</v>
      </c>
      <c r="E949" t="s">
        <v>1704</v>
      </c>
      <c r="F949" t="s">
        <v>195</v>
      </c>
    </row>
    <row r="950" spans="1:5" x14ac:dyDescent="0.25">
      <c r="A950" t="s">
        <v>1705</v>
      </c>
      <c r="B950" t="s">
        <v>692</v>
      </c>
      <c r="E950" t="s">
        <v>1704</v>
      </c>
    </row>
    <row r="951" spans="1:6" x14ac:dyDescent="0.25">
      <c r="A951" t="s">
        <v>1706</v>
      </c>
      <c r="B951" t="s">
        <v>701</v>
      </c>
      <c r="C951" t="s">
        <v>702</v>
      </c>
      <c r="D951" t="s">
        <v>827</v>
      </c>
      <c r="E951" t="s">
        <v>828</v>
      </c>
      <c r="F951" t="s">
        <v>828</v>
      </c>
    </row>
    <row r="952" spans="1:5" x14ac:dyDescent="0.25">
      <c r="A952" t="s">
        <v>1707</v>
      </c>
      <c r="B952" t="s">
        <v>692</v>
      </c>
      <c r="E952" t="s">
        <v>814</v>
      </c>
    </row>
    <row r="953" spans="1:5" x14ac:dyDescent="0.25">
      <c r="A953" t="s">
        <v>1708</v>
      </c>
      <c r="B953" t="s">
        <v>692</v>
      </c>
      <c r="E953" t="s">
        <v>288</v>
      </c>
    </row>
    <row r="954" spans="1:6" x14ac:dyDescent="0.25">
      <c r="A954" t="s">
        <v>1709</v>
      </c>
      <c r="B954" t="s">
        <v>764</v>
      </c>
      <c r="C954" t="s">
        <v>782</v>
      </c>
      <c r="D954" t="s">
        <v>783</v>
      </c>
      <c r="E954" t="s">
        <v>633</v>
      </c>
      <c r="F954" t="s">
        <v>784</v>
      </c>
    </row>
    <row r="955" spans="1:6" x14ac:dyDescent="0.25">
      <c r="A955" t="s">
        <v>1710</v>
      </c>
      <c r="B955" t="s">
        <v>764</v>
      </c>
      <c r="C955" t="s">
        <v>782</v>
      </c>
      <c r="D955" t="s">
        <v>783</v>
      </c>
      <c r="E955" t="s">
        <v>633</v>
      </c>
      <c r="F955" t="s">
        <v>784</v>
      </c>
    </row>
    <row r="956" spans="1:6" x14ac:dyDescent="0.25">
      <c r="A956" t="s">
        <v>1711</v>
      </c>
      <c r="B956" t="s">
        <v>764</v>
      </c>
      <c r="C956" t="s">
        <v>782</v>
      </c>
      <c r="D956" t="s">
        <v>836</v>
      </c>
      <c r="E956" t="s">
        <v>97</v>
      </c>
      <c r="F956" t="s">
        <v>71</v>
      </c>
    </row>
    <row r="957" spans="1:6" x14ac:dyDescent="0.25">
      <c r="A957" t="s">
        <v>1712</v>
      </c>
      <c r="B957" t="s">
        <v>764</v>
      </c>
      <c r="C957" t="s">
        <v>702</v>
      </c>
      <c r="D957" t="s">
        <v>134</v>
      </c>
      <c r="E957" t="s">
        <v>135</v>
      </c>
      <c r="F957" t="s">
        <v>134</v>
      </c>
    </row>
    <row r="958" spans="1:6" x14ac:dyDescent="0.25">
      <c r="A958" t="s">
        <v>1713</v>
      </c>
      <c r="B958" t="s">
        <v>701</v>
      </c>
      <c r="C958" t="s">
        <v>758</v>
      </c>
      <c r="D958" t="s">
        <v>759</v>
      </c>
      <c r="E958" t="s">
        <v>246</v>
      </c>
      <c r="F958" t="s">
        <v>246</v>
      </c>
    </row>
    <row r="959" spans="1:6" x14ac:dyDescent="0.25">
      <c r="A959" t="s">
        <v>1714</v>
      </c>
      <c r="B959" t="s">
        <v>701</v>
      </c>
      <c r="C959" t="s">
        <v>702</v>
      </c>
      <c r="D959" t="s">
        <v>134</v>
      </c>
      <c r="E959" t="s">
        <v>135</v>
      </c>
      <c r="F959" t="s">
        <v>1373</v>
      </c>
    </row>
    <row r="960" spans="1:6" x14ac:dyDescent="0.25">
      <c r="A960" t="s">
        <v>1715</v>
      </c>
      <c r="B960" t="s">
        <v>764</v>
      </c>
      <c r="C960" t="s">
        <v>702</v>
      </c>
      <c r="D960" t="s">
        <v>962</v>
      </c>
      <c r="E960" t="s">
        <v>103</v>
      </c>
      <c r="F960" t="s">
        <v>103</v>
      </c>
    </row>
    <row r="961" spans="1:6" x14ac:dyDescent="0.25">
      <c r="A961" t="s">
        <v>1716</v>
      </c>
      <c r="B961" t="s">
        <v>701</v>
      </c>
      <c r="C961" t="s">
        <v>702</v>
      </c>
      <c r="D961" t="s">
        <v>134</v>
      </c>
      <c r="E961" t="s">
        <v>135</v>
      </c>
      <c r="F961" t="s">
        <v>926</v>
      </c>
    </row>
    <row r="962" spans="1:6" x14ac:dyDescent="0.25">
      <c r="A962" t="s">
        <v>1717</v>
      </c>
      <c r="B962" t="s">
        <v>692</v>
      </c>
      <c r="E962" t="s">
        <v>272</v>
      </c>
      <c r="F962" t="s">
        <v>120</v>
      </c>
    </row>
    <row r="963" spans="1:6" x14ac:dyDescent="0.25">
      <c r="A963" t="s">
        <v>1718</v>
      </c>
      <c r="B963" t="s">
        <v>764</v>
      </c>
      <c r="C963" t="s">
        <v>782</v>
      </c>
      <c r="D963" t="s">
        <v>783</v>
      </c>
      <c r="E963" t="s">
        <v>633</v>
      </c>
      <c r="F963" t="s">
        <v>784</v>
      </c>
    </row>
    <row r="964" spans="1:5" x14ac:dyDescent="0.25">
      <c r="A964" t="s">
        <v>1718</v>
      </c>
      <c r="B964" t="s">
        <v>692</v>
      </c>
      <c r="C964" t="s">
        <v>782</v>
      </c>
      <c r="D964" t="s">
        <v>783</v>
      </c>
      <c r="E964" t="s">
        <v>633</v>
      </c>
    </row>
    <row r="965" spans="1:6" x14ac:dyDescent="0.25">
      <c r="A965" t="s">
        <v>1719</v>
      </c>
      <c r="B965" t="s">
        <v>764</v>
      </c>
      <c r="C965" t="s">
        <v>782</v>
      </c>
      <c r="D965" t="s">
        <v>836</v>
      </c>
      <c r="E965" t="s">
        <v>97</v>
      </c>
      <c r="F965" t="s">
        <v>71</v>
      </c>
    </row>
    <row r="966" spans="1:6" x14ac:dyDescent="0.25">
      <c r="A966" t="s">
        <v>1719</v>
      </c>
      <c r="B966" t="s">
        <v>692</v>
      </c>
      <c r="C966" t="s">
        <v>782</v>
      </c>
      <c r="D966" t="s">
        <v>836</v>
      </c>
      <c r="E966" t="s">
        <v>97</v>
      </c>
      <c r="F966" t="s">
        <v>1028</v>
      </c>
    </row>
    <row r="967" spans="1:5" x14ac:dyDescent="0.25">
      <c r="A967" t="s">
        <v>1720</v>
      </c>
      <c r="B967" t="s">
        <v>692</v>
      </c>
      <c r="E967" t="s">
        <v>1224</v>
      </c>
    </row>
    <row r="968" spans="1:6" x14ac:dyDescent="0.25">
      <c r="A968" t="s">
        <v>1721</v>
      </c>
      <c r="B968" t="s">
        <v>695</v>
      </c>
      <c r="C968" t="s">
        <v>696</v>
      </c>
      <c r="D968" t="s">
        <v>697</v>
      </c>
      <c r="E968" t="s">
        <v>698</v>
      </c>
      <c r="F968" t="s">
        <v>1722</v>
      </c>
    </row>
    <row r="969" spans="1:6" x14ac:dyDescent="0.25">
      <c r="A969" t="s">
        <v>1723</v>
      </c>
      <c r="B969" t="s">
        <v>695</v>
      </c>
      <c r="C969" t="s">
        <v>696</v>
      </c>
      <c r="D969" t="s">
        <v>697</v>
      </c>
      <c r="E969" t="s">
        <v>698</v>
      </c>
      <c r="F969" t="s">
        <v>1724</v>
      </c>
    </row>
    <row r="970" spans="1:6" x14ac:dyDescent="0.25">
      <c r="A970" t="s">
        <v>1725</v>
      </c>
      <c r="B970" t="s">
        <v>701</v>
      </c>
      <c r="C970" t="s">
        <v>702</v>
      </c>
      <c r="D970" t="s">
        <v>134</v>
      </c>
      <c r="E970" t="s">
        <v>135</v>
      </c>
      <c r="F970" t="s">
        <v>916</v>
      </c>
    </row>
    <row r="971" spans="1:6" x14ac:dyDescent="0.25">
      <c r="A971" t="s">
        <v>1726</v>
      </c>
      <c r="B971" t="s">
        <v>701</v>
      </c>
      <c r="C971" t="s">
        <v>702</v>
      </c>
      <c r="D971" t="s">
        <v>134</v>
      </c>
      <c r="E971" t="s">
        <v>135</v>
      </c>
      <c r="F971" t="s">
        <v>916</v>
      </c>
    </row>
    <row r="972" spans="1:6" x14ac:dyDescent="0.25">
      <c r="A972" t="s">
        <v>1727</v>
      </c>
      <c r="B972" t="s">
        <v>764</v>
      </c>
      <c r="C972" t="s">
        <v>758</v>
      </c>
      <c r="D972" t="s">
        <v>899</v>
      </c>
      <c r="E972" t="s">
        <v>265</v>
      </c>
      <c r="F972" t="s">
        <v>942</v>
      </c>
    </row>
    <row r="973" spans="1:5" x14ac:dyDescent="0.25">
      <c r="A973" t="s">
        <v>1728</v>
      </c>
      <c r="B973" t="s">
        <v>692</v>
      </c>
      <c r="E973" t="s">
        <v>265</v>
      </c>
    </row>
    <row r="974" spans="1:6" x14ac:dyDescent="0.25">
      <c r="A974" t="s">
        <v>1729</v>
      </c>
      <c r="B974" t="s">
        <v>764</v>
      </c>
      <c r="C974" t="s">
        <v>758</v>
      </c>
      <c r="D974" t="s">
        <v>899</v>
      </c>
      <c r="E974" t="s">
        <v>265</v>
      </c>
      <c r="F974" t="s">
        <v>942</v>
      </c>
    </row>
    <row r="975" spans="1:6" x14ac:dyDescent="0.25">
      <c r="A975" t="s">
        <v>1730</v>
      </c>
      <c r="B975" t="s">
        <v>764</v>
      </c>
      <c r="C975" t="s">
        <v>758</v>
      </c>
      <c r="D975" t="s">
        <v>979</v>
      </c>
      <c r="E975" t="s">
        <v>85</v>
      </c>
      <c r="F975" t="s">
        <v>124</v>
      </c>
    </row>
    <row r="976" spans="1:6" x14ac:dyDescent="0.25">
      <c r="A976" t="s">
        <v>1731</v>
      </c>
      <c r="B976" t="s">
        <v>764</v>
      </c>
      <c r="C976" t="s">
        <v>758</v>
      </c>
      <c r="D976" t="s">
        <v>979</v>
      </c>
      <c r="E976" t="s">
        <v>85</v>
      </c>
      <c r="F976" t="s">
        <v>124</v>
      </c>
    </row>
    <row r="977" spans="1:6" x14ac:dyDescent="0.25">
      <c r="A977" t="s">
        <v>1732</v>
      </c>
      <c r="B977" t="s">
        <v>764</v>
      </c>
      <c r="C977" t="s">
        <v>758</v>
      </c>
      <c r="D977" t="s">
        <v>979</v>
      </c>
      <c r="E977" t="s">
        <v>85</v>
      </c>
      <c r="F977" t="s">
        <v>124</v>
      </c>
    </row>
    <row r="978" spans="1:6" x14ac:dyDescent="0.25">
      <c r="A978" t="s">
        <v>1733</v>
      </c>
      <c r="B978" t="s">
        <v>701</v>
      </c>
      <c r="C978" t="s">
        <v>702</v>
      </c>
      <c r="D978" t="s">
        <v>761</v>
      </c>
      <c r="E978" t="s">
        <v>389</v>
      </c>
      <c r="F978" t="s">
        <v>762</v>
      </c>
    </row>
    <row r="979" spans="1:6" x14ac:dyDescent="0.25">
      <c r="A979" t="s">
        <v>1734</v>
      </c>
      <c r="B979" t="s">
        <v>701</v>
      </c>
      <c r="C979" t="s">
        <v>702</v>
      </c>
      <c r="D979" t="s">
        <v>761</v>
      </c>
      <c r="E979" t="s">
        <v>389</v>
      </c>
      <c r="F979" t="s">
        <v>762</v>
      </c>
    </row>
    <row r="980" spans="1:6" x14ac:dyDescent="0.25">
      <c r="A980" t="s">
        <v>1735</v>
      </c>
      <c r="B980" t="s">
        <v>764</v>
      </c>
      <c r="C980" t="s">
        <v>790</v>
      </c>
      <c r="D980" t="s">
        <v>791</v>
      </c>
      <c r="E980" t="s">
        <v>805</v>
      </c>
      <c r="F980" t="s">
        <v>806</v>
      </c>
    </row>
    <row r="981" spans="1:6" x14ac:dyDescent="0.25">
      <c r="A981" t="s">
        <v>1736</v>
      </c>
      <c r="B981" t="s">
        <v>701</v>
      </c>
      <c r="C981" t="s">
        <v>702</v>
      </c>
      <c r="D981" t="s">
        <v>134</v>
      </c>
      <c r="E981" t="s">
        <v>135</v>
      </c>
      <c r="F981" t="s">
        <v>1373</v>
      </c>
    </row>
    <row r="982" spans="1:6" x14ac:dyDescent="0.25">
      <c r="A982" t="s">
        <v>1737</v>
      </c>
      <c r="B982" t="s">
        <v>692</v>
      </c>
      <c r="E982" t="s">
        <v>272</v>
      </c>
      <c r="F982" t="s">
        <v>1738</v>
      </c>
    </row>
    <row r="983" spans="1:6" x14ac:dyDescent="0.25">
      <c r="A983" t="s">
        <v>1739</v>
      </c>
      <c r="B983" t="s">
        <v>764</v>
      </c>
      <c r="C983" t="s">
        <v>702</v>
      </c>
      <c r="D983" t="s">
        <v>134</v>
      </c>
      <c r="E983" t="s">
        <v>135</v>
      </c>
      <c r="F983" t="s">
        <v>134</v>
      </c>
    </row>
    <row r="984" spans="1:6" x14ac:dyDescent="0.25">
      <c r="A984" t="s">
        <v>1740</v>
      </c>
      <c r="B984" t="s">
        <v>764</v>
      </c>
      <c r="C984" t="s">
        <v>758</v>
      </c>
      <c r="D984" t="s">
        <v>979</v>
      </c>
      <c r="E984" t="s">
        <v>85</v>
      </c>
      <c r="F984" t="s">
        <v>124</v>
      </c>
    </row>
    <row r="985" spans="1:6" x14ac:dyDescent="0.25">
      <c r="A985" t="s">
        <v>1741</v>
      </c>
      <c r="B985" t="s">
        <v>764</v>
      </c>
      <c r="C985" t="s">
        <v>758</v>
      </c>
      <c r="D985" t="s">
        <v>979</v>
      </c>
      <c r="E985" t="s">
        <v>85</v>
      </c>
      <c r="F985" t="s">
        <v>124</v>
      </c>
    </row>
    <row r="986" spans="1:6" x14ac:dyDescent="0.25">
      <c r="A986" t="s">
        <v>1742</v>
      </c>
      <c r="B986" t="s">
        <v>764</v>
      </c>
      <c r="C986" t="s">
        <v>758</v>
      </c>
      <c r="D986" t="s">
        <v>979</v>
      </c>
      <c r="E986" t="s">
        <v>85</v>
      </c>
      <c r="F986" t="s">
        <v>124</v>
      </c>
    </row>
    <row r="987" spans="1:6" x14ac:dyDescent="0.25">
      <c r="A987" t="s">
        <v>1743</v>
      </c>
      <c r="B987" t="s">
        <v>701</v>
      </c>
      <c r="C987" t="s">
        <v>702</v>
      </c>
      <c r="D987" t="s">
        <v>134</v>
      </c>
      <c r="E987" t="s">
        <v>135</v>
      </c>
      <c r="F987" t="s">
        <v>703</v>
      </c>
    </row>
    <row r="988" spans="1:5" x14ac:dyDescent="0.25">
      <c r="A988" t="s">
        <v>1744</v>
      </c>
      <c r="B988" t="s">
        <v>692</v>
      </c>
      <c r="E988" t="s">
        <v>867</v>
      </c>
    </row>
    <row r="989" spans="1:5" x14ac:dyDescent="0.25">
      <c r="A989" t="s">
        <v>1745</v>
      </c>
      <c r="B989" t="s">
        <v>692</v>
      </c>
      <c r="E989" t="s">
        <v>1229</v>
      </c>
    </row>
    <row r="990" spans="1:5" x14ac:dyDescent="0.25">
      <c r="A990" t="s">
        <v>1746</v>
      </c>
      <c r="B990" t="s">
        <v>692</v>
      </c>
      <c r="E990" t="s">
        <v>327</v>
      </c>
    </row>
    <row r="991" spans="1:5" x14ac:dyDescent="0.25">
      <c r="A991" t="s">
        <v>1747</v>
      </c>
      <c r="B991" t="s">
        <v>692</v>
      </c>
      <c r="E991" t="s">
        <v>539</v>
      </c>
    </row>
    <row r="992" spans="1:5" x14ac:dyDescent="0.25">
      <c r="A992" t="s">
        <v>1748</v>
      </c>
      <c r="B992" t="s">
        <v>692</v>
      </c>
      <c r="E992" t="s">
        <v>265</v>
      </c>
    </row>
    <row r="993" spans="1:6" x14ac:dyDescent="0.25">
      <c r="A993" t="s">
        <v>1749</v>
      </c>
      <c r="B993" t="s">
        <v>692</v>
      </c>
      <c r="E993" t="s">
        <v>135</v>
      </c>
      <c r="F993" t="s">
        <v>1750</v>
      </c>
    </row>
    <row r="994" spans="1:5" x14ac:dyDescent="0.25">
      <c r="A994" t="s">
        <v>1751</v>
      </c>
      <c r="B994" t="s">
        <v>692</v>
      </c>
      <c r="E994" t="s">
        <v>1194</v>
      </c>
    </row>
    <row r="995" spans="1:5" x14ac:dyDescent="0.25">
      <c r="A995" t="s">
        <v>1752</v>
      </c>
      <c r="B995" t="s">
        <v>692</v>
      </c>
      <c r="E995" t="s">
        <v>1194</v>
      </c>
    </row>
    <row r="996" spans="1:5" x14ac:dyDescent="0.25">
      <c r="A996" t="s">
        <v>1753</v>
      </c>
      <c r="B996" t="s">
        <v>692</v>
      </c>
      <c r="E996" t="s">
        <v>353</v>
      </c>
    </row>
    <row r="997" spans="1:6" x14ac:dyDescent="0.25">
      <c r="A997" t="s">
        <v>1754</v>
      </c>
      <c r="B997" t="s">
        <v>701</v>
      </c>
      <c r="C997" t="s">
        <v>758</v>
      </c>
      <c r="D997" t="s">
        <v>759</v>
      </c>
      <c r="E997" t="s">
        <v>246</v>
      </c>
      <c r="F997" t="s">
        <v>246</v>
      </c>
    </row>
    <row r="998" spans="1:6" x14ac:dyDescent="0.25">
      <c r="A998" t="s">
        <v>1755</v>
      </c>
      <c r="B998" t="s">
        <v>701</v>
      </c>
      <c r="C998" t="s">
        <v>758</v>
      </c>
      <c r="D998" t="s">
        <v>759</v>
      </c>
      <c r="E998" t="s">
        <v>246</v>
      </c>
      <c r="F998" t="s">
        <v>246</v>
      </c>
    </row>
    <row r="999" spans="1:6" x14ac:dyDescent="0.25">
      <c r="A999" t="s">
        <v>1756</v>
      </c>
      <c r="B999" t="s">
        <v>701</v>
      </c>
      <c r="C999" t="s">
        <v>758</v>
      </c>
      <c r="D999" t="s">
        <v>759</v>
      </c>
      <c r="E999" t="s">
        <v>246</v>
      </c>
      <c r="F999" t="s">
        <v>246</v>
      </c>
    </row>
    <row r="1000" spans="1:5" x14ac:dyDescent="0.25">
      <c r="A1000" t="s">
        <v>1757</v>
      </c>
      <c r="B1000" t="s">
        <v>692</v>
      </c>
      <c r="E1000" t="s">
        <v>90</v>
      </c>
    </row>
    <row r="1001" spans="1:5" x14ac:dyDescent="0.25">
      <c r="A1001" t="s">
        <v>1758</v>
      </c>
      <c r="B1001" t="s">
        <v>692</v>
      </c>
      <c r="E1001" t="s">
        <v>90</v>
      </c>
    </row>
    <row r="1002" spans="1:5" x14ac:dyDescent="0.25">
      <c r="A1002" t="s">
        <v>1759</v>
      </c>
      <c r="B1002" t="s">
        <v>692</v>
      </c>
      <c r="E1002" t="s">
        <v>90</v>
      </c>
    </row>
    <row r="1003" spans="1:5" x14ac:dyDescent="0.25">
      <c r="A1003" t="s">
        <v>1760</v>
      </c>
      <c r="B1003" t="s">
        <v>692</v>
      </c>
      <c r="E1003" t="s">
        <v>90</v>
      </c>
    </row>
    <row r="1004" spans="1:5" x14ac:dyDescent="0.25">
      <c r="A1004" t="s">
        <v>1761</v>
      </c>
      <c r="B1004" t="s">
        <v>692</v>
      </c>
      <c r="E1004" t="s">
        <v>90</v>
      </c>
    </row>
    <row r="1005" spans="1:5" x14ac:dyDescent="0.25">
      <c r="A1005" t="s">
        <v>1762</v>
      </c>
      <c r="B1005" t="s">
        <v>692</v>
      </c>
      <c r="E1005" t="s">
        <v>90</v>
      </c>
    </row>
    <row r="1006" spans="1:6" x14ac:dyDescent="0.25">
      <c r="A1006" t="s">
        <v>1763</v>
      </c>
      <c r="B1006" t="s">
        <v>764</v>
      </c>
      <c r="C1006" t="s">
        <v>702</v>
      </c>
      <c r="D1006" t="s">
        <v>134</v>
      </c>
      <c r="E1006" t="s">
        <v>135</v>
      </c>
      <c r="F1006" t="s">
        <v>134</v>
      </c>
    </row>
    <row r="1007" spans="1:5" x14ac:dyDescent="0.25">
      <c r="A1007" t="s">
        <v>1764</v>
      </c>
      <c r="B1007" t="s">
        <v>692</v>
      </c>
      <c r="E1007" t="s">
        <v>85</v>
      </c>
    </row>
    <row r="1008" spans="1:6" x14ac:dyDescent="0.25">
      <c r="A1008" t="s">
        <v>1765</v>
      </c>
      <c r="B1008" t="s">
        <v>764</v>
      </c>
      <c r="C1008" t="s">
        <v>758</v>
      </c>
      <c r="D1008" t="s">
        <v>979</v>
      </c>
      <c r="E1008" t="s">
        <v>85</v>
      </c>
      <c r="F1008" t="s">
        <v>124</v>
      </c>
    </row>
    <row r="1009" spans="1:6" x14ac:dyDescent="0.25">
      <c r="A1009" t="s">
        <v>1766</v>
      </c>
      <c r="B1009" t="s">
        <v>701</v>
      </c>
      <c r="C1009" t="s">
        <v>702</v>
      </c>
      <c r="D1009" t="s">
        <v>750</v>
      </c>
      <c r="E1009" t="s">
        <v>1111</v>
      </c>
      <c r="F1009" t="s">
        <v>1112</v>
      </c>
    </row>
    <row r="1010" spans="1:6" x14ac:dyDescent="0.25">
      <c r="A1010" t="s">
        <v>1767</v>
      </c>
      <c r="B1010" t="s">
        <v>701</v>
      </c>
      <c r="C1010" t="s">
        <v>702</v>
      </c>
      <c r="D1010" t="s">
        <v>750</v>
      </c>
      <c r="E1010" t="s">
        <v>1111</v>
      </c>
      <c r="F1010" t="s">
        <v>1112</v>
      </c>
    </row>
    <row r="1011" spans="1:6" x14ac:dyDescent="0.25">
      <c r="A1011" t="s">
        <v>1768</v>
      </c>
      <c r="B1011" t="s">
        <v>695</v>
      </c>
      <c r="C1011" t="s">
        <v>702</v>
      </c>
      <c r="D1011" t="s">
        <v>750</v>
      </c>
      <c r="E1011" t="s">
        <v>539</v>
      </c>
      <c r="F1011" t="s">
        <v>1769</v>
      </c>
    </row>
    <row r="1012" spans="1:5" x14ac:dyDescent="0.25">
      <c r="A1012" t="s">
        <v>1770</v>
      </c>
      <c r="B1012" t="s">
        <v>692</v>
      </c>
      <c r="E1012" t="s">
        <v>1111</v>
      </c>
    </row>
    <row r="1013" spans="1:6" x14ac:dyDescent="0.25">
      <c r="A1013" t="s">
        <v>1771</v>
      </c>
      <c r="B1013" t="s">
        <v>701</v>
      </c>
      <c r="C1013" t="s">
        <v>702</v>
      </c>
      <c r="D1013" t="s">
        <v>134</v>
      </c>
      <c r="E1013" t="s">
        <v>135</v>
      </c>
      <c r="F1013" t="s">
        <v>703</v>
      </c>
    </row>
    <row r="1014" spans="1:6" x14ac:dyDescent="0.25">
      <c r="A1014" t="s">
        <v>1772</v>
      </c>
      <c r="B1014" t="s">
        <v>692</v>
      </c>
      <c r="E1014" t="s">
        <v>265</v>
      </c>
      <c r="F1014" t="s">
        <v>267</v>
      </c>
    </row>
    <row r="1015" spans="1:6" x14ac:dyDescent="0.25">
      <c r="A1015" t="s">
        <v>1773</v>
      </c>
      <c r="B1015" t="s">
        <v>701</v>
      </c>
      <c r="C1015" t="s">
        <v>702</v>
      </c>
      <c r="D1015" t="s">
        <v>750</v>
      </c>
      <c r="E1015" t="s">
        <v>1111</v>
      </c>
      <c r="F1015" t="s">
        <v>1112</v>
      </c>
    </row>
    <row r="1016" spans="1:6" x14ac:dyDescent="0.25">
      <c r="A1016" t="s">
        <v>1774</v>
      </c>
      <c r="B1016" t="s">
        <v>701</v>
      </c>
      <c r="C1016" t="s">
        <v>702</v>
      </c>
      <c r="D1016" t="s">
        <v>750</v>
      </c>
      <c r="E1016" t="s">
        <v>1111</v>
      </c>
      <c r="F1016" t="s">
        <v>1112</v>
      </c>
    </row>
    <row r="1017" spans="1:6" x14ac:dyDescent="0.25">
      <c r="A1017" t="s">
        <v>1775</v>
      </c>
      <c r="B1017" t="s">
        <v>764</v>
      </c>
      <c r="C1017" t="s">
        <v>782</v>
      </c>
      <c r="D1017" t="s">
        <v>783</v>
      </c>
      <c r="E1017" t="s">
        <v>633</v>
      </c>
      <c r="F1017" t="s">
        <v>784</v>
      </c>
    </row>
    <row r="1018" spans="1:5" x14ac:dyDescent="0.25">
      <c r="A1018" t="s">
        <v>1775</v>
      </c>
      <c r="B1018" t="s">
        <v>692</v>
      </c>
      <c r="E1018" t="s">
        <v>633</v>
      </c>
    </row>
    <row r="1019" spans="1:6" x14ac:dyDescent="0.25">
      <c r="A1019" t="s">
        <v>1776</v>
      </c>
      <c r="B1019" t="s">
        <v>764</v>
      </c>
      <c r="C1019" t="s">
        <v>758</v>
      </c>
      <c r="D1019" t="s">
        <v>979</v>
      </c>
      <c r="E1019" t="s">
        <v>987</v>
      </c>
      <c r="F1019" t="s">
        <v>988</v>
      </c>
    </row>
    <row r="1020" spans="1:6" x14ac:dyDescent="0.25">
      <c r="A1020" t="s">
        <v>1777</v>
      </c>
      <c r="B1020" t="s">
        <v>764</v>
      </c>
      <c r="C1020" t="s">
        <v>758</v>
      </c>
      <c r="D1020" t="s">
        <v>979</v>
      </c>
      <c r="E1020" t="s">
        <v>85</v>
      </c>
      <c r="F1020" t="s">
        <v>124</v>
      </c>
    </row>
    <row r="1021" spans="1:6" x14ac:dyDescent="0.25">
      <c r="A1021" t="s">
        <v>1778</v>
      </c>
      <c r="B1021" t="s">
        <v>764</v>
      </c>
      <c r="C1021" t="s">
        <v>758</v>
      </c>
      <c r="D1021" t="s">
        <v>979</v>
      </c>
      <c r="E1021" t="s">
        <v>85</v>
      </c>
      <c r="F1021" t="s">
        <v>124</v>
      </c>
    </row>
    <row r="1022" spans="1:6" x14ac:dyDescent="0.25">
      <c r="A1022" t="s">
        <v>1779</v>
      </c>
      <c r="B1022" t="s">
        <v>764</v>
      </c>
      <c r="C1022" t="s">
        <v>758</v>
      </c>
      <c r="D1022" t="s">
        <v>979</v>
      </c>
      <c r="E1022" t="s">
        <v>85</v>
      </c>
      <c r="F1022" t="s">
        <v>124</v>
      </c>
    </row>
    <row r="1023" spans="1:6" x14ac:dyDescent="0.25">
      <c r="A1023" t="s">
        <v>1780</v>
      </c>
      <c r="B1023" t="s">
        <v>764</v>
      </c>
      <c r="C1023" t="s">
        <v>758</v>
      </c>
      <c r="D1023" t="s">
        <v>979</v>
      </c>
      <c r="E1023" t="s">
        <v>85</v>
      </c>
      <c r="F1023" t="s">
        <v>124</v>
      </c>
    </row>
    <row r="1024" spans="1:6" x14ac:dyDescent="0.25">
      <c r="A1024" t="s">
        <v>1781</v>
      </c>
      <c r="B1024" t="s">
        <v>701</v>
      </c>
      <c r="C1024" t="s">
        <v>790</v>
      </c>
      <c r="D1024" t="s">
        <v>791</v>
      </c>
      <c r="E1024" t="s">
        <v>598</v>
      </c>
      <c r="F1024" t="s">
        <v>793</v>
      </c>
    </row>
    <row r="1025" spans="1:6" x14ac:dyDescent="0.25">
      <c r="A1025" t="s">
        <v>1782</v>
      </c>
      <c r="B1025" t="s">
        <v>701</v>
      </c>
      <c r="C1025" t="s">
        <v>702</v>
      </c>
      <c r="D1025" t="s">
        <v>750</v>
      </c>
      <c r="E1025" t="s">
        <v>1111</v>
      </c>
      <c r="F1025" t="s">
        <v>1112</v>
      </c>
    </row>
    <row r="1026" spans="1:6" x14ac:dyDescent="0.25">
      <c r="A1026" t="s">
        <v>1783</v>
      </c>
      <c r="B1026" t="s">
        <v>692</v>
      </c>
      <c r="E1026" t="s">
        <v>211</v>
      </c>
      <c r="F1026" t="s">
        <v>73</v>
      </c>
    </row>
    <row r="1027" spans="1:6" x14ac:dyDescent="0.25">
      <c r="A1027" t="s">
        <v>1784</v>
      </c>
      <c r="B1027" t="s">
        <v>764</v>
      </c>
      <c r="C1027" t="s">
        <v>758</v>
      </c>
      <c r="D1027" t="s">
        <v>765</v>
      </c>
      <c r="E1027" t="s">
        <v>337</v>
      </c>
      <c r="F1027" t="s">
        <v>337</v>
      </c>
    </row>
    <row r="1028" spans="1:6" x14ac:dyDescent="0.25">
      <c r="A1028" t="s">
        <v>1785</v>
      </c>
      <c r="B1028" t="s">
        <v>764</v>
      </c>
      <c r="C1028" t="s">
        <v>702</v>
      </c>
      <c r="D1028" t="s">
        <v>761</v>
      </c>
      <c r="E1028" t="s">
        <v>327</v>
      </c>
      <c r="F1028" t="s">
        <v>924</v>
      </c>
    </row>
    <row r="1029" spans="1:5" x14ac:dyDescent="0.25">
      <c r="A1029" t="s">
        <v>1786</v>
      </c>
      <c r="B1029" t="s">
        <v>692</v>
      </c>
      <c r="E1029" t="s">
        <v>97</v>
      </c>
    </row>
    <row r="1030" spans="1:6" x14ac:dyDescent="0.25">
      <c r="A1030" t="s">
        <v>1787</v>
      </c>
      <c r="B1030" t="s">
        <v>701</v>
      </c>
      <c r="C1030" t="s">
        <v>790</v>
      </c>
      <c r="D1030" t="s">
        <v>791</v>
      </c>
      <c r="E1030" t="s">
        <v>598</v>
      </c>
      <c r="F1030" t="s">
        <v>793</v>
      </c>
    </row>
    <row r="1031" spans="1:6" x14ac:dyDescent="0.25">
      <c r="A1031" t="s">
        <v>1788</v>
      </c>
      <c r="B1031" t="s">
        <v>764</v>
      </c>
      <c r="C1031" t="s">
        <v>758</v>
      </c>
      <c r="D1031" t="s">
        <v>979</v>
      </c>
      <c r="E1031" t="s">
        <v>85</v>
      </c>
      <c r="F1031" t="s">
        <v>124</v>
      </c>
    </row>
    <row r="1032" spans="1:6" x14ac:dyDescent="0.25">
      <c r="A1032" t="s">
        <v>1788</v>
      </c>
      <c r="B1032" t="s">
        <v>794</v>
      </c>
      <c r="C1032" t="s">
        <v>758</v>
      </c>
      <c r="D1032" t="s">
        <v>979</v>
      </c>
      <c r="E1032" t="s">
        <v>85</v>
      </c>
      <c r="F1032" t="s">
        <v>1789</v>
      </c>
    </row>
    <row r="1033" spans="1:5" x14ac:dyDescent="0.25">
      <c r="A1033" t="s">
        <v>1790</v>
      </c>
      <c r="B1033" t="s">
        <v>692</v>
      </c>
      <c r="E1033" t="s">
        <v>322</v>
      </c>
    </row>
    <row r="1034" spans="1:6" x14ac:dyDescent="0.25">
      <c r="A1034" t="s">
        <v>1791</v>
      </c>
      <c r="B1034" t="s">
        <v>764</v>
      </c>
      <c r="C1034" t="s">
        <v>758</v>
      </c>
      <c r="D1034" t="s">
        <v>979</v>
      </c>
      <c r="E1034" t="s">
        <v>85</v>
      </c>
      <c r="F1034" t="s">
        <v>124</v>
      </c>
    </row>
    <row r="1035" spans="1:6" x14ac:dyDescent="0.25">
      <c r="A1035" t="s">
        <v>1792</v>
      </c>
      <c r="B1035" t="s">
        <v>764</v>
      </c>
      <c r="C1035" t="s">
        <v>758</v>
      </c>
      <c r="D1035" t="s">
        <v>979</v>
      </c>
      <c r="E1035" t="s">
        <v>85</v>
      </c>
      <c r="F1035" t="s">
        <v>124</v>
      </c>
    </row>
    <row r="1036" spans="1:6" x14ac:dyDescent="0.25">
      <c r="A1036" t="s">
        <v>1793</v>
      </c>
      <c r="B1036" t="s">
        <v>764</v>
      </c>
      <c r="C1036" t="s">
        <v>758</v>
      </c>
      <c r="D1036" t="s">
        <v>979</v>
      </c>
      <c r="E1036" t="s">
        <v>85</v>
      </c>
      <c r="F1036" t="s">
        <v>124</v>
      </c>
    </row>
    <row r="1037" spans="1:6" x14ac:dyDescent="0.25">
      <c r="A1037" t="s">
        <v>1794</v>
      </c>
      <c r="B1037" t="s">
        <v>701</v>
      </c>
      <c r="C1037" t="s">
        <v>702</v>
      </c>
      <c r="D1037" t="s">
        <v>134</v>
      </c>
      <c r="E1037" t="s">
        <v>135</v>
      </c>
      <c r="F1037" t="s">
        <v>916</v>
      </c>
    </row>
    <row r="1038" spans="1:6" x14ac:dyDescent="0.25">
      <c r="A1038" t="s">
        <v>1795</v>
      </c>
      <c r="B1038" t="s">
        <v>764</v>
      </c>
      <c r="C1038" t="s">
        <v>702</v>
      </c>
      <c r="D1038" t="s">
        <v>962</v>
      </c>
      <c r="E1038" t="s">
        <v>103</v>
      </c>
      <c r="F1038" t="s">
        <v>103</v>
      </c>
    </row>
    <row r="1039" spans="1:6" x14ac:dyDescent="0.25">
      <c r="A1039" t="s">
        <v>1796</v>
      </c>
      <c r="B1039" t="s">
        <v>764</v>
      </c>
      <c r="C1039" t="s">
        <v>758</v>
      </c>
      <c r="D1039" t="s">
        <v>875</v>
      </c>
      <c r="E1039" t="s">
        <v>173</v>
      </c>
      <c r="F1039" t="s">
        <v>206</v>
      </c>
    </row>
    <row r="1040" spans="1:6" x14ac:dyDescent="0.25">
      <c r="A1040" t="s">
        <v>1797</v>
      </c>
      <c r="B1040" t="s">
        <v>764</v>
      </c>
      <c r="C1040" t="s">
        <v>758</v>
      </c>
      <c r="D1040" t="s">
        <v>875</v>
      </c>
      <c r="E1040" t="s">
        <v>173</v>
      </c>
      <c r="F1040" t="s">
        <v>206</v>
      </c>
    </row>
    <row r="1041" spans="1:5" x14ac:dyDescent="0.25">
      <c r="A1041" t="s">
        <v>1797</v>
      </c>
      <c r="B1041" t="s">
        <v>692</v>
      </c>
      <c r="C1041" t="s">
        <v>758</v>
      </c>
      <c r="D1041" t="s">
        <v>875</v>
      </c>
      <c r="E1041" t="s">
        <v>173</v>
      </c>
    </row>
    <row r="1042" spans="1:6" x14ac:dyDescent="0.25">
      <c r="A1042" t="s">
        <v>1798</v>
      </c>
      <c r="B1042" t="s">
        <v>764</v>
      </c>
      <c r="C1042" t="s">
        <v>758</v>
      </c>
      <c r="D1042" t="s">
        <v>875</v>
      </c>
      <c r="E1042" t="s">
        <v>173</v>
      </c>
      <c r="F1042" t="s">
        <v>206</v>
      </c>
    </row>
    <row r="1043" spans="1:6" x14ac:dyDescent="0.25">
      <c r="A1043" t="s">
        <v>1799</v>
      </c>
      <c r="B1043" t="s">
        <v>764</v>
      </c>
      <c r="C1043" t="s">
        <v>758</v>
      </c>
      <c r="D1043" t="s">
        <v>875</v>
      </c>
      <c r="E1043" t="s">
        <v>173</v>
      </c>
      <c r="F1043" t="s">
        <v>206</v>
      </c>
    </row>
    <row r="1044" spans="1:6" x14ac:dyDescent="0.25">
      <c r="A1044" t="s">
        <v>1799</v>
      </c>
      <c r="B1044" t="s">
        <v>794</v>
      </c>
      <c r="C1044" t="s">
        <v>758</v>
      </c>
      <c r="D1044" t="s">
        <v>875</v>
      </c>
      <c r="E1044" t="s">
        <v>173</v>
      </c>
      <c r="F1044" t="s">
        <v>173</v>
      </c>
    </row>
    <row r="1045" spans="1:6" x14ac:dyDescent="0.25">
      <c r="A1045" t="s">
        <v>1800</v>
      </c>
      <c r="B1045" t="s">
        <v>764</v>
      </c>
      <c r="C1045" t="s">
        <v>758</v>
      </c>
      <c r="D1045" t="s">
        <v>875</v>
      </c>
      <c r="E1045" t="s">
        <v>173</v>
      </c>
      <c r="F1045" t="s">
        <v>206</v>
      </c>
    </row>
    <row r="1046" spans="1:6" x14ac:dyDescent="0.25">
      <c r="A1046" t="s">
        <v>1800</v>
      </c>
      <c r="B1046" t="s">
        <v>794</v>
      </c>
      <c r="C1046" t="s">
        <v>758</v>
      </c>
      <c r="D1046" t="s">
        <v>875</v>
      </c>
      <c r="E1046" t="s">
        <v>173</v>
      </c>
      <c r="F1046" t="s">
        <v>173</v>
      </c>
    </row>
    <row r="1047" spans="1:6" x14ac:dyDescent="0.25">
      <c r="A1047" t="s">
        <v>1801</v>
      </c>
      <c r="B1047" t="s">
        <v>764</v>
      </c>
      <c r="C1047" t="s">
        <v>758</v>
      </c>
      <c r="D1047" t="s">
        <v>875</v>
      </c>
      <c r="E1047" t="s">
        <v>173</v>
      </c>
      <c r="F1047" t="s">
        <v>206</v>
      </c>
    </row>
    <row r="1048" spans="1:6" x14ac:dyDescent="0.25">
      <c r="A1048" t="s">
        <v>1801</v>
      </c>
      <c r="B1048" t="s">
        <v>794</v>
      </c>
      <c r="C1048" t="s">
        <v>758</v>
      </c>
      <c r="D1048" t="s">
        <v>875</v>
      </c>
      <c r="E1048" t="s">
        <v>173</v>
      </c>
      <c r="F1048" t="s">
        <v>173</v>
      </c>
    </row>
    <row r="1049" spans="1:6" x14ac:dyDescent="0.25">
      <c r="A1049" t="s">
        <v>1802</v>
      </c>
      <c r="B1049" t="s">
        <v>764</v>
      </c>
      <c r="C1049" t="s">
        <v>758</v>
      </c>
      <c r="D1049" t="s">
        <v>875</v>
      </c>
      <c r="E1049" t="s">
        <v>173</v>
      </c>
      <c r="F1049" t="s">
        <v>206</v>
      </c>
    </row>
    <row r="1050" spans="1:6" x14ac:dyDescent="0.25">
      <c r="A1050" t="s">
        <v>1802</v>
      </c>
      <c r="B1050" t="s">
        <v>794</v>
      </c>
      <c r="C1050" t="s">
        <v>758</v>
      </c>
      <c r="D1050" t="s">
        <v>875</v>
      </c>
      <c r="E1050" t="s">
        <v>173</v>
      </c>
      <c r="F1050" t="s">
        <v>173</v>
      </c>
    </row>
    <row r="1051" spans="1:5" x14ac:dyDescent="0.25">
      <c r="A1051" t="s">
        <v>1802</v>
      </c>
      <c r="B1051" t="s">
        <v>692</v>
      </c>
      <c r="C1051" t="s">
        <v>758</v>
      </c>
      <c r="D1051" t="s">
        <v>875</v>
      </c>
      <c r="E1051" t="s">
        <v>173</v>
      </c>
    </row>
    <row r="1052" spans="1:6" x14ac:dyDescent="0.25">
      <c r="A1052" t="s">
        <v>1803</v>
      </c>
      <c r="B1052" t="s">
        <v>695</v>
      </c>
      <c r="C1052" t="s">
        <v>696</v>
      </c>
      <c r="D1052" t="s">
        <v>697</v>
      </c>
      <c r="E1052" t="s">
        <v>698</v>
      </c>
      <c r="F1052" t="s">
        <v>1804</v>
      </c>
    </row>
    <row r="1053" spans="1:5" x14ac:dyDescent="0.25">
      <c r="A1053" t="s">
        <v>1805</v>
      </c>
      <c r="B1053" t="s">
        <v>692</v>
      </c>
      <c r="E1053" t="s">
        <v>353</v>
      </c>
    </row>
    <row r="1054" spans="1:6" x14ac:dyDescent="0.25">
      <c r="A1054" t="s">
        <v>1806</v>
      </c>
      <c r="B1054" t="s">
        <v>764</v>
      </c>
      <c r="C1054" t="s">
        <v>758</v>
      </c>
      <c r="D1054" t="s">
        <v>875</v>
      </c>
      <c r="E1054" t="s">
        <v>173</v>
      </c>
      <c r="F1054" t="s">
        <v>206</v>
      </c>
    </row>
    <row r="1055" spans="1:6" x14ac:dyDescent="0.25">
      <c r="A1055" t="s">
        <v>1807</v>
      </c>
      <c r="B1055" t="s">
        <v>764</v>
      </c>
      <c r="C1055" t="s">
        <v>758</v>
      </c>
      <c r="D1055" t="s">
        <v>979</v>
      </c>
      <c r="E1055" t="s">
        <v>987</v>
      </c>
      <c r="F1055" t="s">
        <v>988</v>
      </c>
    </row>
    <row r="1056" spans="1:6" x14ac:dyDescent="0.25">
      <c r="A1056" t="s">
        <v>1808</v>
      </c>
      <c r="B1056" t="s">
        <v>764</v>
      </c>
      <c r="C1056" t="s">
        <v>758</v>
      </c>
      <c r="D1056" t="s">
        <v>979</v>
      </c>
      <c r="E1056" t="s">
        <v>987</v>
      </c>
      <c r="F1056" t="s">
        <v>988</v>
      </c>
    </row>
    <row r="1057" spans="1:6" x14ac:dyDescent="0.25">
      <c r="A1057" t="s">
        <v>1809</v>
      </c>
      <c r="B1057" t="s">
        <v>764</v>
      </c>
      <c r="C1057" t="s">
        <v>758</v>
      </c>
      <c r="D1057" t="s">
        <v>875</v>
      </c>
      <c r="E1057" t="s">
        <v>173</v>
      </c>
      <c r="F1057" t="s">
        <v>206</v>
      </c>
    </row>
    <row r="1058" spans="1:6" x14ac:dyDescent="0.25">
      <c r="A1058" t="s">
        <v>1810</v>
      </c>
      <c r="B1058" t="s">
        <v>764</v>
      </c>
      <c r="C1058" t="s">
        <v>758</v>
      </c>
      <c r="D1058" t="s">
        <v>979</v>
      </c>
      <c r="E1058" t="s">
        <v>987</v>
      </c>
      <c r="F1058" t="s">
        <v>988</v>
      </c>
    </row>
    <row r="1059" spans="1:6" x14ac:dyDescent="0.25">
      <c r="A1059" t="s">
        <v>1811</v>
      </c>
      <c r="B1059" t="s">
        <v>764</v>
      </c>
      <c r="C1059" t="s">
        <v>758</v>
      </c>
      <c r="D1059" t="s">
        <v>979</v>
      </c>
      <c r="E1059" t="s">
        <v>987</v>
      </c>
      <c r="F1059" t="s">
        <v>988</v>
      </c>
    </row>
    <row r="1060" spans="1:6" x14ac:dyDescent="0.25">
      <c r="A1060" t="s">
        <v>1812</v>
      </c>
      <c r="B1060" t="s">
        <v>764</v>
      </c>
      <c r="C1060" t="s">
        <v>758</v>
      </c>
      <c r="D1060" t="s">
        <v>875</v>
      </c>
      <c r="E1060" t="s">
        <v>173</v>
      </c>
      <c r="F1060" t="s">
        <v>206</v>
      </c>
    </row>
    <row r="1061" spans="1:6" x14ac:dyDescent="0.25">
      <c r="A1061" t="s">
        <v>1813</v>
      </c>
      <c r="B1061" t="s">
        <v>764</v>
      </c>
      <c r="C1061" t="s">
        <v>758</v>
      </c>
      <c r="D1061" t="s">
        <v>875</v>
      </c>
      <c r="E1061" t="s">
        <v>173</v>
      </c>
      <c r="F1061" t="s">
        <v>206</v>
      </c>
    </row>
    <row r="1062" spans="1:6" x14ac:dyDescent="0.25">
      <c r="A1062" t="s">
        <v>1814</v>
      </c>
      <c r="B1062" t="s">
        <v>764</v>
      </c>
      <c r="C1062" t="s">
        <v>758</v>
      </c>
      <c r="D1062" t="s">
        <v>875</v>
      </c>
      <c r="E1062" t="s">
        <v>173</v>
      </c>
      <c r="F1062" t="s">
        <v>206</v>
      </c>
    </row>
    <row r="1063" spans="1:6" x14ac:dyDescent="0.25">
      <c r="A1063" t="s">
        <v>1815</v>
      </c>
      <c r="B1063" t="s">
        <v>764</v>
      </c>
      <c r="C1063" t="s">
        <v>758</v>
      </c>
      <c r="D1063" t="s">
        <v>875</v>
      </c>
      <c r="E1063" t="s">
        <v>173</v>
      </c>
      <c r="F1063" t="s">
        <v>206</v>
      </c>
    </row>
    <row r="1064" spans="1:6" x14ac:dyDescent="0.25">
      <c r="A1064" t="s">
        <v>1816</v>
      </c>
      <c r="B1064" t="s">
        <v>764</v>
      </c>
      <c r="C1064" t="s">
        <v>758</v>
      </c>
      <c r="D1064" t="s">
        <v>979</v>
      </c>
      <c r="E1064" t="s">
        <v>85</v>
      </c>
      <c r="F1064" t="s">
        <v>124</v>
      </c>
    </row>
    <row r="1065" spans="1:6" x14ac:dyDescent="0.25">
      <c r="A1065" t="s">
        <v>1817</v>
      </c>
      <c r="B1065" t="s">
        <v>764</v>
      </c>
      <c r="C1065" t="s">
        <v>758</v>
      </c>
      <c r="D1065" t="s">
        <v>875</v>
      </c>
      <c r="E1065" t="s">
        <v>173</v>
      </c>
      <c r="F1065" t="s">
        <v>206</v>
      </c>
    </row>
    <row r="1066" spans="1:6" x14ac:dyDescent="0.25">
      <c r="A1066" t="s">
        <v>1818</v>
      </c>
      <c r="B1066" t="s">
        <v>764</v>
      </c>
      <c r="C1066" t="s">
        <v>758</v>
      </c>
      <c r="D1066" t="s">
        <v>875</v>
      </c>
      <c r="E1066" t="s">
        <v>173</v>
      </c>
      <c r="F1066" t="s">
        <v>206</v>
      </c>
    </row>
    <row r="1067" spans="1:6" x14ac:dyDescent="0.25">
      <c r="A1067" t="s">
        <v>1819</v>
      </c>
      <c r="B1067" t="s">
        <v>695</v>
      </c>
      <c r="C1067" t="s">
        <v>706</v>
      </c>
      <c r="D1067" t="s">
        <v>845</v>
      </c>
      <c r="E1067" t="s">
        <v>272</v>
      </c>
      <c r="F1067" t="s">
        <v>1820</v>
      </c>
    </row>
    <row r="1068" spans="1:5" x14ac:dyDescent="0.25">
      <c r="A1068" t="s">
        <v>1821</v>
      </c>
      <c r="B1068" t="s">
        <v>692</v>
      </c>
      <c r="E1068" t="s">
        <v>1527</v>
      </c>
    </row>
    <row r="1069" spans="1:6" x14ac:dyDescent="0.25">
      <c r="A1069" t="s">
        <v>1822</v>
      </c>
      <c r="B1069" t="s">
        <v>764</v>
      </c>
      <c r="C1069" t="s">
        <v>790</v>
      </c>
      <c r="D1069" t="s">
        <v>791</v>
      </c>
      <c r="E1069" t="s">
        <v>598</v>
      </c>
      <c r="F1069" t="s">
        <v>792</v>
      </c>
    </row>
    <row r="1070" spans="1:6" x14ac:dyDescent="0.25">
      <c r="A1070" t="s">
        <v>1822</v>
      </c>
      <c r="B1070" t="s">
        <v>701</v>
      </c>
      <c r="C1070" t="s">
        <v>790</v>
      </c>
      <c r="D1070" t="s">
        <v>791</v>
      </c>
      <c r="E1070" t="s">
        <v>598</v>
      </c>
      <c r="F1070" t="s">
        <v>793</v>
      </c>
    </row>
    <row r="1071" spans="1:6" x14ac:dyDescent="0.25">
      <c r="A1071" t="s">
        <v>1823</v>
      </c>
      <c r="B1071" t="s">
        <v>764</v>
      </c>
      <c r="C1071" t="s">
        <v>790</v>
      </c>
      <c r="D1071" t="s">
        <v>791</v>
      </c>
      <c r="E1071" t="s">
        <v>598</v>
      </c>
      <c r="F1071" t="s">
        <v>792</v>
      </c>
    </row>
    <row r="1072" spans="1:6" x14ac:dyDescent="0.25">
      <c r="A1072" t="s">
        <v>1823</v>
      </c>
      <c r="B1072" t="s">
        <v>701</v>
      </c>
      <c r="C1072" t="s">
        <v>790</v>
      </c>
      <c r="D1072" t="s">
        <v>791</v>
      </c>
      <c r="E1072" t="s">
        <v>598</v>
      </c>
      <c r="F1072" t="s">
        <v>793</v>
      </c>
    </row>
    <row r="1073" spans="1:6" x14ac:dyDescent="0.25">
      <c r="A1073" t="s">
        <v>1824</v>
      </c>
      <c r="B1073" t="s">
        <v>764</v>
      </c>
      <c r="C1073" t="s">
        <v>758</v>
      </c>
      <c r="D1073" t="s">
        <v>875</v>
      </c>
      <c r="E1073" t="s">
        <v>173</v>
      </c>
      <c r="F1073" t="s">
        <v>206</v>
      </c>
    </row>
    <row r="1074" spans="1:5" x14ac:dyDescent="0.25">
      <c r="A1074" t="s">
        <v>1824</v>
      </c>
      <c r="B1074" t="s">
        <v>692</v>
      </c>
      <c r="C1074" t="s">
        <v>758</v>
      </c>
      <c r="D1074" t="s">
        <v>875</v>
      </c>
      <c r="E1074" t="s">
        <v>173</v>
      </c>
    </row>
    <row r="1075" spans="1:6" x14ac:dyDescent="0.25">
      <c r="A1075" t="s">
        <v>1825</v>
      </c>
      <c r="B1075" t="s">
        <v>764</v>
      </c>
      <c r="C1075" t="s">
        <v>758</v>
      </c>
      <c r="D1075" t="s">
        <v>765</v>
      </c>
      <c r="E1075" t="s">
        <v>337</v>
      </c>
      <c r="F1075" t="s">
        <v>337</v>
      </c>
    </row>
    <row r="1076" spans="1:5" x14ac:dyDescent="0.25">
      <c r="A1076" t="s">
        <v>1826</v>
      </c>
      <c r="B1076" t="s">
        <v>692</v>
      </c>
      <c r="E1076" t="s">
        <v>173</v>
      </c>
    </row>
    <row r="1077" spans="1:6" x14ac:dyDescent="0.25">
      <c r="A1077" t="s">
        <v>1827</v>
      </c>
      <c r="B1077" t="s">
        <v>764</v>
      </c>
      <c r="C1077" t="s">
        <v>702</v>
      </c>
      <c r="D1077" t="s">
        <v>786</v>
      </c>
      <c r="E1077" t="s">
        <v>787</v>
      </c>
      <c r="F1077" t="s">
        <v>788</v>
      </c>
    </row>
    <row r="1078" spans="1:6" x14ac:dyDescent="0.25">
      <c r="A1078" t="s">
        <v>1828</v>
      </c>
      <c r="B1078" t="s">
        <v>764</v>
      </c>
      <c r="C1078" t="s">
        <v>790</v>
      </c>
      <c r="D1078" t="s">
        <v>791</v>
      </c>
      <c r="E1078" t="s">
        <v>598</v>
      </c>
      <c r="F1078" t="s">
        <v>792</v>
      </c>
    </row>
    <row r="1079" spans="1:6" x14ac:dyDescent="0.25">
      <c r="A1079" t="s">
        <v>1828</v>
      </c>
      <c r="B1079" t="s">
        <v>701</v>
      </c>
      <c r="C1079" t="s">
        <v>790</v>
      </c>
      <c r="D1079" t="s">
        <v>791</v>
      </c>
      <c r="E1079" t="s">
        <v>598</v>
      </c>
      <c r="F1079" t="s">
        <v>793</v>
      </c>
    </row>
    <row r="1080" spans="1:6" x14ac:dyDescent="0.25">
      <c r="A1080" t="s">
        <v>1829</v>
      </c>
      <c r="B1080" t="s">
        <v>764</v>
      </c>
      <c r="C1080" t="s">
        <v>790</v>
      </c>
      <c r="D1080" t="s">
        <v>791</v>
      </c>
      <c r="E1080" t="s">
        <v>598</v>
      </c>
      <c r="F1080" t="s">
        <v>792</v>
      </c>
    </row>
    <row r="1081" spans="1:6" x14ac:dyDescent="0.25">
      <c r="A1081" t="s">
        <v>1829</v>
      </c>
      <c r="B1081" t="s">
        <v>701</v>
      </c>
      <c r="C1081" t="s">
        <v>790</v>
      </c>
      <c r="D1081" t="s">
        <v>791</v>
      </c>
      <c r="E1081" t="s">
        <v>598</v>
      </c>
      <c r="F1081" t="s">
        <v>793</v>
      </c>
    </row>
    <row r="1082" spans="1:6" x14ac:dyDescent="0.25">
      <c r="A1082" t="s">
        <v>1830</v>
      </c>
      <c r="B1082" t="s">
        <v>764</v>
      </c>
      <c r="C1082" t="s">
        <v>782</v>
      </c>
      <c r="D1082" t="s">
        <v>836</v>
      </c>
      <c r="E1082" t="s">
        <v>97</v>
      </c>
      <c r="F1082" t="s">
        <v>71</v>
      </c>
    </row>
    <row r="1083" spans="1:6" x14ac:dyDescent="0.25">
      <c r="A1083" t="s">
        <v>1831</v>
      </c>
      <c r="B1083" t="s">
        <v>764</v>
      </c>
      <c r="C1083" t="s">
        <v>702</v>
      </c>
      <c r="D1083" t="s">
        <v>761</v>
      </c>
      <c r="E1083" t="s">
        <v>327</v>
      </c>
      <c r="F1083" t="s">
        <v>924</v>
      </c>
    </row>
    <row r="1084" spans="1:6" x14ac:dyDescent="0.25">
      <c r="A1084" t="s">
        <v>1832</v>
      </c>
      <c r="B1084" t="s">
        <v>692</v>
      </c>
      <c r="E1084" t="s">
        <v>327</v>
      </c>
      <c r="F1084" t="s">
        <v>91</v>
      </c>
    </row>
    <row r="1085" spans="1:6" x14ac:dyDescent="0.25">
      <c r="A1085" t="s">
        <v>1833</v>
      </c>
      <c r="B1085" t="s">
        <v>764</v>
      </c>
      <c r="C1085" t="s">
        <v>702</v>
      </c>
      <c r="D1085" t="s">
        <v>761</v>
      </c>
      <c r="E1085" t="s">
        <v>327</v>
      </c>
      <c r="F1085" t="s">
        <v>924</v>
      </c>
    </row>
    <row r="1086" spans="1:6" x14ac:dyDescent="0.25">
      <c r="A1086" t="s">
        <v>1834</v>
      </c>
      <c r="B1086" t="s">
        <v>764</v>
      </c>
      <c r="C1086" t="s">
        <v>782</v>
      </c>
      <c r="D1086" t="s">
        <v>783</v>
      </c>
      <c r="E1086" t="s">
        <v>633</v>
      </c>
      <c r="F1086" t="s">
        <v>784</v>
      </c>
    </row>
    <row r="1087" spans="1:5" x14ac:dyDescent="0.25">
      <c r="A1087" t="s">
        <v>1834</v>
      </c>
      <c r="B1087" t="s">
        <v>692</v>
      </c>
      <c r="E1087" t="s">
        <v>633</v>
      </c>
    </row>
    <row r="1088" spans="1:5" x14ac:dyDescent="0.25">
      <c r="A1088" t="s">
        <v>1835</v>
      </c>
      <c r="B1088" t="s">
        <v>692</v>
      </c>
      <c r="E1088" t="s">
        <v>539</v>
      </c>
    </row>
    <row r="1089" spans="1:6" x14ac:dyDescent="0.25">
      <c r="A1089" t="s">
        <v>1836</v>
      </c>
      <c r="B1089" t="s">
        <v>764</v>
      </c>
      <c r="C1089" t="s">
        <v>702</v>
      </c>
      <c r="D1089" t="s">
        <v>962</v>
      </c>
      <c r="E1089" t="s">
        <v>103</v>
      </c>
      <c r="F1089" t="s">
        <v>103</v>
      </c>
    </row>
    <row r="1090" spans="1:6" x14ac:dyDescent="0.25">
      <c r="A1090" t="s">
        <v>1837</v>
      </c>
      <c r="B1090" t="s">
        <v>764</v>
      </c>
      <c r="C1090" t="s">
        <v>702</v>
      </c>
      <c r="D1090" t="s">
        <v>962</v>
      </c>
      <c r="E1090" t="s">
        <v>103</v>
      </c>
      <c r="F1090" t="s">
        <v>103</v>
      </c>
    </row>
    <row r="1091" spans="1:6" x14ac:dyDescent="0.25">
      <c r="A1091" t="s">
        <v>1838</v>
      </c>
      <c r="B1091" t="s">
        <v>764</v>
      </c>
      <c r="C1091" t="s">
        <v>702</v>
      </c>
      <c r="D1091" t="s">
        <v>962</v>
      </c>
      <c r="E1091" t="s">
        <v>103</v>
      </c>
      <c r="F1091" t="s">
        <v>103</v>
      </c>
    </row>
    <row r="1092" spans="1:6" x14ac:dyDescent="0.25">
      <c r="A1092" t="s">
        <v>1839</v>
      </c>
      <c r="B1092" t="s">
        <v>764</v>
      </c>
      <c r="C1092" t="s">
        <v>758</v>
      </c>
      <c r="D1092" t="s">
        <v>765</v>
      </c>
      <c r="E1092" t="s">
        <v>337</v>
      </c>
      <c r="F1092" t="s">
        <v>337</v>
      </c>
    </row>
    <row r="1093" spans="1:6" x14ac:dyDescent="0.25">
      <c r="A1093" t="s">
        <v>1840</v>
      </c>
      <c r="B1093" t="s">
        <v>764</v>
      </c>
      <c r="C1093" t="s">
        <v>702</v>
      </c>
      <c r="D1093" t="s">
        <v>134</v>
      </c>
      <c r="E1093" t="s">
        <v>135</v>
      </c>
      <c r="F1093" t="s">
        <v>134</v>
      </c>
    </row>
    <row r="1094" spans="1:6" x14ac:dyDescent="0.25">
      <c r="A1094" t="s">
        <v>1841</v>
      </c>
      <c r="B1094" t="s">
        <v>764</v>
      </c>
      <c r="C1094" t="s">
        <v>702</v>
      </c>
      <c r="D1094" t="s">
        <v>134</v>
      </c>
      <c r="E1094" t="s">
        <v>135</v>
      </c>
      <c r="F1094" t="s">
        <v>134</v>
      </c>
    </row>
    <row r="1095" spans="1:6" x14ac:dyDescent="0.25">
      <c r="A1095" t="s">
        <v>1841</v>
      </c>
      <c r="B1095" t="s">
        <v>701</v>
      </c>
      <c r="C1095" t="s">
        <v>702</v>
      </c>
      <c r="D1095" t="s">
        <v>134</v>
      </c>
      <c r="E1095" t="s">
        <v>135</v>
      </c>
      <c r="F1095" t="s">
        <v>916</v>
      </c>
    </row>
    <row r="1096" spans="1:6" x14ac:dyDescent="0.25">
      <c r="A1096" t="s">
        <v>1842</v>
      </c>
      <c r="B1096" t="s">
        <v>764</v>
      </c>
      <c r="C1096" t="s">
        <v>702</v>
      </c>
      <c r="D1096" t="s">
        <v>134</v>
      </c>
      <c r="E1096" t="s">
        <v>135</v>
      </c>
      <c r="F1096" t="s">
        <v>134</v>
      </c>
    </row>
    <row r="1097" spans="1:6" x14ac:dyDescent="0.25">
      <c r="A1097" t="s">
        <v>1843</v>
      </c>
      <c r="B1097" t="s">
        <v>764</v>
      </c>
      <c r="C1097" t="s">
        <v>702</v>
      </c>
      <c r="D1097" t="s">
        <v>761</v>
      </c>
      <c r="E1097" t="s">
        <v>327</v>
      </c>
      <c r="F1097" t="s">
        <v>924</v>
      </c>
    </row>
    <row r="1098" spans="1:6" x14ac:dyDescent="0.25">
      <c r="A1098" t="s">
        <v>1844</v>
      </c>
      <c r="B1098" t="s">
        <v>701</v>
      </c>
      <c r="C1098" t="s">
        <v>746</v>
      </c>
      <c r="D1098" t="s">
        <v>747</v>
      </c>
      <c r="E1098" t="s">
        <v>748</v>
      </c>
      <c r="F1098" t="s">
        <v>748</v>
      </c>
    </row>
    <row r="1099" spans="1:6" x14ac:dyDescent="0.25">
      <c r="A1099" t="s">
        <v>1845</v>
      </c>
      <c r="B1099" t="s">
        <v>701</v>
      </c>
      <c r="C1099" t="s">
        <v>702</v>
      </c>
      <c r="D1099" t="s">
        <v>827</v>
      </c>
      <c r="E1099" t="s">
        <v>828</v>
      </c>
      <c r="F1099" t="s">
        <v>828</v>
      </c>
    </row>
    <row r="1100" spans="1:6" x14ac:dyDescent="0.25">
      <c r="A1100" t="s">
        <v>1846</v>
      </c>
      <c r="B1100" t="s">
        <v>692</v>
      </c>
      <c r="E1100" t="s">
        <v>633</v>
      </c>
      <c r="F1100" t="s">
        <v>1028</v>
      </c>
    </row>
    <row r="1101" spans="1:6" x14ac:dyDescent="0.25">
      <c r="A1101" t="s">
        <v>1847</v>
      </c>
      <c r="B1101" t="s">
        <v>701</v>
      </c>
      <c r="C1101" t="s">
        <v>702</v>
      </c>
      <c r="D1101" t="s">
        <v>827</v>
      </c>
      <c r="E1101" t="s">
        <v>828</v>
      </c>
      <c r="F1101" t="s">
        <v>828</v>
      </c>
    </row>
    <row r="1102" spans="1:6" x14ac:dyDescent="0.25">
      <c r="A1102" t="s">
        <v>1848</v>
      </c>
      <c r="B1102" t="s">
        <v>764</v>
      </c>
      <c r="C1102" t="s">
        <v>702</v>
      </c>
      <c r="D1102" t="s">
        <v>761</v>
      </c>
      <c r="E1102" t="s">
        <v>327</v>
      </c>
      <c r="F1102" t="s">
        <v>924</v>
      </c>
    </row>
    <row r="1103" spans="1:6" x14ac:dyDescent="0.25">
      <c r="A1103" t="s">
        <v>1849</v>
      </c>
      <c r="B1103" t="s">
        <v>764</v>
      </c>
      <c r="C1103" t="s">
        <v>758</v>
      </c>
      <c r="D1103" t="s">
        <v>979</v>
      </c>
      <c r="E1103" t="s">
        <v>85</v>
      </c>
      <c r="F1103" t="s">
        <v>124</v>
      </c>
    </row>
    <row r="1104" spans="1:5" x14ac:dyDescent="0.25">
      <c r="A1104" t="s">
        <v>1850</v>
      </c>
      <c r="B1104" t="s">
        <v>692</v>
      </c>
      <c r="E1104" t="s">
        <v>327</v>
      </c>
    </row>
    <row r="1105" spans="1:6" x14ac:dyDescent="0.25">
      <c r="A1105" t="s">
        <v>1851</v>
      </c>
      <c r="B1105" t="s">
        <v>701</v>
      </c>
      <c r="C1105" t="s">
        <v>746</v>
      </c>
      <c r="D1105" t="s">
        <v>747</v>
      </c>
      <c r="E1105" t="s">
        <v>748</v>
      </c>
      <c r="F1105" t="s">
        <v>748</v>
      </c>
    </row>
    <row r="1106" spans="1:6" x14ac:dyDescent="0.25">
      <c r="A1106" t="s">
        <v>1852</v>
      </c>
      <c r="B1106" t="s">
        <v>701</v>
      </c>
      <c r="C1106" t="s">
        <v>746</v>
      </c>
      <c r="D1106" t="s">
        <v>747</v>
      </c>
      <c r="E1106" t="s">
        <v>748</v>
      </c>
      <c r="F1106" t="s">
        <v>748</v>
      </c>
    </row>
    <row r="1107" spans="1:6" x14ac:dyDescent="0.25">
      <c r="A1107" t="s">
        <v>1853</v>
      </c>
      <c r="B1107" t="s">
        <v>701</v>
      </c>
      <c r="C1107" t="s">
        <v>702</v>
      </c>
      <c r="D1107" t="s">
        <v>827</v>
      </c>
      <c r="E1107" t="s">
        <v>828</v>
      </c>
      <c r="F1107" t="s">
        <v>828</v>
      </c>
    </row>
    <row r="1108" spans="1:6" x14ac:dyDescent="0.25">
      <c r="A1108" t="s">
        <v>1854</v>
      </c>
      <c r="B1108" t="s">
        <v>701</v>
      </c>
      <c r="C1108" t="s">
        <v>702</v>
      </c>
      <c r="D1108" t="s">
        <v>134</v>
      </c>
      <c r="E1108" t="s">
        <v>135</v>
      </c>
      <c r="F1108" t="s">
        <v>916</v>
      </c>
    </row>
    <row r="1109" spans="1:5" x14ac:dyDescent="0.25">
      <c r="A1109" t="s">
        <v>1855</v>
      </c>
      <c r="B1109" t="s">
        <v>692</v>
      </c>
      <c r="E1109" t="s">
        <v>135</v>
      </c>
    </row>
    <row r="1110" spans="1:6" x14ac:dyDescent="0.25">
      <c r="A1110" t="s">
        <v>1856</v>
      </c>
      <c r="B1110" t="s">
        <v>701</v>
      </c>
      <c r="C1110" t="s">
        <v>702</v>
      </c>
      <c r="D1110" t="s">
        <v>134</v>
      </c>
      <c r="E1110" t="s">
        <v>135</v>
      </c>
      <c r="F1110" t="s">
        <v>916</v>
      </c>
    </row>
    <row r="1111" spans="1:6" x14ac:dyDescent="0.25">
      <c r="A1111" t="s">
        <v>1857</v>
      </c>
      <c r="B1111" t="s">
        <v>701</v>
      </c>
      <c r="C1111" t="s">
        <v>702</v>
      </c>
      <c r="D1111" t="s">
        <v>134</v>
      </c>
      <c r="E1111" t="s">
        <v>135</v>
      </c>
      <c r="F1111" t="s">
        <v>916</v>
      </c>
    </row>
    <row r="1112" spans="1:6" x14ac:dyDescent="0.25">
      <c r="A1112" t="s">
        <v>1858</v>
      </c>
      <c r="B1112" t="s">
        <v>764</v>
      </c>
      <c r="C1112" t="s">
        <v>790</v>
      </c>
      <c r="D1112" t="s">
        <v>791</v>
      </c>
      <c r="E1112" t="s">
        <v>805</v>
      </c>
      <c r="F1112" t="s">
        <v>806</v>
      </c>
    </row>
    <row r="1113" spans="1:6" x14ac:dyDescent="0.25">
      <c r="A1113" t="s">
        <v>1858</v>
      </c>
      <c r="B1113" t="s">
        <v>701</v>
      </c>
      <c r="C1113" t="s">
        <v>790</v>
      </c>
      <c r="D1113" t="s">
        <v>791</v>
      </c>
      <c r="E1113" t="s">
        <v>805</v>
      </c>
      <c r="F1113" t="s">
        <v>806</v>
      </c>
    </row>
    <row r="1114" spans="1:6" x14ac:dyDescent="0.25">
      <c r="A1114" t="s">
        <v>1859</v>
      </c>
      <c r="B1114" t="s">
        <v>764</v>
      </c>
      <c r="C1114" t="s">
        <v>790</v>
      </c>
      <c r="D1114" t="s">
        <v>791</v>
      </c>
      <c r="E1114" t="s">
        <v>598</v>
      </c>
      <c r="F1114" t="s">
        <v>792</v>
      </c>
    </row>
    <row r="1115" spans="1:6" x14ac:dyDescent="0.25">
      <c r="A1115" t="s">
        <v>1859</v>
      </c>
      <c r="B1115" t="s">
        <v>701</v>
      </c>
      <c r="C1115" t="s">
        <v>790</v>
      </c>
      <c r="D1115" t="s">
        <v>791</v>
      </c>
      <c r="E1115" t="s">
        <v>598</v>
      </c>
      <c r="F1115" t="s">
        <v>793</v>
      </c>
    </row>
    <row r="1116" spans="1:6" x14ac:dyDescent="0.25">
      <c r="A1116" t="s">
        <v>1860</v>
      </c>
      <c r="B1116" t="s">
        <v>764</v>
      </c>
      <c r="C1116" t="s">
        <v>706</v>
      </c>
      <c r="D1116" t="s">
        <v>1043</v>
      </c>
      <c r="E1116" t="s">
        <v>1044</v>
      </c>
      <c r="F1116" t="s">
        <v>1045</v>
      </c>
    </row>
    <row r="1117" spans="1:6" x14ac:dyDescent="0.25">
      <c r="A1117" t="s">
        <v>1861</v>
      </c>
      <c r="B1117" t="s">
        <v>764</v>
      </c>
      <c r="C1117" t="s">
        <v>758</v>
      </c>
      <c r="D1117" t="s">
        <v>979</v>
      </c>
      <c r="E1117" t="s">
        <v>85</v>
      </c>
      <c r="F1117" t="s">
        <v>124</v>
      </c>
    </row>
    <row r="1118" spans="1:6" x14ac:dyDescent="0.25">
      <c r="A1118" t="s">
        <v>1862</v>
      </c>
      <c r="B1118" t="s">
        <v>764</v>
      </c>
      <c r="C1118" t="s">
        <v>758</v>
      </c>
      <c r="D1118" t="s">
        <v>979</v>
      </c>
      <c r="E1118" t="s">
        <v>85</v>
      </c>
      <c r="F1118" t="s">
        <v>124</v>
      </c>
    </row>
    <row r="1119" spans="1:6" x14ac:dyDescent="0.25">
      <c r="A1119" t="s">
        <v>1863</v>
      </c>
      <c r="B1119" t="s">
        <v>764</v>
      </c>
      <c r="C1119" t="s">
        <v>706</v>
      </c>
      <c r="D1119" t="s">
        <v>1043</v>
      </c>
      <c r="E1119" t="s">
        <v>1044</v>
      </c>
      <c r="F1119" t="s">
        <v>1045</v>
      </c>
    </row>
    <row r="1120" spans="1:6" x14ac:dyDescent="0.25">
      <c r="A1120" t="s">
        <v>1864</v>
      </c>
      <c r="B1120" t="s">
        <v>764</v>
      </c>
      <c r="C1120" t="s">
        <v>758</v>
      </c>
      <c r="D1120" t="s">
        <v>765</v>
      </c>
      <c r="E1120" t="s">
        <v>337</v>
      </c>
      <c r="F1120" t="s">
        <v>337</v>
      </c>
    </row>
    <row r="1121" spans="1:6" x14ac:dyDescent="0.25">
      <c r="A1121" t="s">
        <v>1865</v>
      </c>
      <c r="B1121" t="s">
        <v>764</v>
      </c>
      <c r="C1121" t="s">
        <v>758</v>
      </c>
      <c r="D1121" t="s">
        <v>765</v>
      </c>
      <c r="E1121" t="s">
        <v>337</v>
      </c>
      <c r="F1121" t="s">
        <v>337</v>
      </c>
    </row>
    <row r="1122" spans="1:6" x14ac:dyDescent="0.25">
      <c r="A1122" t="s">
        <v>1866</v>
      </c>
      <c r="B1122" t="s">
        <v>764</v>
      </c>
      <c r="C1122" t="s">
        <v>782</v>
      </c>
      <c r="D1122" t="s">
        <v>849</v>
      </c>
      <c r="E1122" t="s">
        <v>850</v>
      </c>
      <c r="F1122" t="s">
        <v>851</v>
      </c>
    </row>
    <row r="1123" spans="1:6" x14ac:dyDescent="0.25">
      <c r="A1123" t="s">
        <v>1867</v>
      </c>
      <c r="B1123" t="s">
        <v>764</v>
      </c>
      <c r="C1123" t="s">
        <v>782</v>
      </c>
      <c r="D1123" t="s">
        <v>849</v>
      </c>
      <c r="E1123" t="s">
        <v>850</v>
      </c>
      <c r="F1123" t="s">
        <v>851</v>
      </c>
    </row>
    <row r="1124" spans="1:6" x14ac:dyDescent="0.25">
      <c r="A1124" t="s">
        <v>1868</v>
      </c>
      <c r="B1124" t="s">
        <v>764</v>
      </c>
      <c r="C1124" t="s">
        <v>782</v>
      </c>
      <c r="D1124" t="s">
        <v>849</v>
      </c>
      <c r="E1124" t="s">
        <v>850</v>
      </c>
      <c r="F1124" t="s">
        <v>851</v>
      </c>
    </row>
    <row r="1125" spans="1:6" x14ac:dyDescent="0.25">
      <c r="A1125" t="s">
        <v>1869</v>
      </c>
      <c r="B1125" t="s">
        <v>764</v>
      </c>
      <c r="C1125" t="s">
        <v>758</v>
      </c>
      <c r="D1125" t="s">
        <v>979</v>
      </c>
      <c r="E1125" t="s">
        <v>85</v>
      </c>
      <c r="F1125" t="s">
        <v>124</v>
      </c>
    </row>
    <row r="1126" spans="1:6" x14ac:dyDescent="0.25">
      <c r="A1126" t="s">
        <v>1870</v>
      </c>
      <c r="B1126" t="s">
        <v>764</v>
      </c>
      <c r="C1126" t="s">
        <v>758</v>
      </c>
      <c r="D1126" t="s">
        <v>979</v>
      </c>
      <c r="E1126" t="s">
        <v>85</v>
      </c>
      <c r="F1126" t="s">
        <v>124</v>
      </c>
    </row>
    <row r="1127" spans="1:6" x14ac:dyDescent="0.25">
      <c r="A1127" t="s">
        <v>1871</v>
      </c>
      <c r="B1127" t="s">
        <v>764</v>
      </c>
      <c r="C1127" t="s">
        <v>702</v>
      </c>
      <c r="D1127" t="s">
        <v>761</v>
      </c>
      <c r="E1127" t="s">
        <v>327</v>
      </c>
      <c r="F1127" t="s">
        <v>924</v>
      </c>
    </row>
    <row r="1128" spans="1:6" x14ac:dyDescent="0.25">
      <c r="A1128" t="s">
        <v>1872</v>
      </c>
      <c r="B1128" t="s">
        <v>764</v>
      </c>
      <c r="C1128" t="s">
        <v>702</v>
      </c>
      <c r="D1128" t="s">
        <v>761</v>
      </c>
      <c r="E1128" t="s">
        <v>327</v>
      </c>
      <c r="F1128" t="s">
        <v>924</v>
      </c>
    </row>
    <row r="1129" spans="1:6" x14ac:dyDescent="0.25">
      <c r="A1129" t="s">
        <v>1873</v>
      </c>
      <c r="B1129" t="s">
        <v>764</v>
      </c>
      <c r="C1129" t="s">
        <v>702</v>
      </c>
      <c r="D1129" t="s">
        <v>761</v>
      </c>
      <c r="E1129" t="s">
        <v>327</v>
      </c>
      <c r="F1129" t="s">
        <v>924</v>
      </c>
    </row>
    <row r="1130" spans="1:6" x14ac:dyDescent="0.25">
      <c r="A1130" t="s">
        <v>1874</v>
      </c>
      <c r="B1130" t="s">
        <v>764</v>
      </c>
      <c r="C1130" t="s">
        <v>702</v>
      </c>
      <c r="D1130" t="s">
        <v>962</v>
      </c>
      <c r="E1130" t="s">
        <v>103</v>
      </c>
      <c r="F1130" t="s">
        <v>103</v>
      </c>
    </row>
    <row r="1131" spans="1:5" x14ac:dyDescent="0.25">
      <c r="A1131" t="s">
        <v>414</v>
      </c>
      <c r="B1131" t="s">
        <v>692</v>
      </c>
      <c r="E1131" t="s">
        <v>254</v>
      </c>
    </row>
    <row r="1132" spans="1:6" x14ac:dyDescent="0.25">
      <c r="A1132" t="s">
        <v>1875</v>
      </c>
      <c r="B1132" t="s">
        <v>764</v>
      </c>
      <c r="C1132" t="s">
        <v>702</v>
      </c>
      <c r="D1132" t="s">
        <v>761</v>
      </c>
      <c r="E1132" t="s">
        <v>327</v>
      </c>
      <c r="F1132" t="s">
        <v>924</v>
      </c>
    </row>
    <row r="1133" spans="1:6" x14ac:dyDescent="0.25">
      <c r="A1133" t="s">
        <v>1876</v>
      </c>
      <c r="B1133" t="s">
        <v>764</v>
      </c>
      <c r="C1133" t="s">
        <v>702</v>
      </c>
      <c r="D1133" t="s">
        <v>761</v>
      </c>
      <c r="E1133" t="s">
        <v>327</v>
      </c>
      <c r="F1133" t="s">
        <v>924</v>
      </c>
    </row>
    <row r="1134" spans="1:5" x14ac:dyDescent="0.25">
      <c r="A1134" t="s">
        <v>1877</v>
      </c>
      <c r="B1134" t="s">
        <v>692</v>
      </c>
      <c r="E1134" t="s">
        <v>254</v>
      </c>
    </row>
    <row r="1135" spans="1:6" x14ac:dyDescent="0.25">
      <c r="A1135" t="s">
        <v>1878</v>
      </c>
      <c r="B1135" t="s">
        <v>764</v>
      </c>
      <c r="C1135" t="s">
        <v>790</v>
      </c>
      <c r="D1135" t="s">
        <v>791</v>
      </c>
      <c r="E1135" t="s">
        <v>598</v>
      </c>
      <c r="F1135" t="s">
        <v>792</v>
      </c>
    </row>
    <row r="1136" spans="1:6" x14ac:dyDescent="0.25">
      <c r="A1136" t="s">
        <v>1878</v>
      </c>
      <c r="B1136" t="s">
        <v>701</v>
      </c>
      <c r="C1136" t="s">
        <v>790</v>
      </c>
      <c r="D1136" t="s">
        <v>791</v>
      </c>
      <c r="E1136" t="s">
        <v>598</v>
      </c>
      <c r="F1136" t="s">
        <v>793</v>
      </c>
    </row>
    <row r="1137" spans="1:6" x14ac:dyDescent="0.25">
      <c r="A1137" t="s">
        <v>1879</v>
      </c>
      <c r="B1137" t="s">
        <v>695</v>
      </c>
      <c r="C1137" t="s">
        <v>790</v>
      </c>
      <c r="D1137" t="s">
        <v>791</v>
      </c>
      <c r="E1137" t="s">
        <v>598</v>
      </c>
      <c r="F1137" t="s">
        <v>1880</v>
      </c>
    </row>
    <row r="1138" spans="1:6" x14ac:dyDescent="0.25">
      <c r="A1138" t="s">
        <v>1881</v>
      </c>
      <c r="B1138" t="s">
        <v>701</v>
      </c>
      <c r="C1138" t="s">
        <v>702</v>
      </c>
      <c r="D1138" t="s">
        <v>134</v>
      </c>
      <c r="E1138" t="s">
        <v>135</v>
      </c>
      <c r="F1138" t="s">
        <v>916</v>
      </c>
    </row>
    <row r="1139" spans="1:6" x14ac:dyDescent="0.25">
      <c r="A1139" t="s">
        <v>1882</v>
      </c>
      <c r="B1139" t="s">
        <v>701</v>
      </c>
      <c r="C1139" t="s">
        <v>702</v>
      </c>
      <c r="D1139" t="s">
        <v>134</v>
      </c>
      <c r="E1139" t="s">
        <v>135</v>
      </c>
      <c r="F1139" t="s">
        <v>916</v>
      </c>
    </row>
    <row r="1140" spans="1:6" x14ac:dyDescent="0.25">
      <c r="A1140" t="s">
        <v>1883</v>
      </c>
      <c r="B1140" t="s">
        <v>701</v>
      </c>
      <c r="C1140" t="s">
        <v>702</v>
      </c>
      <c r="D1140" t="s">
        <v>134</v>
      </c>
      <c r="E1140" t="s">
        <v>135</v>
      </c>
      <c r="F1140" t="s">
        <v>916</v>
      </c>
    </row>
    <row r="1141" spans="1:6" x14ac:dyDescent="0.25">
      <c r="A1141" t="s">
        <v>1884</v>
      </c>
      <c r="B1141" t="s">
        <v>701</v>
      </c>
      <c r="C1141" t="s">
        <v>702</v>
      </c>
      <c r="D1141" t="s">
        <v>134</v>
      </c>
      <c r="E1141" t="s">
        <v>135</v>
      </c>
      <c r="F1141" t="s">
        <v>916</v>
      </c>
    </row>
    <row r="1142" spans="1:5" x14ac:dyDescent="0.25">
      <c r="A1142" t="s">
        <v>1885</v>
      </c>
      <c r="B1142" t="s">
        <v>692</v>
      </c>
      <c r="E1142" t="s">
        <v>135</v>
      </c>
    </row>
    <row r="1143" spans="1:6" x14ac:dyDescent="0.25">
      <c r="A1143" t="s">
        <v>1886</v>
      </c>
      <c r="B1143" t="s">
        <v>701</v>
      </c>
      <c r="C1143" t="s">
        <v>702</v>
      </c>
      <c r="D1143" t="s">
        <v>134</v>
      </c>
      <c r="E1143" t="s">
        <v>135</v>
      </c>
      <c r="F1143" t="s">
        <v>1373</v>
      </c>
    </row>
    <row r="1144" spans="1:6" x14ac:dyDescent="0.25">
      <c r="A1144" t="s">
        <v>1887</v>
      </c>
      <c r="B1144" t="s">
        <v>701</v>
      </c>
      <c r="C1144" t="s">
        <v>702</v>
      </c>
      <c r="D1144" t="s">
        <v>134</v>
      </c>
      <c r="E1144" t="s">
        <v>135</v>
      </c>
      <c r="F1144" t="s">
        <v>1373</v>
      </c>
    </row>
    <row r="1145" spans="1:6" x14ac:dyDescent="0.25">
      <c r="A1145" t="s">
        <v>1888</v>
      </c>
      <c r="B1145" t="s">
        <v>692</v>
      </c>
      <c r="E1145" t="s">
        <v>265</v>
      </c>
      <c r="F1145" t="s">
        <v>267</v>
      </c>
    </row>
    <row r="1146" spans="1:6" x14ac:dyDescent="0.25">
      <c r="A1146" t="s">
        <v>1889</v>
      </c>
      <c r="B1146" t="s">
        <v>764</v>
      </c>
      <c r="C1146" t="s">
        <v>706</v>
      </c>
      <c r="D1146" t="s">
        <v>1043</v>
      </c>
      <c r="E1146" t="s">
        <v>1044</v>
      </c>
      <c r="F1146" t="s">
        <v>1045</v>
      </c>
    </row>
    <row r="1147" spans="1:5" x14ac:dyDescent="0.25">
      <c r="A1147" t="s">
        <v>1890</v>
      </c>
      <c r="B1147" t="s">
        <v>692</v>
      </c>
      <c r="E1147" t="s">
        <v>265</v>
      </c>
    </row>
    <row r="1148" spans="1:5" x14ac:dyDescent="0.25">
      <c r="A1148" t="s">
        <v>1891</v>
      </c>
      <c r="B1148" t="s">
        <v>692</v>
      </c>
      <c r="E1148" t="s">
        <v>981</v>
      </c>
    </row>
    <row r="1149" spans="1:6" x14ac:dyDescent="0.25">
      <c r="A1149" t="s">
        <v>1892</v>
      </c>
      <c r="B1149" t="s">
        <v>701</v>
      </c>
      <c r="C1149" t="s">
        <v>702</v>
      </c>
      <c r="D1149" t="s">
        <v>750</v>
      </c>
      <c r="E1149" t="s">
        <v>539</v>
      </c>
      <c r="F1149" t="s">
        <v>751</v>
      </c>
    </row>
    <row r="1150" spans="1:6" x14ac:dyDescent="0.25">
      <c r="A1150" t="s">
        <v>1893</v>
      </c>
      <c r="B1150" t="s">
        <v>764</v>
      </c>
      <c r="C1150" t="s">
        <v>702</v>
      </c>
      <c r="D1150" t="s">
        <v>962</v>
      </c>
      <c r="E1150" t="s">
        <v>103</v>
      </c>
      <c r="F1150" t="s">
        <v>103</v>
      </c>
    </row>
    <row r="1151" spans="1:6" x14ac:dyDescent="0.25">
      <c r="A1151" t="s">
        <v>1894</v>
      </c>
      <c r="B1151" t="s">
        <v>764</v>
      </c>
      <c r="C1151" t="s">
        <v>702</v>
      </c>
      <c r="D1151" t="s">
        <v>962</v>
      </c>
      <c r="E1151" t="s">
        <v>103</v>
      </c>
      <c r="F1151" t="s">
        <v>103</v>
      </c>
    </row>
    <row r="1152" spans="1:6" x14ac:dyDescent="0.25">
      <c r="A1152" t="s">
        <v>1895</v>
      </c>
      <c r="B1152" t="s">
        <v>764</v>
      </c>
      <c r="C1152" t="s">
        <v>702</v>
      </c>
      <c r="D1152" t="s">
        <v>962</v>
      </c>
      <c r="E1152" t="s">
        <v>103</v>
      </c>
      <c r="F1152" t="s">
        <v>103</v>
      </c>
    </row>
    <row r="1153" spans="1:6" x14ac:dyDescent="0.25">
      <c r="A1153" t="s">
        <v>1896</v>
      </c>
      <c r="B1153" t="s">
        <v>764</v>
      </c>
      <c r="C1153" t="s">
        <v>702</v>
      </c>
      <c r="D1153" t="s">
        <v>962</v>
      </c>
      <c r="E1153" t="s">
        <v>103</v>
      </c>
      <c r="F1153" t="s">
        <v>103</v>
      </c>
    </row>
    <row r="1154" spans="1:6" x14ac:dyDescent="0.25">
      <c r="A1154" t="s">
        <v>1897</v>
      </c>
      <c r="B1154" t="s">
        <v>764</v>
      </c>
      <c r="C1154" t="s">
        <v>702</v>
      </c>
      <c r="D1154" t="s">
        <v>962</v>
      </c>
      <c r="E1154" t="s">
        <v>103</v>
      </c>
      <c r="F1154" t="s">
        <v>103</v>
      </c>
    </row>
    <row r="1155" spans="1:6" x14ac:dyDescent="0.25">
      <c r="A1155" t="s">
        <v>1898</v>
      </c>
      <c r="B1155" t="s">
        <v>764</v>
      </c>
      <c r="C1155" t="s">
        <v>702</v>
      </c>
      <c r="D1155" t="s">
        <v>962</v>
      </c>
      <c r="E1155" t="s">
        <v>103</v>
      </c>
      <c r="F1155" t="s">
        <v>103</v>
      </c>
    </row>
    <row r="1156" spans="1:6" x14ac:dyDescent="0.25">
      <c r="A1156" t="s">
        <v>1899</v>
      </c>
      <c r="B1156" t="s">
        <v>764</v>
      </c>
      <c r="C1156" t="s">
        <v>702</v>
      </c>
      <c r="D1156" t="s">
        <v>962</v>
      </c>
      <c r="E1156" t="s">
        <v>103</v>
      </c>
      <c r="F1156" t="s">
        <v>103</v>
      </c>
    </row>
    <row r="1157" spans="1:5" x14ac:dyDescent="0.25">
      <c r="A1157" t="s">
        <v>1900</v>
      </c>
      <c r="B1157" t="s">
        <v>692</v>
      </c>
      <c r="E1157" t="s">
        <v>1901</v>
      </c>
    </row>
    <row r="1158" spans="1:6" x14ac:dyDescent="0.25">
      <c r="A1158" t="s">
        <v>1902</v>
      </c>
      <c r="B1158" t="s">
        <v>764</v>
      </c>
      <c r="C1158" t="s">
        <v>702</v>
      </c>
      <c r="D1158" t="s">
        <v>786</v>
      </c>
      <c r="E1158" t="s">
        <v>787</v>
      </c>
      <c r="F1158" t="s">
        <v>788</v>
      </c>
    </row>
    <row r="1159" spans="1:6" x14ac:dyDescent="0.25">
      <c r="A1159" t="s">
        <v>1903</v>
      </c>
      <c r="B1159" t="s">
        <v>764</v>
      </c>
      <c r="C1159" t="s">
        <v>702</v>
      </c>
      <c r="D1159" t="s">
        <v>786</v>
      </c>
      <c r="E1159" t="s">
        <v>787</v>
      </c>
      <c r="F1159" t="s">
        <v>788</v>
      </c>
    </row>
    <row r="1160" spans="1:6" x14ac:dyDescent="0.25">
      <c r="A1160" t="s">
        <v>1904</v>
      </c>
      <c r="B1160" t="s">
        <v>764</v>
      </c>
      <c r="C1160" t="s">
        <v>702</v>
      </c>
      <c r="D1160" t="s">
        <v>786</v>
      </c>
      <c r="E1160" t="s">
        <v>787</v>
      </c>
      <c r="F1160" t="s">
        <v>788</v>
      </c>
    </row>
    <row r="1161" spans="1:6" x14ac:dyDescent="0.25">
      <c r="A1161" t="s">
        <v>1905</v>
      </c>
      <c r="B1161" t="s">
        <v>764</v>
      </c>
      <c r="C1161" t="s">
        <v>702</v>
      </c>
      <c r="D1161" t="s">
        <v>786</v>
      </c>
      <c r="E1161" t="s">
        <v>787</v>
      </c>
      <c r="F1161" t="s">
        <v>788</v>
      </c>
    </row>
    <row r="1162" spans="1:6" x14ac:dyDescent="0.25">
      <c r="A1162" t="s">
        <v>1906</v>
      </c>
      <c r="B1162" t="s">
        <v>764</v>
      </c>
      <c r="C1162" t="s">
        <v>702</v>
      </c>
      <c r="D1162" t="s">
        <v>761</v>
      </c>
      <c r="E1162" t="s">
        <v>327</v>
      </c>
      <c r="F1162" t="s">
        <v>924</v>
      </c>
    </row>
    <row r="1163" spans="1:6" x14ac:dyDescent="0.25">
      <c r="A1163" t="s">
        <v>1907</v>
      </c>
      <c r="B1163" t="s">
        <v>764</v>
      </c>
      <c r="C1163" t="s">
        <v>758</v>
      </c>
      <c r="D1163" t="s">
        <v>765</v>
      </c>
      <c r="E1163" t="s">
        <v>337</v>
      </c>
      <c r="F1163" t="s">
        <v>337</v>
      </c>
    </row>
    <row r="1164" spans="1:6" x14ac:dyDescent="0.25">
      <c r="A1164" t="s">
        <v>336</v>
      </c>
      <c r="B1164" t="s">
        <v>764</v>
      </c>
      <c r="C1164" t="s">
        <v>758</v>
      </c>
      <c r="D1164" t="s">
        <v>765</v>
      </c>
      <c r="E1164" t="s">
        <v>337</v>
      </c>
      <c r="F1164" t="s">
        <v>337</v>
      </c>
    </row>
    <row r="1165" spans="1:5" x14ac:dyDescent="0.25">
      <c r="A1165" t="s">
        <v>336</v>
      </c>
      <c r="B1165" t="s">
        <v>692</v>
      </c>
      <c r="E1165" t="s">
        <v>337</v>
      </c>
    </row>
    <row r="1166" spans="1:6" x14ac:dyDescent="0.25">
      <c r="A1166" t="s">
        <v>1908</v>
      </c>
      <c r="B1166" t="s">
        <v>764</v>
      </c>
      <c r="C1166" t="s">
        <v>758</v>
      </c>
      <c r="D1166" t="s">
        <v>875</v>
      </c>
      <c r="E1166" t="s">
        <v>173</v>
      </c>
      <c r="F1166" t="s">
        <v>206</v>
      </c>
    </row>
    <row r="1167" spans="1:6" x14ac:dyDescent="0.25">
      <c r="A1167" t="s">
        <v>1909</v>
      </c>
      <c r="B1167" t="s">
        <v>764</v>
      </c>
      <c r="C1167" t="s">
        <v>758</v>
      </c>
      <c r="D1167" t="s">
        <v>765</v>
      </c>
      <c r="E1167" t="s">
        <v>337</v>
      </c>
      <c r="F1167" t="s">
        <v>337</v>
      </c>
    </row>
    <row r="1168" spans="1:6" x14ac:dyDescent="0.25">
      <c r="A1168" t="s">
        <v>1910</v>
      </c>
      <c r="B1168" t="s">
        <v>764</v>
      </c>
      <c r="C1168" t="s">
        <v>758</v>
      </c>
      <c r="D1168" t="s">
        <v>765</v>
      </c>
      <c r="E1168" t="s">
        <v>337</v>
      </c>
      <c r="F1168" t="s">
        <v>337</v>
      </c>
    </row>
    <row r="1169" spans="1:6" x14ac:dyDescent="0.25">
      <c r="A1169" t="s">
        <v>1911</v>
      </c>
      <c r="B1169" t="s">
        <v>764</v>
      </c>
      <c r="C1169" t="s">
        <v>758</v>
      </c>
      <c r="D1169" t="s">
        <v>765</v>
      </c>
      <c r="E1169" t="s">
        <v>337</v>
      </c>
      <c r="F1169" t="s">
        <v>337</v>
      </c>
    </row>
    <row r="1170" spans="1:6" x14ac:dyDescent="0.25">
      <c r="A1170" t="s">
        <v>1912</v>
      </c>
      <c r="B1170" t="s">
        <v>764</v>
      </c>
      <c r="C1170" t="s">
        <v>758</v>
      </c>
      <c r="D1170" t="s">
        <v>765</v>
      </c>
      <c r="E1170" t="s">
        <v>337</v>
      </c>
      <c r="F1170" t="s">
        <v>337</v>
      </c>
    </row>
    <row r="1171" spans="1:6" x14ac:dyDescent="0.25">
      <c r="A1171" t="s">
        <v>1913</v>
      </c>
      <c r="B1171" t="s">
        <v>764</v>
      </c>
      <c r="C1171" t="s">
        <v>706</v>
      </c>
      <c r="D1171" t="s">
        <v>1043</v>
      </c>
      <c r="E1171" t="s">
        <v>1044</v>
      </c>
      <c r="F1171" t="s">
        <v>1045</v>
      </c>
    </row>
    <row r="1172" spans="1:6" x14ac:dyDescent="0.25">
      <c r="A1172" t="s">
        <v>1914</v>
      </c>
      <c r="B1172" t="s">
        <v>701</v>
      </c>
      <c r="C1172" t="s">
        <v>702</v>
      </c>
      <c r="D1172" t="s">
        <v>134</v>
      </c>
      <c r="E1172" t="s">
        <v>135</v>
      </c>
      <c r="F1172" t="s">
        <v>916</v>
      </c>
    </row>
    <row r="1173" spans="1:5" x14ac:dyDescent="0.25">
      <c r="A1173" t="s">
        <v>1915</v>
      </c>
      <c r="B1173" t="s">
        <v>692</v>
      </c>
      <c r="E1173" t="s">
        <v>288</v>
      </c>
    </row>
    <row r="1174" spans="1:5" x14ac:dyDescent="0.25">
      <c r="A1174" t="s">
        <v>1916</v>
      </c>
      <c r="B1174" t="s">
        <v>692</v>
      </c>
      <c r="E1174" t="s">
        <v>327</v>
      </c>
    </row>
    <row r="1175" spans="1:6" x14ac:dyDescent="0.25">
      <c r="A1175" t="s">
        <v>1917</v>
      </c>
      <c r="B1175" t="s">
        <v>695</v>
      </c>
      <c r="C1175" t="s">
        <v>706</v>
      </c>
      <c r="D1175" t="s">
        <v>1918</v>
      </c>
      <c r="E1175" t="s">
        <v>816</v>
      </c>
      <c r="F1175" t="s">
        <v>1919</v>
      </c>
    </row>
    <row r="1176" spans="1:6" x14ac:dyDescent="0.25">
      <c r="A1176" t="s">
        <v>1920</v>
      </c>
      <c r="B1176" t="s">
        <v>764</v>
      </c>
      <c r="C1176" t="s">
        <v>758</v>
      </c>
      <c r="D1176" t="s">
        <v>979</v>
      </c>
      <c r="E1176" t="s">
        <v>85</v>
      </c>
      <c r="F1176" t="s">
        <v>124</v>
      </c>
    </row>
    <row r="1177" spans="1:6" x14ac:dyDescent="0.25">
      <c r="A1177" t="s">
        <v>1921</v>
      </c>
      <c r="B1177" t="s">
        <v>764</v>
      </c>
      <c r="C1177" t="s">
        <v>758</v>
      </c>
      <c r="D1177" t="s">
        <v>979</v>
      </c>
      <c r="E1177" t="s">
        <v>85</v>
      </c>
      <c r="F1177" t="s">
        <v>124</v>
      </c>
    </row>
    <row r="1178" spans="1:6" x14ac:dyDescent="0.25">
      <c r="A1178" t="s">
        <v>1922</v>
      </c>
      <c r="B1178" t="s">
        <v>764</v>
      </c>
      <c r="C1178" t="s">
        <v>758</v>
      </c>
      <c r="D1178" t="s">
        <v>979</v>
      </c>
      <c r="E1178" t="s">
        <v>85</v>
      </c>
      <c r="F1178" t="s">
        <v>124</v>
      </c>
    </row>
    <row r="1179" spans="1:6" x14ac:dyDescent="0.25">
      <c r="A1179" t="s">
        <v>1923</v>
      </c>
      <c r="B1179" t="s">
        <v>764</v>
      </c>
      <c r="C1179" t="s">
        <v>758</v>
      </c>
      <c r="D1179" t="s">
        <v>979</v>
      </c>
      <c r="E1179" t="s">
        <v>85</v>
      </c>
      <c r="F1179" t="s">
        <v>124</v>
      </c>
    </row>
    <row r="1180" spans="1:6" x14ac:dyDescent="0.25">
      <c r="A1180" t="s">
        <v>1924</v>
      </c>
      <c r="B1180" t="s">
        <v>764</v>
      </c>
      <c r="C1180" t="s">
        <v>758</v>
      </c>
      <c r="D1180" t="s">
        <v>979</v>
      </c>
      <c r="E1180" t="s">
        <v>85</v>
      </c>
      <c r="F1180" t="s">
        <v>124</v>
      </c>
    </row>
    <row r="1181" spans="1:6" x14ac:dyDescent="0.25">
      <c r="A1181" t="s">
        <v>1925</v>
      </c>
      <c r="B1181" t="s">
        <v>764</v>
      </c>
      <c r="C1181" t="s">
        <v>758</v>
      </c>
      <c r="D1181" t="s">
        <v>979</v>
      </c>
      <c r="E1181" t="s">
        <v>85</v>
      </c>
      <c r="F1181" t="s">
        <v>124</v>
      </c>
    </row>
    <row r="1182" spans="1:6" x14ac:dyDescent="0.25">
      <c r="A1182" t="s">
        <v>1926</v>
      </c>
      <c r="B1182" t="s">
        <v>764</v>
      </c>
      <c r="C1182" t="s">
        <v>758</v>
      </c>
      <c r="D1182" t="s">
        <v>979</v>
      </c>
      <c r="E1182" t="s">
        <v>987</v>
      </c>
      <c r="F1182" t="s">
        <v>988</v>
      </c>
    </row>
    <row r="1183" spans="1:6" x14ac:dyDescent="0.25">
      <c r="A1183" t="s">
        <v>1927</v>
      </c>
      <c r="B1183" t="s">
        <v>764</v>
      </c>
      <c r="C1183" t="s">
        <v>758</v>
      </c>
      <c r="D1183" t="s">
        <v>979</v>
      </c>
      <c r="E1183" t="s">
        <v>85</v>
      </c>
      <c r="F1183" t="s">
        <v>124</v>
      </c>
    </row>
    <row r="1184" spans="1:6" x14ac:dyDescent="0.25">
      <c r="A1184" t="s">
        <v>1928</v>
      </c>
      <c r="B1184" t="s">
        <v>764</v>
      </c>
      <c r="C1184" t="s">
        <v>758</v>
      </c>
      <c r="D1184" t="s">
        <v>979</v>
      </c>
      <c r="E1184" t="s">
        <v>85</v>
      </c>
      <c r="F1184" t="s">
        <v>124</v>
      </c>
    </row>
    <row r="1185" spans="1:6" x14ac:dyDescent="0.25">
      <c r="A1185" t="s">
        <v>1929</v>
      </c>
      <c r="B1185" t="s">
        <v>764</v>
      </c>
      <c r="C1185" t="s">
        <v>758</v>
      </c>
      <c r="D1185" t="s">
        <v>979</v>
      </c>
      <c r="E1185" t="s">
        <v>85</v>
      </c>
      <c r="F1185" t="s">
        <v>124</v>
      </c>
    </row>
    <row r="1186" spans="1:6" x14ac:dyDescent="0.25">
      <c r="A1186" t="s">
        <v>1930</v>
      </c>
      <c r="B1186" t="s">
        <v>695</v>
      </c>
      <c r="C1186" t="s">
        <v>696</v>
      </c>
      <c r="D1186" t="s">
        <v>697</v>
      </c>
      <c r="E1186" t="s">
        <v>1092</v>
      </c>
      <c r="F1186" t="s">
        <v>1931</v>
      </c>
    </row>
    <row r="1187" spans="1:6" x14ac:dyDescent="0.25">
      <c r="A1187" t="s">
        <v>1932</v>
      </c>
      <c r="B1187" t="s">
        <v>701</v>
      </c>
      <c r="C1187" t="s">
        <v>702</v>
      </c>
      <c r="D1187" t="s">
        <v>134</v>
      </c>
      <c r="E1187" t="s">
        <v>135</v>
      </c>
      <c r="F1187" t="s">
        <v>916</v>
      </c>
    </row>
    <row r="1188" spans="1:6" x14ac:dyDescent="0.25">
      <c r="A1188" t="s">
        <v>1933</v>
      </c>
      <c r="B1188" t="s">
        <v>701</v>
      </c>
      <c r="C1188" t="s">
        <v>702</v>
      </c>
      <c r="D1188" t="s">
        <v>134</v>
      </c>
      <c r="E1188" t="s">
        <v>135</v>
      </c>
      <c r="F1188" t="s">
        <v>703</v>
      </c>
    </row>
    <row r="1189" spans="1:6" x14ac:dyDescent="0.25">
      <c r="A1189" t="s">
        <v>1934</v>
      </c>
      <c r="B1189" t="s">
        <v>701</v>
      </c>
      <c r="C1189" t="s">
        <v>702</v>
      </c>
      <c r="D1189" t="s">
        <v>134</v>
      </c>
      <c r="E1189" t="s">
        <v>135</v>
      </c>
      <c r="F1189" t="s">
        <v>916</v>
      </c>
    </row>
    <row r="1190" spans="1:6" x14ac:dyDescent="0.25">
      <c r="A1190" t="s">
        <v>1935</v>
      </c>
      <c r="B1190" t="s">
        <v>701</v>
      </c>
      <c r="C1190" t="s">
        <v>702</v>
      </c>
      <c r="D1190" t="s">
        <v>750</v>
      </c>
      <c r="E1190" t="s">
        <v>1111</v>
      </c>
      <c r="F1190" t="s">
        <v>1112</v>
      </c>
    </row>
    <row r="1191" spans="1:6" x14ac:dyDescent="0.25">
      <c r="A1191" t="s">
        <v>1936</v>
      </c>
      <c r="B1191" t="s">
        <v>701</v>
      </c>
      <c r="C1191" t="s">
        <v>702</v>
      </c>
      <c r="D1191" t="s">
        <v>750</v>
      </c>
      <c r="E1191" t="s">
        <v>1111</v>
      </c>
      <c r="F1191" t="s">
        <v>1112</v>
      </c>
    </row>
    <row r="1192" spans="1:6" x14ac:dyDescent="0.25">
      <c r="A1192" t="s">
        <v>1937</v>
      </c>
      <c r="B1192" t="s">
        <v>701</v>
      </c>
      <c r="C1192" t="s">
        <v>702</v>
      </c>
      <c r="D1192" t="s">
        <v>750</v>
      </c>
      <c r="E1192" t="s">
        <v>1111</v>
      </c>
      <c r="F1192" t="s">
        <v>1112</v>
      </c>
    </row>
    <row r="1193" spans="1:6" x14ac:dyDescent="0.25">
      <c r="A1193" t="s">
        <v>1938</v>
      </c>
      <c r="B1193" t="s">
        <v>701</v>
      </c>
      <c r="C1193" t="s">
        <v>702</v>
      </c>
      <c r="D1193" t="s">
        <v>750</v>
      </c>
      <c r="E1193" t="s">
        <v>539</v>
      </c>
      <c r="F1193" t="s">
        <v>751</v>
      </c>
    </row>
    <row r="1194" spans="1:6" x14ac:dyDescent="0.25">
      <c r="A1194" t="s">
        <v>1939</v>
      </c>
      <c r="B1194" t="s">
        <v>764</v>
      </c>
      <c r="C1194" t="s">
        <v>702</v>
      </c>
      <c r="D1194" t="s">
        <v>962</v>
      </c>
      <c r="E1194" t="s">
        <v>103</v>
      </c>
      <c r="F1194" t="s">
        <v>103</v>
      </c>
    </row>
    <row r="1195" spans="1:6" x14ac:dyDescent="0.25">
      <c r="A1195" t="s">
        <v>1940</v>
      </c>
      <c r="B1195" t="s">
        <v>764</v>
      </c>
      <c r="C1195" t="s">
        <v>702</v>
      </c>
      <c r="D1195" t="s">
        <v>962</v>
      </c>
      <c r="E1195" t="s">
        <v>103</v>
      </c>
      <c r="F1195" t="s">
        <v>103</v>
      </c>
    </row>
    <row r="1196" spans="1:6" x14ac:dyDescent="0.25">
      <c r="A1196" t="s">
        <v>1941</v>
      </c>
      <c r="B1196" t="s">
        <v>701</v>
      </c>
      <c r="C1196" t="s">
        <v>702</v>
      </c>
      <c r="D1196" t="s">
        <v>134</v>
      </c>
      <c r="E1196" t="s">
        <v>135</v>
      </c>
      <c r="F1196" t="s">
        <v>926</v>
      </c>
    </row>
    <row r="1197" spans="1:6" x14ac:dyDescent="0.25">
      <c r="A1197" t="s">
        <v>1942</v>
      </c>
      <c r="B1197" t="s">
        <v>701</v>
      </c>
      <c r="C1197" t="s">
        <v>702</v>
      </c>
      <c r="D1197" t="s">
        <v>134</v>
      </c>
      <c r="E1197" t="s">
        <v>135</v>
      </c>
      <c r="F1197" t="s">
        <v>1373</v>
      </c>
    </row>
    <row r="1198" spans="1:6" x14ac:dyDescent="0.25">
      <c r="A1198" t="s">
        <v>1943</v>
      </c>
      <c r="B1198" t="s">
        <v>701</v>
      </c>
      <c r="C1198" t="s">
        <v>702</v>
      </c>
      <c r="D1198" t="s">
        <v>134</v>
      </c>
      <c r="E1198" t="s">
        <v>135</v>
      </c>
      <c r="F1198" t="s">
        <v>1373</v>
      </c>
    </row>
    <row r="1199" spans="1:5" x14ac:dyDescent="0.25">
      <c r="A1199" t="s">
        <v>1944</v>
      </c>
      <c r="B1199" t="s">
        <v>692</v>
      </c>
      <c r="E1199" t="s">
        <v>135</v>
      </c>
    </row>
    <row r="1200" spans="1:6" x14ac:dyDescent="0.25">
      <c r="A1200" t="s">
        <v>1945</v>
      </c>
      <c r="B1200" t="s">
        <v>764</v>
      </c>
      <c r="C1200" t="s">
        <v>702</v>
      </c>
      <c r="D1200" t="s">
        <v>134</v>
      </c>
      <c r="E1200" t="s">
        <v>135</v>
      </c>
      <c r="F1200" t="s">
        <v>134</v>
      </c>
    </row>
    <row r="1201" spans="1:6" x14ac:dyDescent="0.25">
      <c r="A1201" t="s">
        <v>1946</v>
      </c>
      <c r="B1201" t="s">
        <v>701</v>
      </c>
      <c r="C1201" t="s">
        <v>702</v>
      </c>
      <c r="D1201" t="s">
        <v>134</v>
      </c>
      <c r="E1201" t="s">
        <v>135</v>
      </c>
      <c r="F1201" t="s">
        <v>1373</v>
      </c>
    </row>
    <row r="1202" spans="1:5" x14ac:dyDescent="0.25">
      <c r="A1202" t="s">
        <v>1947</v>
      </c>
      <c r="B1202" t="s">
        <v>692</v>
      </c>
      <c r="E1202" t="s">
        <v>1016</v>
      </c>
    </row>
    <row r="1203" spans="1:6" x14ac:dyDescent="0.25">
      <c r="A1203" t="s">
        <v>1948</v>
      </c>
      <c r="B1203" t="s">
        <v>692</v>
      </c>
      <c r="E1203" t="s">
        <v>606</v>
      </c>
      <c r="F1203" t="s">
        <v>120</v>
      </c>
    </row>
    <row r="1204" spans="1:6" x14ac:dyDescent="0.25">
      <c r="A1204" t="s">
        <v>1949</v>
      </c>
      <c r="B1204" t="s">
        <v>701</v>
      </c>
      <c r="C1204" t="s">
        <v>758</v>
      </c>
      <c r="D1204" t="s">
        <v>759</v>
      </c>
      <c r="E1204" t="s">
        <v>246</v>
      </c>
      <c r="F1204" t="s">
        <v>246</v>
      </c>
    </row>
    <row r="1205" spans="1:5" x14ac:dyDescent="0.25">
      <c r="A1205" t="s">
        <v>1950</v>
      </c>
      <c r="B1205" t="s">
        <v>692</v>
      </c>
      <c r="E1205" t="s">
        <v>1002</v>
      </c>
    </row>
    <row r="1206" spans="1:5" x14ac:dyDescent="0.25">
      <c r="A1206" t="s">
        <v>1951</v>
      </c>
      <c r="B1206" t="s">
        <v>692</v>
      </c>
      <c r="E1206" t="s">
        <v>1002</v>
      </c>
    </row>
    <row r="1207" spans="1:6" x14ac:dyDescent="0.25">
      <c r="A1207" t="s">
        <v>1952</v>
      </c>
      <c r="B1207" t="s">
        <v>764</v>
      </c>
      <c r="C1207" t="s">
        <v>702</v>
      </c>
      <c r="D1207" t="s">
        <v>761</v>
      </c>
      <c r="E1207" t="s">
        <v>327</v>
      </c>
      <c r="F1207" t="s">
        <v>924</v>
      </c>
    </row>
    <row r="1208" spans="1:5" x14ac:dyDescent="0.25">
      <c r="A1208" t="s">
        <v>1953</v>
      </c>
      <c r="B1208" t="s">
        <v>692</v>
      </c>
      <c r="E1208" t="s">
        <v>1954</v>
      </c>
    </row>
    <row r="1209" spans="1:6" x14ac:dyDescent="0.25">
      <c r="A1209" t="s">
        <v>1955</v>
      </c>
      <c r="B1209" t="s">
        <v>764</v>
      </c>
      <c r="C1209" t="s">
        <v>702</v>
      </c>
      <c r="D1209" t="s">
        <v>761</v>
      </c>
      <c r="E1209" t="s">
        <v>327</v>
      </c>
      <c r="F1209" t="s">
        <v>924</v>
      </c>
    </row>
    <row r="1210" spans="1:6" x14ac:dyDescent="0.25">
      <c r="A1210" t="s">
        <v>1956</v>
      </c>
      <c r="B1210" t="s">
        <v>701</v>
      </c>
      <c r="C1210" t="s">
        <v>702</v>
      </c>
      <c r="D1210" t="s">
        <v>134</v>
      </c>
      <c r="E1210" t="s">
        <v>135</v>
      </c>
      <c r="F1210" t="s">
        <v>703</v>
      </c>
    </row>
    <row r="1211" spans="1:5" x14ac:dyDescent="0.25">
      <c r="A1211" t="s">
        <v>1957</v>
      </c>
      <c r="B1211" t="s">
        <v>692</v>
      </c>
      <c r="E1211" t="s">
        <v>327</v>
      </c>
    </row>
    <row r="1212" spans="1:6" x14ac:dyDescent="0.25">
      <c r="A1212" t="s">
        <v>1958</v>
      </c>
      <c r="B1212" t="s">
        <v>764</v>
      </c>
      <c r="C1212" t="s">
        <v>758</v>
      </c>
      <c r="D1212" t="s">
        <v>899</v>
      </c>
      <c r="E1212" t="s">
        <v>265</v>
      </c>
      <c r="F1212" t="s">
        <v>900</v>
      </c>
    </row>
    <row r="1213" spans="1:6" x14ac:dyDescent="0.25">
      <c r="A1213" t="s">
        <v>1959</v>
      </c>
      <c r="B1213" t="s">
        <v>764</v>
      </c>
      <c r="C1213" t="s">
        <v>758</v>
      </c>
      <c r="D1213" t="s">
        <v>899</v>
      </c>
      <c r="E1213" t="s">
        <v>265</v>
      </c>
      <c r="F1213" t="s">
        <v>900</v>
      </c>
    </row>
    <row r="1214" spans="1:6" x14ac:dyDescent="0.25">
      <c r="A1214" t="s">
        <v>1960</v>
      </c>
      <c r="B1214" t="s">
        <v>764</v>
      </c>
      <c r="C1214" t="s">
        <v>758</v>
      </c>
      <c r="D1214" t="s">
        <v>899</v>
      </c>
      <c r="E1214" t="s">
        <v>265</v>
      </c>
      <c r="F1214" t="s">
        <v>900</v>
      </c>
    </row>
    <row r="1215" spans="1:5" x14ac:dyDescent="0.25">
      <c r="A1215" t="s">
        <v>1961</v>
      </c>
      <c r="B1215" t="s">
        <v>692</v>
      </c>
      <c r="E1215" t="s">
        <v>370</v>
      </c>
    </row>
    <row r="1216" spans="1:5" x14ac:dyDescent="0.25">
      <c r="A1216" t="s">
        <v>1962</v>
      </c>
      <c r="B1216" t="s">
        <v>692</v>
      </c>
      <c r="E1216" t="s">
        <v>90</v>
      </c>
    </row>
    <row r="1217" spans="1:6" x14ac:dyDescent="0.25">
      <c r="A1217" t="s">
        <v>1963</v>
      </c>
      <c r="B1217" t="s">
        <v>692</v>
      </c>
      <c r="E1217" t="s">
        <v>90</v>
      </c>
      <c r="F1217" t="s">
        <v>1964</v>
      </c>
    </row>
    <row r="1218" spans="1:6" x14ac:dyDescent="0.25">
      <c r="A1218" t="s">
        <v>1965</v>
      </c>
      <c r="B1218" t="s">
        <v>764</v>
      </c>
      <c r="C1218" t="s">
        <v>702</v>
      </c>
      <c r="D1218" t="s">
        <v>134</v>
      </c>
      <c r="E1218" t="s">
        <v>135</v>
      </c>
      <c r="F1218" t="s">
        <v>134</v>
      </c>
    </row>
    <row r="1219" spans="1:6" x14ac:dyDescent="0.25">
      <c r="A1219" t="s">
        <v>1966</v>
      </c>
      <c r="B1219" t="s">
        <v>701</v>
      </c>
      <c r="C1219" t="s">
        <v>702</v>
      </c>
      <c r="D1219" t="s">
        <v>134</v>
      </c>
      <c r="E1219" t="s">
        <v>135</v>
      </c>
      <c r="F1219" t="s">
        <v>916</v>
      </c>
    </row>
    <row r="1220" spans="1:6" x14ac:dyDescent="0.25">
      <c r="A1220" t="s">
        <v>1967</v>
      </c>
      <c r="B1220" t="s">
        <v>764</v>
      </c>
      <c r="C1220" t="s">
        <v>702</v>
      </c>
      <c r="D1220" t="s">
        <v>761</v>
      </c>
      <c r="E1220" t="s">
        <v>327</v>
      </c>
      <c r="F1220" t="s">
        <v>924</v>
      </c>
    </row>
    <row r="1221" spans="1:6" x14ac:dyDescent="0.25">
      <c r="A1221" t="s">
        <v>1968</v>
      </c>
      <c r="B1221" t="s">
        <v>695</v>
      </c>
      <c r="C1221" t="s">
        <v>696</v>
      </c>
      <c r="D1221" t="s">
        <v>697</v>
      </c>
      <c r="E1221" t="s">
        <v>698</v>
      </c>
      <c r="F1221" t="s">
        <v>1969</v>
      </c>
    </row>
    <row r="1222" spans="1:5" x14ac:dyDescent="0.25">
      <c r="A1222" t="s">
        <v>1970</v>
      </c>
      <c r="B1222" t="s">
        <v>692</v>
      </c>
      <c r="E1222" t="s">
        <v>1224</v>
      </c>
    </row>
    <row r="1223" spans="1:6" x14ac:dyDescent="0.25">
      <c r="A1223" t="s">
        <v>1971</v>
      </c>
      <c r="B1223" t="s">
        <v>764</v>
      </c>
      <c r="C1223" t="s">
        <v>702</v>
      </c>
      <c r="D1223" t="s">
        <v>962</v>
      </c>
      <c r="E1223" t="s">
        <v>103</v>
      </c>
      <c r="F1223" t="s">
        <v>103</v>
      </c>
    </row>
    <row r="1224" spans="1:6" x14ac:dyDescent="0.25">
      <c r="A1224" t="s">
        <v>1972</v>
      </c>
      <c r="B1224" t="s">
        <v>764</v>
      </c>
      <c r="C1224" t="s">
        <v>782</v>
      </c>
      <c r="D1224" t="s">
        <v>836</v>
      </c>
      <c r="E1224" t="s">
        <v>97</v>
      </c>
      <c r="F1224" t="s">
        <v>71</v>
      </c>
    </row>
    <row r="1225" spans="1:5" x14ac:dyDescent="0.25">
      <c r="A1225" t="s">
        <v>1973</v>
      </c>
      <c r="B1225" t="s">
        <v>692</v>
      </c>
      <c r="E1225" t="s">
        <v>867</v>
      </c>
    </row>
    <row r="1226" spans="1:6" x14ac:dyDescent="0.25">
      <c r="A1226" t="s">
        <v>1974</v>
      </c>
      <c r="B1226" t="s">
        <v>701</v>
      </c>
      <c r="C1226" t="s">
        <v>702</v>
      </c>
      <c r="D1226" t="s">
        <v>134</v>
      </c>
      <c r="E1226" t="s">
        <v>135</v>
      </c>
      <c r="F1226" t="s">
        <v>703</v>
      </c>
    </row>
    <row r="1227" spans="1:6" x14ac:dyDescent="0.25">
      <c r="A1227" t="s">
        <v>1975</v>
      </c>
      <c r="B1227" t="s">
        <v>701</v>
      </c>
      <c r="C1227" t="s">
        <v>702</v>
      </c>
      <c r="D1227" t="s">
        <v>134</v>
      </c>
      <c r="E1227" t="s">
        <v>135</v>
      </c>
      <c r="F1227" t="s">
        <v>703</v>
      </c>
    </row>
    <row r="1228" spans="1:6" x14ac:dyDescent="0.25">
      <c r="A1228" t="s">
        <v>1976</v>
      </c>
      <c r="B1228" t="s">
        <v>701</v>
      </c>
      <c r="C1228" t="s">
        <v>746</v>
      </c>
      <c r="D1228" t="s">
        <v>747</v>
      </c>
      <c r="E1228" t="s">
        <v>748</v>
      </c>
      <c r="F1228" t="s">
        <v>748</v>
      </c>
    </row>
    <row r="1229" spans="1:6" x14ac:dyDescent="0.25">
      <c r="A1229" t="s">
        <v>1977</v>
      </c>
      <c r="B1229" t="s">
        <v>701</v>
      </c>
      <c r="C1229" t="s">
        <v>702</v>
      </c>
      <c r="D1229" t="s">
        <v>134</v>
      </c>
      <c r="E1229" t="s">
        <v>135</v>
      </c>
      <c r="F1229" t="s">
        <v>916</v>
      </c>
    </row>
    <row r="1230" spans="1:6" x14ac:dyDescent="0.25">
      <c r="A1230" t="s">
        <v>1978</v>
      </c>
      <c r="B1230" t="s">
        <v>701</v>
      </c>
      <c r="C1230" t="s">
        <v>702</v>
      </c>
      <c r="D1230" t="s">
        <v>134</v>
      </c>
      <c r="E1230" t="s">
        <v>135</v>
      </c>
      <c r="F1230" t="s">
        <v>916</v>
      </c>
    </row>
    <row r="1231" spans="1:6" x14ac:dyDescent="0.25">
      <c r="A1231" t="s">
        <v>1979</v>
      </c>
      <c r="B1231" t="s">
        <v>701</v>
      </c>
      <c r="C1231" t="s">
        <v>702</v>
      </c>
      <c r="D1231" t="s">
        <v>134</v>
      </c>
      <c r="E1231" t="s">
        <v>135</v>
      </c>
      <c r="F1231" t="s">
        <v>916</v>
      </c>
    </row>
    <row r="1232" spans="1:6" x14ac:dyDescent="0.25">
      <c r="A1232" t="s">
        <v>1980</v>
      </c>
      <c r="B1232" t="s">
        <v>764</v>
      </c>
      <c r="C1232" t="s">
        <v>758</v>
      </c>
      <c r="D1232" t="s">
        <v>899</v>
      </c>
      <c r="E1232" t="s">
        <v>265</v>
      </c>
      <c r="F1232" t="s">
        <v>900</v>
      </c>
    </row>
    <row r="1233" spans="1:6" x14ac:dyDescent="0.25">
      <c r="A1233" t="s">
        <v>1981</v>
      </c>
      <c r="B1233" t="s">
        <v>764</v>
      </c>
      <c r="C1233" t="s">
        <v>758</v>
      </c>
      <c r="D1233" t="s">
        <v>899</v>
      </c>
      <c r="E1233" t="s">
        <v>265</v>
      </c>
      <c r="F1233" t="s">
        <v>900</v>
      </c>
    </row>
    <row r="1234" spans="1:6" x14ac:dyDescent="0.25">
      <c r="A1234" t="s">
        <v>1982</v>
      </c>
      <c r="B1234" t="s">
        <v>764</v>
      </c>
      <c r="C1234" t="s">
        <v>758</v>
      </c>
      <c r="D1234" t="s">
        <v>899</v>
      </c>
      <c r="E1234" t="s">
        <v>265</v>
      </c>
      <c r="F1234" t="s">
        <v>900</v>
      </c>
    </row>
    <row r="1235" spans="1:6" x14ac:dyDescent="0.25">
      <c r="A1235" t="s">
        <v>1983</v>
      </c>
      <c r="B1235" t="s">
        <v>764</v>
      </c>
      <c r="C1235" t="s">
        <v>758</v>
      </c>
      <c r="D1235" t="s">
        <v>899</v>
      </c>
      <c r="E1235" t="s">
        <v>265</v>
      </c>
      <c r="F1235" t="s">
        <v>900</v>
      </c>
    </row>
    <row r="1236" spans="1:6" x14ac:dyDescent="0.25">
      <c r="A1236" t="s">
        <v>1984</v>
      </c>
      <c r="B1236" t="s">
        <v>764</v>
      </c>
      <c r="C1236" t="s">
        <v>758</v>
      </c>
      <c r="D1236" t="s">
        <v>899</v>
      </c>
      <c r="E1236" t="s">
        <v>265</v>
      </c>
      <c r="F1236" t="s">
        <v>900</v>
      </c>
    </row>
    <row r="1237" spans="1:6" x14ac:dyDescent="0.25">
      <c r="A1237" t="s">
        <v>1985</v>
      </c>
      <c r="B1237" t="s">
        <v>701</v>
      </c>
      <c r="C1237" t="s">
        <v>746</v>
      </c>
      <c r="D1237" t="s">
        <v>747</v>
      </c>
      <c r="E1237" t="s">
        <v>748</v>
      </c>
      <c r="F1237" t="s">
        <v>748</v>
      </c>
    </row>
    <row r="1238" spans="1:5" x14ac:dyDescent="0.25">
      <c r="A1238" t="s">
        <v>1986</v>
      </c>
      <c r="B1238" t="s">
        <v>692</v>
      </c>
      <c r="E1238" t="s">
        <v>327</v>
      </c>
    </row>
    <row r="1239" spans="1:5" x14ac:dyDescent="0.25">
      <c r="A1239" t="s">
        <v>1987</v>
      </c>
      <c r="B1239" t="s">
        <v>692</v>
      </c>
      <c r="E1239" t="s">
        <v>327</v>
      </c>
    </row>
    <row r="1240" spans="1:5" x14ac:dyDescent="0.25">
      <c r="A1240" t="s">
        <v>1988</v>
      </c>
      <c r="B1240" t="s">
        <v>692</v>
      </c>
      <c r="E1240" t="s">
        <v>814</v>
      </c>
    </row>
    <row r="1241" spans="1:6" x14ac:dyDescent="0.25">
      <c r="A1241" t="s">
        <v>1989</v>
      </c>
      <c r="B1241" t="s">
        <v>701</v>
      </c>
      <c r="C1241" t="s">
        <v>702</v>
      </c>
      <c r="D1241" t="s">
        <v>134</v>
      </c>
      <c r="E1241" t="s">
        <v>135</v>
      </c>
      <c r="F1241" t="s">
        <v>703</v>
      </c>
    </row>
    <row r="1242" spans="1:5" x14ac:dyDescent="0.25">
      <c r="A1242" t="s">
        <v>1990</v>
      </c>
      <c r="B1242" t="s">
        <v>692</v>
      </c>
      <c r="E1242" t="s">
        <v>394</v>
      </c>
    </row>
    <row r="1243" spans="1:5" x14ac:dyDescent="0.25">
      <c r="A1243" t="s">
        <v>1991</v>
      </c>
      <c r="B1243" t="s">
        <v>692</v>
      </c>
      <c r="E1243" t="s">
        <v>394</v>
      </c>
    </row>
    <row r="1244" spans="1:5" x14ac:dyDescent="0.25">
      <c r="A1244" t="s">
        <v>1992</v>
      </c>
      <c r="B1244" t="s">
        <v>692</v>
      </c>
      <c r="E1244" t="s">
        <v>1527</v>
      </c>
    </row>
    <row r="1245" spans="1:6" x14ac:dyDescent="0.25">
      <c r="A1245" t="s">
        <v>1993</v>
      </c>
      <c r="B1245" t="s">
        <v>695</v>
      </c>
      <c r="C1245" t="s">
        <v>706</v>
      </c>
      <c r="D1245" t="s">
        <v>845</v>
      </c>
      <c r="E1245" t="s">
        <v>1994</v>
      </c>
      <c r="F1245" t="s">
        <v>1995</v>
      </c>
    </row>
    <row r="1246" spans="1:6" x14ac:dyDescent="0.25">
      <c r="A1246" t="s">
        <v>1993</v>
      </c>
      <c r="B1246" t="s">
        <v>705</v>
      </c>
      <c r="C1246" t="s">
        <v>706</v>
      </c>
      <c r="D1246" t="s">
        <v>845</v>
      </c>
      <c r="E1246" t="s">
        <v>1994</v>
      </c>
      <c r="F1246" t="s">
        <v>847</v>
      </c>
    </row>
    <row r="1247" spans="1:6" x14ac:dyDescent="0.25">
      <c r="A1247" t="s">
        <v>1996</v>
      </c>
      <c r="B1247" t="s">
        <v>701</v>
      </c>
      <c r="C1247" t="s">
        <v>702</v>
      </c>
      <c r="D1247" t="s">
        <v>750</v>
      </c>
      <c r="E1247" t="s">
        <v>1111</v>
      </c>
      <c r="F1247" t="s">
        <v>1112</v>
      </c>
    </row>
    <row r="1248" spans="1:6" x14ac:dyDescent="0.25">
      <c r="A1248" t="s">
        <v>1997</v>
      </c>
      <c r="B1248" t="s">
        <v>701</v>
      </c>
      <c r="C1248" t="s">
        <v>702</v>
      </c>
      <c r="D1248" t="s">
        <v>750</v>
      </c>
      <c r="E1248" t="s">
        <v>1111</v>
      </c>
      <c r="F1248" t="s">
        <v>1112</v>
      </c>
    </row>
    <row r="1249" spans="1:6" x14ac:dyDescent="0.25">
      <c r="A1249" t="s">
        <v>1998</v>
      </c>
      <c r="B1249" t="s">
        <v>701</v>
      </c>
      <c r="C1249" t="s">
        <v>702</v>
      </c>
      <c r="D1249" t="s">
        <v>134</v>
      </c>
      <c r="E1249" t="s">
        <v>135</v>
      </c>
      <c r="F1249" t="s">
        <v>1373</v>
      </c>
    </row>
    <row r="1250" spans="1:5" x14ac:dyDescent="0.25">
      <c r="A1250" t="s">
        <v>1999</v>
      </c>
      <c r="B1250" t="s">
        <v>692</v>
      </c>
      <c r="E1250" t="s">
        <v>272</v>
      </c>
    </row>
    <row r="1251" spans="1:5" x14ac:dyDescent="0.25">
      <c r="A1251" t="s">
        <v>2000</v>
      </c>
      <c r="B1251" t="s">
        <v>692</v>
      </c>
      <c r="E1251" t="s">
        <v>181</v>
      </c>
    </row>
    <row r="1252" spans="1:6" x14ac:dyDescent="0.25">
      <c r="A1252" t="s">
        <v>2001</v>
      </c>
      <c r="B1252" t="s">
        <v>701</v>
      </c>
      <c r="C1252" t="s">
        <v>758</v>
      </c>
      <c r="D1252" t="s">
        <v>759</v>
      </c>
      <c r="E1252" t="s">
        <v>246</v>
      </c>
      <c r="F1252" t="s">
        <v>246</v>
      </c>
    </row>
    <row r="1253" spans="1:6" x14ac:dyDescent="0.25">
      <c r="A1253" t="s">
        <v>2002</v>
      </c>
      <c r="B1253" t="s">
        <v>701</v>
      </c>
      <c r="C1253" t="s">
        <v>758</v>
      </c>
      <c r="D1253" t="s">
        <v>759</v>
      </c>
      <c r="E1253" t="s">
        <v>246</v>
      </c>
      <c r="F1253" t="s">
        <v>246</v>
      </c>
    </row>
    <row r="1254" spans="1:6" x14ac:dyDescent="0.25">
      <c r="A1254" t="s">
        <v>2003</v>
      </c>
      <c r="B1254" t="s">
        <v>692</v>
      </c>
      <c r="E1254" t="s">
        <v>97</v>
      </c>
      <c r="F1254" t="s">
        <v>1028</v>
      </c>
    </row>
    <row r="1255" spans="1:5" x14ac:dyDescent="0.25">
      <c r="A1255" t="s">
        <v>2004</v>
      </c>
      <c r="B1255" t="s">
        <v>692</v>
      </c>
      <c r="E1255" t="s">
        <v>1016</v>
      </c>
    </row>
    <row r="1256" spans="1:5" x14ac:dyDescent="0.25">
      <c r="A1256" t="s">
        <v>2005</v>
      </c>
      <c r="B1256" t="s">
        <v>692</v>
      </c>
      <c r="E1256" t="s">
        <v>1016</v>
      </c>
    </row>
    <row r="1257" spans="1:6" x14ac:dyDescent="0.25">
      <c r="A1257" t="s">
        <v>2006</v>
      </c>
      <c r="B1257" t="s">
        <v>764</v>
      </c>
      <c r="C1257" t="s">
        <v>758</v>
      </c>
      <c r="D1257" t="s">
        <v>875</v>
      </c>
      <c r="E1257" t="s">
        <v>173</v>
      </c>
      <c r="F1257" t="s">
        <v>206</v>
      </c>
    </row>
    <row r="1258" spans="1:5" x14ac:dyDescent="0.25">
      <c r="A1258" t="s">
        <v>2007</v>
      </c>
      <c r="B1258" t="s">
        <v>692</v>
      </c>
      <c r="E1258" t="s">
        <v>1016</v>
      </c>
    </row>
    <row r="1259" spans="1:6" x14ac:dyDescent="0.25">
      <c r="A1259" t="s">
        <v>2008</v>
      </c>
      <c r="B1259" t="s">
        <v>701</v>
      </c>
      <c r="C1259" t="s">
        <v>702</v>
      </c>
      <c r="D1259" t="s">
        <v>761</v>
      </c>
      <c r="E1259" t="s">
        <v>389</v>
      </c>
      <c r="F1259" t="s">
        <v>762</v>
      </c>
    </row>
    <row r="1260" spans="1:6" x14ac:dyDescent="0.25">
      <c r="A1260" t="s">
        <v>2009</v>
      </c>
      <c r="B1260" t="s">
        <v>701</v>
      </c>
      <c r="C1260" t="s">
        <v>702</v>
      </c>
      <c r="D1260" t="s">
        <v>761</v>
      </c>
      <c r="E1260" t="s">
        <v>389</v>
      </c>
      <c r="F1260" t="s">
        <v>762</v>
      </c>
    </row>
    <row r="1261" spans="1:6" x14ac:dyDescent="0.25">
      <c r="A1261" t="s">
        <v>2010</v>
      </c>
      <c r="B1261" t="s">
        <v>764</v>
      </c>
      <c r="C1261" t="s">
        <v>782</v>
      </c>
      <c r="D1261" t="s">
        <v>849</v>
      </c>
      <c r="E1261" t="s">
        <v>850</v>
      </c>
      <c r="F1261" t="s">
        <v>851</v>
      </c>
    </row>
    <row r="1262" spans="1:6" x14ac:dyDescent="0.25">
      <c r="A1262" t="s">
        <v>2011</v>
      </c>
      <c r="B1262" t="s">
        <v>764</v>
      </c>
      <c r="C1262" t="s">
        <v>702</v>
      </c>
      <c r="D1262" t="s">
        <v>962</v>
      </c>
      <c r="E1262" t="s">
        <v>103</v>
      </c>
      <c r="F1262" t="s">
        <v>103</v>
      </c>
    </row>
    <row r="1263" spans="1:6" x14ac:dyDescent="0.25">
      <c r="A1263" t="s">
        <v>2012</v>
      </c>
      <c r="B1263" t="s">
        <v>764</v>
      </c>
      <c r="C1263" t="s">
        <v>790</v>
      </c>
      <c r="D1263" t="s">
        <v>791</v>
      </c>
      <c r="E1263" t="s">
        <v>598</v>
      </c>
      <c r="F1263" t="s">
        <v>792</v>
      </c>
    </row>
    <row r="1264" spans="1:5" x14ac:dyDescent="0.25">
      <c r="A1264" t="s">
        <v>2013</v>
      </c>
      <c r="B1264" t="s">
        <v>692</v>
      </c>
      <c r="E1264" t="s">
        <v>97</v>
      </c>
    </row>
    <row r="1265" spans="1:5" x14ac:dyDescent="0.25">
      <c r="A1265" t="s">
        <v>2014</v>
      </c>
      <c r="B1265" t="s">
        <v>692</v>
      </c>
      <c r="E1265" t="s">
        <v>539</v>
      </c>
    </row>
    <row r="1266" spans="1:6" x14ac:dyDescent="0.25">
      <c r="A1266" t="s">
        <v>2015</v>
      </c>
      <c r="B1266" t="s">
        <v>764</v>
      </c>
      <c r="C1266" t="s">
        <v>782</v>
      </c>
      <c r="D1266" t="s">
        <v>849</v>
      </c>
      <c r="E1266" t="s">
        <v>850</v>
      </c>
      <c r="F1266" t="s">
        <v>851</v>
      </c>
    </row>
    <row r="1267" spans="1:6" x14ac:dyDescent="0.25">
      <c r="A1267" t="s">
        <v>2016</v>
      </c>
      <c r="B1267" t="s">
        <v>701</v>
      </c>
      <c r="C1267" t="s">
        <v>702</v>
      </c>
      <c r="D1267" t="s">
        <v>750</v>
      </c>
      <c r="E1267" t="s">
        <v>539</v>
      </c>
      <c r="F1267" t="s">
        <v>751</v>
      </c>
    </row>
    <row r="1268" spans="1:5" x14ac:dyDescent="0.25">
      <c r="A1268" t="s">
        <v>2017</v>
      </c>
      <c r="B1268" t="s">
        <v>692</v>
      </c>
      <c r="E1268" t="s">
        <v>288</v>
      </c>
    </row>
    <row r="1269" spans="1:6" x14ac:dyDescent="0.25">
      <c r="A1269" t="s">
        <v>2018</v>
      </c>
      <c r="B1269" t="s">
        <v>701</v>
      </c>
      <c r="C1269" t="s">
        <v>702</v>
      </c>
      <c r="D1269" t="s">
        <v>750</v>
      </c>
      <c r="E1269" t="s">
        <v>1111</v>
      </c>
      <c r="F1269" t="s">
        <v>1112</v>
      </c>
    </row>
    <row r="1270" spans="1:6" x14ac:dyDescent="0.25">
      <c r="A1270" t="s">
        <v>2019</v>
      </c>
      <c r="B1270" t="s">
        <v>764</v>
      </c>
      <c r="C1270" t="s">
        <v>758</v>
      </c>
      <c r="D1270" t="s">
        <v>899</v>
      </c>
      <c r="E1270" t="s">
        <v>265</v>
      </c>
      <c r="F1270" t="s">
        <v>942</v>
      </c>
    </row>
    <row r="1271" spans="1:6" x14ac:dyDescent="0.25">
      <c r="A1271" t="s">
        <v>504</v>
      </c>
      <c r="B1271" t="s">
        <v>692</v>
      </c>
      <c r="E1271" t="s">
        <v>90</v>
      </c>
      <c r="F1271" t="s">
        <v>91</v>
      </c>
    </row>
    <row r="1272" spans="1:5" x14ac:dyDescent="0.25">
      <c r="A1272" t="s">
        <v>2020</v>
      </c>
      <c r="B1272" t="s">
        <v>692</v>
      </c>
      <c r="E1272" t="s">
        <v>85</v>
      </c>
    </row>
    <row r="1273" spans="1:6" x14ac:dyDescent="0.25">
      <c r="A1273" t="s">
        <v>2021</v>
      </c>
      <c r="B1273" t="s">
        <v>695</v>
      </c>
      <c r="C1273" t="s">
        <v>696</v>
      </c>
      <c r="D1273" t="s">
        <v>697</v>
      </c>
      <c r="E1273" t="s">
        <v>1092</v>
      </c>
      <c r="F1273" t="s">
        <v>2022</v>
      </c>
    </row>
    <row r="1274" spans="1:6" x14ac:dyDescent="0.25">
      <c r="A1274" t="s">
        <v>2023</v>
      </c>
      <c r="B1274" t="s">
        <v>695</v>
      </c>
      <c r="C1274" t="s">
        <v>696</v>
      </c>
      <c r="D1274" t="s">
        <v>697</v>
      </c>
      <c r="E1274" t="s">
        <v>1092</v>
      </c>
      <c r="F1274" t="s">
        <v>2024</v>
      </c>
    </row>
    <row r="1275" spans="1:6" x14ac:dyDescent="0.25">
      <c r="A1275" t="s">
        <v>2025</v>
      </c>
      <c r="B1275" t="s">
        <v>764</v>
      </c>
      <c r="C1275" t="s">
        <v>758</v>
      </c>
      <c r="D1275" t="s">
        <v>979</v>
      </c>
      <c r="E1275" t="s">
        <v>85</v>
      </c>
      <c r="F1275" t="s">
        <v>124</v>
      </c>
    </row>
    <row r="1276" spans="1:5" x14ac:dyDescent="0.25">
      <c r="A1276" t="s">
        <v>2026</v>
      </c>
      <c r="B1276" t="s">
        <v>692</v>
      </c>
      <c r="E1276" t="s">
        <v>85</v>
      </c>
    </row>
    <row r="1277" spans="1:6" x14ac:dyDescent="0.25">
      <c r="A1277" t="s">
        <v>2027</v>
      </c>
      <c r="B1277" t="s">
        <v>692</v>
      </c>
      <c r="E1277" t="s">
        <v>85</v>
      </c>
      <c r="F1277" t="s">
        <v>73</v>
      </c>
    </row>
    <row r="1278" spans="1:6" x14ac:dyDescent="0.25">
      <c r="A1278" t="s">
        <v>2028</v>
      </c>
      <c r="B1278" t="s">
        <v>764</v>
      </c>
      <c r="C1278" t="s">
        <v>758</v>
      </c>
      <c r="D1278" t="s">
        <v>979</v>
      </c>
      <c r="E1278" t="s">
        <v>85</v>
      </c>
      <c r="F1278" t="s">
        <v>124</v>
      </c>
    </row>
    <row r="1279" spans="1:6" x14ac:dyDescent="0.25">
      <c r="A1279" t="s">
        <v>2029</v>
      </c>
      <c r="B1279" t="s">
        <v>764</v>
      </c>
      <c r="C1279" t="s">
        <v>758</v>
      </c>
      <c r="D1279" t="s">
        <v>979</v>
      </c>
      <c r="E1279" t="s">
        <v>85</v>
      </c>
      <c r="F1279" t="s">
        <v>124</v>
      </c>
    </row>
    <row r="1280" spans="1:6" x14ac:dyDescent="0.25">
      <c r="A1280" t="s">
        <v>239</v>
      </c>
      <c r="B1280" t="s">
        <v>764</v>
      </c>
      <c r="C1280" t="s">
        <v>758</v>
      </c>
      <c r="D1280" t="s">
        <v>979</v>
      </c>
      <c r="E1280" t="s">
        <v>85</v>
      </c>
      <c r="F1280" t="s">
        <v>124</v>
      </c>
    </row>
    <row r="1281" spans="1:6" x14ac:dyDescent="0.25">
      <c r="A1281" t="s">
        <v>2030</v>
      </c>
      <c r="B1281" t="s">
        <v>692</v>
      </c>
      <c r="E1281" t="s">
        <v>85</v>
      </c>
      <c r="F1281" t="s">
        <v>73</v>
      </c>
    </row>
    <row r="1282" spans="1:5" x14ac:dyDescent="0.25">
      <c r="A1282" t="s">
        <v>2031</v>
      </c>
      <c r="B1282" t="s">
        <v>692</v>
      </c>
      <c r="E1282" t="s">
        <v>85</v>
      </c>
    </row>
    <row r="1283" spans="1:5" x14ac:dyDescent="0.25">
      <c r="A1283" t="s">
        <v>2032</v>
      </c>
      <c r="B1283" t="s">
        <v>692</v>
      </c>
      <c r="E1283" t="s">
        <v>85</v>
      </c>
    </row>
    <row r="1284" spans="1:6" x14ac:dyDescent="0.25">
      <c r="A1284" t="s">
        <v>2033</v>
      </c>
      <c r="B1284" t="s">
        <v>764</v>
      </c>
      <c r="C1284" t="s">
        <v>758</v>
      </c>
      <c r="D1284" t="s">
        <v>979</v>
      </c>
      <c r="E1284" t="s">
        <v>85</v>
      </c>
      <c r="F1284" t="s">
        <v>124</v>
      </c>
    </row>
    <row r="1285" spans="1:5" x14ac:dyDescent="0.25">
      <c r="A1285" t="s">
        <v>2033</v>
      </c>
      <c r="B1285" t="s">
        <v>692</v>
      </c>
      <c r="E1285" t="s">
        <v>85</v>
      </c>
    </row>
    <row r="1286" spans="1:5" x14ac:dyDescent="0.25">
      <c r="A1286" t="s">
        <v>2034</v>
      </c>
      <c r="B1286" t="s">
        <v>692</v>
      </c>
      <c r="E1286" t="s">
        <v>85</v>
      </c>
    </row>
    <row r="1287" spans="1:6" x14ac:dyDescent="0.25">
      <c r="A1287" t="s">
        <v>2035</v>
      </c>
      <c r="B1287" t="s">
        <v>764</v>
      </c>
      <c r="C1287" t="s">
        <v>758</v>
      </c>
      <c r="D1287" t="s">
        <v>979</v>
      </c>
      <c r="E1287" t="s">
        <v>85</v>
      </c>
      <c r="F1287" t="s">
        <v>124</v>
      </c>
    </row>
    <row r="1288" spans="1:5" x14ac:dyDescent="0.25">
      <c r="A1288" t="s">
        <v>2036</v>
      </c>
      <c r="B1288" t="s">
        <v>692</v>
      </c>
      <c r="E1288" t="s">
        <v>85</v>
      </c>
    </row>
    <row r="1289" spans="1:6" x14ac:dyDescent="0.25">
      <c r="A1289" t="s">
        <v>2037</v>
      </c>
      <c r="B1289" t="s">
        <v>692</v>
      </c>
      <c r="E1289" t="s">
        <v>246</v>
      </c>
      <c r="F1289" t="s">
        <v>189</v>
      </c>
    </row>
    <row r="1290" spans="1:6" x14ac:dyDescent="0.25">
      <c r="A1290" t="s">
        <v>2038</v>
      </c>
      <c r="B1290" t="s">
        <v>764</v>
      </c>
      <c r="C1290" t="s">
        <v>790</v>
      </c>
      <c r="D1290" t="s">
        <v>791</v>
      </c>
      <c r="E1290" t="s">
        <v>805</v>
      </c>
      <c r="F1290" t="s">
        <v>806</v>
      </c>
    </row>
    <row r="1291" spans="1:6" x14ac:dyDescent="0.25">
      <c r="A1291" t="s">
        <v>2038</v>
      </c>
      <c r="B1291" t="s">
        <v>701</v>
      </c>
      <c r="C1291" t="s">
        <v>790</v>
      </c>
      <c r="D1291" t="s">
        <v>791</v>
      </c>
      <c r="E1291" t="s">
        <v>805</v>
      </c>
      <c r="F1291" t="s">
        <v>806</v>
      </c>
    </row>
    <row r="1292" spans="1:6" x14ac:dyDescent="0.25">
      <c r="A1292" t="s">
        <v>2039</v>
      </c>
      <c r="B1292" t="s">
        <v>764</v>
      </c>
      <c r="C1292" t="s">
        <v>758</v>
      </c>
      <c r="D1292" t="s">
        <v>875</v>
      </c>
      <c r="E1292" t="s">
        <v>173</v>
      </c>
      <c r="F1292" t="s">
        <v>206</v>
      </c>
    </row>
    <row r="1293" spans="1:6" x14ac:dyDescent="0.25">
      <c r="A1293" t="s">
        <v>2040</v>
      </c>
      <c r="B1293" t="s">
        <v>764</v>
      </c>
      <c r="C1293" t="s">
        <v>758</v>
      </c>
      <c r="D1293" t="s">
        <v>875</v>
      </c>
      <c r="E1293" t="s">
        <v>173</v>
      </c>
      <c r="F1293" t="s">
        <v>206</v>
      </c>
    </row>
    <row r="1294" spans="1:6" x14ac:dyDescent="0.25">
      <c r="A1294" t="s">
        <v>2041</v>
      </c>
      <c r="B1294" t="s">
        <v>764</v>
      </c>
      <c r="C1294" t="s">
        <v>758</v>
      </c>
      <c r="D1294" t="s">
        <v>875</v>
      </c>
      <c r="E1294" t="s">
        <v>173</v>
      </c>
      <c r="F1294" t="s">
        <v>206</v>
      </c>
    </row>
    <row r="1295" spans="1:6" x14ac:dyDescent="0.25">
      <c r="A1295" t="s">
        <v>2042</v>
      </c>
      <c r="B1295" t="s">
        <v>764</v>
      </c>
      <c r="C1295" t="s">
        <v>758</v>
      </c>
      <c r="D1295" t="s">
        <v>875</v>
      </c>
      <c r="E1295" t="s">
        <v>173</v>
      </c>
      <c r="F1295" t="s">
        <v>206</v>
      </c>
    </row>
    <row r="1296" spans="1:6" x14ac:dyDescent="0.25">
      <c r="A1296" t="s">
        <v>2043</v>
      </c>
      <c r="B1296" t="s">
        <v>764</v>
      </c>
      <c r="C1296" t="s">
        <v>758</v>
      </c>
      <c r="D1296" t="s">
        <v>875</v>
      </c>
      <c r="E1296" t="s">
        <v>173</v>
      </c>
      <c r="F1296" t="s">
        <v>206</v>
      </c>
    </row>
    <row r="1297" spans="1:6" x14ac:dyDescent="0.25">
      <c r="A1297" t="s">
        <v>2044</v>
      </c>
      <c r="B1297" t="s">
        <v>764</v>
      </c>
      <c r="C1297" t="s">
        <v>758</v>
      </c>
      <c r="D1297" t="s">
        <v>875</v>
      </c>
      <c r="E1297" t="s">
        <v>173</v>
      </c>
      <c r="F1297" t="s">
        <v>206</v>
      </c>
    </row>
    <row r="1298" spans="1:6" x14ac:dyDescent="0.25">
      <c r="A1298" t="s">
        <v>2045</v>
      </c>
      <c r="B1298" t="s">
        <v>764</v>
      </c>
      <c r="C1298" t="s">
        <v>758</v>
      </c>
      <c r="D1298" t="s">
        <v>875</v>
      </c>
      <c r="E1298" t="s">
        <v>173</v>
      </c>
      <c r="F1298" t="s">
        <v>206</v>
      </c>
    </row>
    <row r="1299" spans="1:6" x14ac:dyDescent="0.25">
      <c r="A1299" t="s">
        <v>2046</v>
      </c>
      <c r="B1299" t="s">
        <v>764</v>
      </c>
      <c r="C1299" t="s">
        <v>758</v>
      </c>
      <c r="D1299" t="s">
        <v>875</v>
      </c>
      <c r="E1299" t="s">
        <v>173</v>
      </c>
      <c r="F1299" t="s">
        <v>206</v>
      </c>
    </row>
    <row r="1300" spans="1:6" x14ac:dyDescent="0.25">
      <c r="A1300" t="s">
        <v>2047</v>
      </c>
      <c r="B1300" t="s">
        <v>764</v>
      </c>
      <c r="C1300" t="s">
        <v>758</v>
      </c>
      <c r="D1300" t="s">
        <v>875</v>
      </c>
      <c r="E1300" t="s">
        <v>173</v>
      </c>
      <c r="F1300" t="s">
        <v>206</v>
      </c>
    </row>
    <row r="1301" spans="1:6" x14ac:dyDescent="0.25">
      <c r="A1301" t="s">
        <v>2048</v>
      </c>
      <c r="B1301" t="s">
        <v>764</v>
      </c>
      <c r="C1301" t="s">
        <v>758</v>
      </c>
      <c r="D1301" t="s">
        <v>875</v>
      </c>
      <c r="E1301" t="s">
        <v>173</v>
      </c>
      <c r="F1301" t="s">
        <v>206</v>
      </c>
    </row>
    <row r="1302" spans="1:6" x14ac:dyDescent="0.25">
      <c r="A1302" t="s">
        <v>2049</v>
      </c>
      <c r="B1302" t="s">
        <v>764</v>
      </c>
      <c r="C1302" t="s">
        <v>702</v>
      </c>
      <c r="D1302" t="s">
        <v>962</v>
      </c>
      <c r="E1302" t="s">
        <v>103</v>
      </c>
      <c r="F1302" t="s">
        <v>103</v>
      </c>
    </row>
    <row r="1303" spans="1:6" x14ac:dyDescent="0.25">
      <c r="A1303" t="s">
        <v>2050</v>
      </c>
      <c r="B1303" t="s">
        <v>764</v>
      </c>
      <c r="C1303" t="s">
        <v>758</v>
      </c>
      <c r="D1303" t="s">
        <v>899</v>
      </c>
      <c r="E1303" t="s">
        <v>265</v>
      </c>
      <c r="F1303" t="s">
        <v>900</v>
      </c>
    </row>
    <row r="1304" spans="1:6" x14ac:dyDescent="0.25">
      <c r="A1304" t="s">
        <v>2050</v>
      </c>
      <c r="B1304" t="s">
        <v>794</v>
      </c>
      <c r="C1304" t="s">
        <v>758</v>
      </c>
      <c r="D1304" t="s">
        <v>899</v>
      </c>
      <c r="E1304" t="s">
        <v>265</v>
      </c>
      <c r="F1304" t="s">
        <v>265</v>
      </c>
    </row>
    <row r="1305" spans="1:6" x14ac:dyDescent="0.25">
      <c r="A1305" t="s">
        <v>2051</v>
      </c>
      <c r="B1305" t="s">
        <v>764</v>
      </c>
      <c r="C1305" t="s">
        <v>758</v>
      </c>
      <c r="D1305" t="s">
        <v>899</v>
      </c>
      <c r="E1305" t="s">
        <v>265</v>
      </c>
      <c r="F1305" t="s">
        <v>900</v>
      </c>
    </row>
    <row r="1306" spans="1:6" x14ac:dyDescent="0.25">
      <c r="A1306" t="s">
        <v>2051</v>
      </c>
      <c r="B1306" t="s">
        <v>794</v>
      </c>
      <c r="C1306" t="s">
        <v>758</v>
      </c>
      <c r="D1306" t="s">
        <v>899</v>
      </c>
      <c r="E1306" t="s">
        <v>265</v>
      </c>
      <c r="F1306" t="s">
        <v>265</v>
      </c>
    </row>
    <row r="1307" spans="1:6" x14ac:dyDescent="0.25">
      <c r="A1307" t="s">
        <v>2052</v>
      </c>
      <c r="B1307" t="s">
        <v>764</v>
      </c>
      <c r="C1307" t="s">
        <v>758</v>
      </c>
      <c r="D1307" t="s">
        <v>899</v>
      </c>
      <c r="E1307" t="s">
        <v>265</v>
      </c>
      <c r="F1307" t="s">
        <v>900</v>
      </c>
    </row>
    <row r="1308" spans="1:6" x14ac:dyDescent="0.25">
      <c r="A1308" t="s">
        <v>2052</v>
      </c>
      <c r="B1308" t="s">
        <v>794</v>
      </c>
      <c r="C1308" t="s">
        <v>758</v>
      </c>
      <c r="D1308" t="s">
        <v>899</v>
      </c>
      <c r="E1308" t="s">
        <v>265</v>
      </c>
      <c r="F1308" t="s">
        <v>265</v>
      </c>
    </row>
    <row r="1309" spans="1:6" x14ac:dyDescent="0.25">
      <c r="A1309" t="s">
        <v>2053</v>
      </c>
      <c r="B1309" t="s">
        <v>764</v>
      </c>
      <c r="C1309" t="s">
        <v>758</v>
      </c>
      <c r="D1309" t="s">
        <v>875</v>
      </c>
      <c r="E1309" t="s">
        <v>173</v>
      </c>
      <c r="F1309" t="s">
        <v>206</v>
      </c>
    </row>
    <row r="1310" spans="1:6" x14ac:dyDescent="0.25">
      <c r="A1310" t="s">
        <v>2054</v>
      </c>
      <c r="B1310" t="s">
        <v>764</v>
      </c>
      <c r="C1310" t="s">
        <v>758</v>
      </c>
      <c r="D1310" t="s">
        <v>875</v>
      </c>
      <c r="E1310" t="s">
        <v>173</v>
      </c>
      <c r="F1310" t="s">
        <v>206</v>
      </c>
    </row>
    <row r="1311" spans="1:6" x14ac:dyDescent="0.25">
      <c r="A1311" t="s">
        <v>2055</v>
      </c>
      <c r="B1311" t="s">
        <v>764</v>
      </c>
      <c r="C1311" t="s">
        <v>758</v>
      </c>
      <c r="D1311" t="s">
        <v>765</v>
      </c>
      <c r="E1311" t="s">
        <v>337</v>
      </c>
      <c r="F1311" t="s">
        <v>337</v>
      </c>
    </row>
    <row r="1312" spans="1:6" x14ac:dyDescent="0.25">
      <c r="A1312" t="s">
        <v>2056</v>
      </c>
      <c r="B1312" t="s">
        <v>764</v>
      </c>
      <c r="C1312" t="s">
        <v>758</v>
      </c>
      <c r="D1312" t="s">
        <v>765</v>
      </c>
      <c r="E1312" t="s">
        <v>337</v>
      </c>
      <c r="F1312" t="s">
        <v>337</v>
      </c>
    </row>
    <row r="1313" spans="1:6" x14ac:dyDescent="0.25">
      <c r="A1313" t="s">
        <v>2057</v>
      </c>
      <c r="B1313" t="s">
        <v>764</v>
      </c>
      <c r="C1313" t="s">
        <v>758</v>
      </c>
      <c r="D1313" t="s">
        <v>765</v>
      </c>
      <c r="E1313" t="s">
        <v>337</v>
      </c>
      <c r="F1313" t="s">
        <v>337</v>
      </c>
    </row>
    <row r="1314" spans="1:6" x14ac:dyDescent="0.25">
      <c r="A1314" t="s">
        <v>2058</v>
      </c>
      <c r="B1314" t="s">
        <v>764</v>
      </c>
      <c r="C1314" t="s">
        <v>758</v>
      </c>
      <c r="D1314" t="s">
        <v>765</v>
      </c>
      <c r="E1314" t="s">
        <v>337</v>
      </c>
      <c r="F1314" t="s">
        <v>337</v>
      </c>
    </row>
    <row r="1315" spans="1:6" x14ac:dyDescent="0.25">
      <c r="A1315" t="s">
        <v>2059</v>
      </c>
      <c r="B1315" t="s">
        <v>764</v>
      </c>
      <c r="C1315" t="s">
        <v>758</v>
      </c>
      <c r="D1315" t="s">
        <v>765</v>
      </c>
      <c r="E1315" t="s">
        <v>337</v>
      </c>
      <c r="F1315" t="s">
        <v>337</v>
      </c>
    </row>
    <row r="1316" spans="1:6" x14ac:dyDescent="0.25">
      <c r="A1316" t="s">
        <v>2060</v>
      </c>
      <c r="B1316" t="s">
        <v>764</v>
      </c>
      <c r="C1316" t="s">
        <v>758</v>
      </c>
      <c r="D1316" t="s">
        <v>765</v>
      </c>
      <c r="E1316" t="s">
        <v>337</v>
      </c>
      <c r="F1316" t="s">
        <v>337</v>
      </c>
    </row>
    <row r="1317" spans="1:6" x14ac:dyDescent="0.25">
      <c r="A1317" t="s">
        <v>2061</v>
      </c>
      <c r="B1317" t="s">
        <v>764</v>
      </c>
      <c r="C1317" t="s">
        <v>790</v>
      </c>
      <c r="D1317" t="s">
        <v>791</v>
      </c>
      <c r="E1317" t="s">
        <v>805</v>
      </c>
      <c r="F1317" t="s">
        <v>806</v>
      </c>
    </row>
    <row r="1318" spans="1:6" x14ac:dyDescent="0.25">
      <c r="A1318" t="s">
        <v>2061</v>
      </c>
      <c r="B1318" t="s">
        <v>701</v>
      </c>
      <c r="C1318" t="s">
        <v>790</v>
      </c>
      <c r="D1318" t="s">
        <v>791</v>
      </c>
      <c r="E1318" t="s">
        <v>805</v>
      </c>
      <c r="F1318" t="s">
        <v>806</v>
      </c>
    </row>
    <row r="1319" spans="1:6" x14ac:dyDescent="0.25">
      <c r="A1319" t="s">
        <v>2062</v>
      </c>
      <c r="B1319" t="s">
        <v>764</v>
      </c>
      <c r="C1319" t="s">
        <v>790</v>
      </c>
      <c r="D1319" t="s">
        <v>791</v>
      </c>
      <c r="E1319" t="s">
        <v>805</v>
      </c>
      <c r="F1319" t="s">
        <v>806</v>
      </c>
    </row>
    <row r="1320" spans="1:6" x14ac:dyDescent="0.25">
      <c r="A1320" t="s">
        <v>2062</v>
      </c>
      <c r="B1320" t="s">
        <v>701</v>
      </c>
      <c r="C1320" t="s">
        <v>790</v>
      </c>
      <c r="D1320" t="s">
        <v>791</v>
      </c>
      <c r="E1320" t="s">
        <v>805</v>
      </c>
      <c r="F1320" t="s">
        <v>806</v>
      </c>
    </row>
    <row r="1321" spans="1:6" x14ac:dyDescent="0.25">
      <c r="A1321" t="s">
        <v>2063</v>
      </c>
      <c r="B1321" t="s">
        <v>764</v>
      </c>
      <c r="C1321" t="s">
        <v>790</v>
      </c>
      <c r="D1321" t="s">
        <v>791</v>
      </c>
      <c r="E1321" t="s">
        <v>805</v>
      </c>
      <c r="F1321" t="s">
        <v>806</v>
      </c>
    </row>
    <row r="1322" spans="1:6" x14ac:dyDescent="0.25">
      <c r="A1322" t="s">
        <v>2063</v>
      </c>
      <c r="B1322" t="s">
        <v>701</v>
      </c>
      <c r="C1322" t="s">
        <v>790</v>
      </c>
      <c r="D1322" t="s">
        <v>791</v>
      </c>
      <c r="E1322" t="s">
        <v>805</v>
      </c>
      <c r="F1322" t="s">
        <v>806</v>
      </c>
    </row>
    <row r="1323" spans="1:6" x14ac:dyDescent="0.25">
      <c r="A1323" t="s">
        <v>2064</v>
      </c>
      <c r="B1323" t="s">
        <v>764</v>
      </c>
      <c r="C1323" t="s">
        <v>790</v>
      </c>
      <c r="D1323" t="s">
        <v>791</v>
      </c>
      <c r="E1323" t="s">
        <v>805</v>
      </c>
      <c r="F1323" t="s">
        <v>806</v>
      </c>
    </row>
    <row r="1324" spans="1:6" x14ac:dyDescent="0.25">
      <c r="A1324" t="s">
        <v>2064</v>
      </c>
      <c r="B1324" t="s">
        <v>701</v>
      </c>
      <c r="C1324" t="s">
        <v>790</v>
      </c>
      <c r="D1324" t="s">
        <v>791</v>
      </c>
      <c r="E1324" t="s">
        <v>805</v>
      </c>
      <c r="F1324" t="s">
        <v>806</v>
      </c>
    </row>
    <row r="1325" spans="1:6" x14ac:dyDescent="0.25">
      <c r="A1325" t="s">
        <v>2065</v>
      </c>
      <c r="B1325" t="s">
        <v>764</v>
      </c>
      <c r="C1325" t="s">
        <v>790</v>
      </c>
      <c r="D1325" t="s">
        <v>791</v>
      </c>
      <c r="E1325" t="s">
        <v>805</v>
      </c>
      <c r="F1325" t="s">
        <v>806</v>
      </c>
    </row>
    <row r="1326" spans="1:6" x14ac:dyDescent="0.25">
      <c r="A1326" t="s">
        <v>2065</v>
      </c>
      <c r="B1326" t="s">
        <v>701</v>
      </c>
      <c r="C1326" t="s">
        <v>790</v>
      </c>
      <c r="D1326" t="s">
        <v>791</v>
      </c>
      <c r="E1326" t="s">
        <v>805</v>
      </c>
      <c r="F1326" t="s">
        <v>806</v>
      </c>
    </row>
    <row r="1327" spans="1:6" x14ac:dyDescent="0.25">
      <c r="A1327" t="s">
        <v>2066</v>
      </c>
      <c r="B1327" t="s">
        <v>764</v>
      </c>
      <c r="C1327" t="s">
        <v>758</v>
      </c>
      <c r="D1327" t="s">
        <v>765</v>
      </c>
      <c r="E1327" t="s">
        <v>337</v>
      </c>
      <c r="F1327" t="s">
        <v>337</v>
      </c>
    </row>
    <row r="1328" spans="1:6" x14ac:dyDescent="0.25">
      <c r="A1328" t="s">
        <v>2067</v>
      </c>
      <c r="B1328" t="s">
        <v>764</v>
      </c>
      <c r="C1328" t="s">
        <v>758</v>
      </c>
      <c r="D1328" t="s">
        <v>765</v>
      </c>
      <c r="E1328" t="s">
        <v>337</v>
      </c>
      <c r="F1328" t="s">
        <v>337</v>
      </c>
    </row>
    <row r="1329" spans="1:6" x14ac:dyDescent="0.25">
      <c r="A1329" t="s">
        <v>2068</v>
      </c>
      <c r="B1329" t="s">
        <v>764</v>
      </c>
      <c r="C1329" t="s">
        <v>782</v>
      </c>
      <c r="D1329" t="s">
        <v>836</v>
      </c>
      <c r="E1329" t="s">
        <v>2069</v>
      </c>
      <c r="F1329" t="s">
        <v>2070</v>
      </c>
    </row>
    <row r="1330" spans="1:6" x14ac:dyDescent="0.25">
      <c r="A1330" t="s">
        <v>2071</v>
      </c>
      <c r="B1330" t="s">
        <v>764</v>
      </c>
      <c r="C1330" t="s">
        <v>758</v>
      </c>
      <c r="D1330" t="s">
        <v>765</v>
      </c>
      <c r="E1330" t="s">
        <v>337</v>
      </c>
      <c r="F1330" t="s">
        <v>337</v>
      </c>
    </row>
    <row r="1331" spans="1:6" x14ac:dyDescent="0.25">
      <c r="A1331" t="s">
        <v>2072</v>
      </c>
      <c r="B1331" t="s">
        <v>764</v>
      </c>
      <c r="C1331" t="s">
        <v>782</v>
      </c>
      <c r="D1331" t="s">
        <v>836</v>
      </c>
      <c r="E1331" t="s">
        <v>2069</v>
      </c>
      <c r="F1331" t="s">
        <v>2070</v>
      </c>
    </row>
    <row r="1332" spans="1:6" x14ac:dyDescent="0.25">
      <c r="A1332" t="s">
        <v>2073</v>
      </c>
      <c r="B1332" t="s">
        <v>764</v>
      </c>
      <c r="C1332" t="s">
        <v>782</v>
      </c>
      <c r="D1332" t="s">
        <v>836</v>
      </c>
      <c r="E1332" t="s">
        <v>2069</v>
      </c>
      <c r="F1332" t="s">
        <v>2070</v>
      </c>
    </row>
    <row r="1333" spans="1:6" x14ac:dyDescent="0.25">
      <c r="A1333" t="s">
        <v>2074</v>
      </c>
      <c r="B1333" t="s">
        <v>764</v>
      </c>
      <c r="C1333" t="s">
        <v>758</v>
      </c>
      <c r="D1333" t="s">
        <v>765</v>
      </c>
      <c r="E1333" t="s">
        <v>337</v>
      </c>
      <c r="F1333" t="s">
        <v>337</v>
      </c>
    </row>
    <row r="1334" spans="1:6" x14ac:dyDescent="0.25">
      <c r="A1334" t="s">
        <v>2075</v>
      </c>
      <c r="B1334" t="s">
        <v>764</v>
      </c>
      <c r="C1334" t="s">
        <v>782</v>
      </c>
      <c r="D1334" t="s">
        <v>836</v>
      </c>
      <c r="E1334" t="s">
        <v>2069</v>
      </c>
      <c r="F1334" t="s">
        <v>2070</v>
      </c>
    </row>
    <row r="1335" spans="1:6" x14ac:dyDescent="0.25">
      <c r="A1335" t="s">
        <v>2076</v>
      </c>
      <c r="B1335" t="s">
        <v>764</v>
      </c>
      <c r="C1335" t="s">
        <v>758</v>
      </c>
      <c r="D1335" t="s">
        <v>765</v>
      </c>
      <c r="E1335" t="s">
        <v>337</v>
      </c>
      <c r="F1335" t="s">
        <v>337</v>
      </c>
    </row>
    <row r="1336" spans="1:6" x14ac:dyDescent="0.25">
      <c r="A1336" t="s">
        <v>2077</v>
      </c>
      <c r="B1336" t="s">
        <v>764</v>
      </c>
      <c r="C1336" t="s">
        <v>758</v>
      </c>
      <c r="D1336" t="s">
        <v>765</v>
      </c>
      <c r="E1336" t="s">
        <v>337</v>
      </c>
      <c r="F1336" t="s">
        <v>337</v>
      </c>
    </row>
    <row r="1337" spans="1:6" x14ac:dyDescent="0.25">
      <c r="A1337" t="s">
        <v>2078</v>
      </c>
      <c r="B1337" t="s">
        <v>764</v>
      </c>
      <c r="C1337" t="s">
        <v>790</v>
      </c>
      <c r="D1337" t="s">
        <v>791</v>
      </c>
      <c r="E1337" t="s">
        <v>805</v>
      </c>
      <c r="F1337" t="s">
        <v>806</v>
      </c>
    </row>
    <row r="1338" spans="1:6" x14ac:dyDescent="0.25">
      <c r="A1338" t="s">
        <v>2078</v>
      </c>
      <c r="B1338" t="s">
        <v>701</v>
      </c>
      <c r="C1338" t="s">
        <v>790</v>
      </c>
      <c r="D1338" t="s">
        <v>791</v>
      </c>
      <c r="E1338" t="s">
        <v>805</v>
      </c>
      <c r="F1338" t="s">
        <v>806</v>
      </c>
    </row>
    <row r="1339" spans="1:6" x14ac:dyDescent="0.25">
      <c r="A1339" t="s">
        <v>2079</v>
      </c>
      <c r="B1339" t="s">
        <v>764</v>
      </c>
      <c r="C1339" t="s">
        <v>758</v>
      </c>
      <c r="D1339" t="s">
        <v>765</v>
      </c>
      <c r="E1339" t="s">
        <v>337</v>
      </c>
      <c r="F1339" t="s">
        <v>337</v>
      </c>
    </row>
    <row r="1340" spans="1:5" x14ac:dyDescent="0.25">
      <c r="A1340" t="s">
        <v>2080</v>
      </c>
      <c r="B1340" t="s">
        <v>692</v>
      </c>
      <c r="E1340" t="s">
        <v>598</v>
      </c>
    </row>
    <row r="1341" spans="1:6" x14ac:dyDescent="0.25">
      <c r="A1341" t="s">
        <v>2081</v>
      </c>
      <c r="B1341" t="s">
        <v>764</v>
      </c>
      <c r="C1341" t="s">
        <v>790</v>
      </c>
      <c r="D1341" t="s">
        <v>791</v>
      </c>
      <c r="E1341" t="s">
        <v>598</v>
      </c>
      <c r="F1341" t="s">
        <v>792</v>
      </c>
    </row>
    <row r="1342" spans="1:6" x14ac:dyDescent="0.25">
      <c r="A1342" t="s">
        <v>2081</v>
      </c>
      <c r="B1342" t="s">
        <v>701</v>
      </c>
      <c r="C1342" t="s">
        <v>790</v>
      </c>
      <c r="D1342" t="s">
        <v>791</v>
      </c>
      <c r="E1342" t="s">
        <v>598</v>
      </c>
      <c r="F1342" t="s">
        <v>793</v>
      </c>
    </row>
    <row r="1343" spans="1:6" x14ac:dyDescent="0.25">
      <c r="A1343" t="s">
        <v>2082</v>
      </c>
      <c r="B1343" t="s">
        <v>764</v>
      </c>
      <c r="C1343" t="s">
        <v>790</v>
      </c>
      <c r="D1343" t="s">
        <v>791</v>
      </c>
      <c r="E1343" t="s">
        <v>598</v>
      </c>
      <c r="F1343" t="s">
        <v>792</v>
      </c>
    </row>
    <row r="1344" spans="1:6" x14ac:dyDescent="0.25">
      <c r="A1344" t="s">
        <v>2082</v>
      </c>
      <c r="B1344" t="s">
        <v>701</v>
      </c>
      <c r="C1344" t="s">
        <v>790</v>
      </c>
      <c r="D1344" t="s">
        <v>791</v>
      </c>
      <c r="E1344" t="s">
        <v>598</v>
      </c>
      <c r="F1344" t="s">
        <v>793</v>
      </c>
    </row>
    <row r="1345" spans="1:6" x14ac:dyDescent="0.25">
      <c r="A1345" t="s">
        <v>2083</v>
      </c>
      <c r="B1345" t="s">
        <v>764</v>
      </c>
      <c r="C1345" t="s">
        <v>702</v>
      </c>
      <c r="D1345" t="s">
        <v>786</v>
      </c>
      <c r="E1345" t="s">
        <v>787</v>
      </c>
      <c r="F1345" t="s">
        <v>788</v>
      </c>
    </row>
    <row r="1346" spans="1:6" x14ac:dyDescent="0.25">
      <c r="A1346" t="s">
        <v>2084</v>
      </c>
      <c r="B1346" t="s">
        <v>764</v>
      </c>
      <c r="C1346" t="s">
        <v>702</v>
      </c>
      <c r="D1346" t="s">
        <v>786</v>
      </c>
      <c r="E1346" t="s">
        <v>787</v>
      </c>
      <c r="F1346" t="s">
        <v>788</v>
      </c>
    </row>
    <row r="1347" spans="1:6" x14ac:dyDescent="0.25">
      <c r="A1347" t="s">
        <v>2085</v>
      </c>
      <c r="B1347" t="s">
        <v>764</v>
      </c>
      <c r="C1347" t="s">
        <v>702</v>
      </c>
      <c r="D1347" t="s">
        <v>786</v>
      </c>
      <c r="E1347" t="s">
        <v>787</v>
      </c>
      <c r="F1347" t="s">
        <v>788</v>
      </c>
    </row>
    <row r="1348" spans="1:6" x14ac:dyDescent="0.25">
      <c r="A1348" t="s">
        <v>2086</v>
      </c>
      <c r="B1348" t="s">
        <v>701</v>
      </c>
      <c r="C1348" t="s">
        <v>746</v>
      </c>
      <c r="D1348" t="s">
        <v>747</v>
      </c>
      <c r="E1348" t="s">
        <v>748</v>
      </c>
      <c r="F1348" t="s">
        <v>748</v>
      </c>
    </row>
    <row r="1349" spans="1:6" x14ac:dyDescent="0.25">
      <c r="A1349" t="s">
        <v>2087</v>
      </c>
      <c r="B1349" t="s">
        <v>764</v>
      </c>
      <c r="C1349" t="s">
        <v>782</v>
      </c>
      <c r="D1349" t="s">
        <v>836</v>
      </c>
      <c r="E1349" t="s">
        <v>2069</v>
      </c>
      <c r="F1349" t="s">
        <v>2070</v>
      </c>
    </row>
    <row r="1350" spans="1:6" x14ac:dyDescent="0.25">
      <c r="A1350" t="s">
        <v>2088</v>
      </c>
      <c r="B1350" t="s">
        <v>764</v>
      </c>
      <c r="C1350" t="s">
        <v>782</v>
      </c>
      <c r="D1350" t="s">
        <v>836</v>
      </c>
      <c r="E1350" t="s">
        <v>2069</v>
      </c>
      <c r="F1350" t="s">
        <v>2070</v>
      </c>
    </row>
    <row r="1351" spans="1:6" x14ac:dyDescent="0.25">
      <c r="A1351" t="s">
        <v>2089</v>
      </c>
      <c r="B1351" t="s">
        <v>764</v>
      </c>
      <c r="C1351" t="s">
        <v>758</v>
      </c>
      <c r="D1351" t="s">
        <v>765</v>
      </c>
      <c r="E1351" t="s">
        <v>337</v>
      </c>
      <c r="F1351" t="s">
        <v>337</v>
      </c>
    </row>
    <row r="1352" spans="1:6" x14ac:dyDescent="0.25">
      <c r="A1352" t="s">
        <v>2090</v>
      </c>
      <c r="B1352" t="s">
        <v>701</v>
      </c>
      <c r="C1352" t="s">
        <v>702</v>
      </c>
      <c r="D1352" t="s">
        <v>134</v>
      </c>
      <c r="E1352" t="s">
        <v>135</v>
      </c>
      <c r="F1352" t="s">
        <v>703</v>
      </c>
    </row>
    <row r="1353" spans="1:6" x14ac:dyDescent="0.25">
      <c r="A1353" t="s">
        <v>2091</v>
      </c>
      <c r="B1353" t="s">
        <v>701</v>
      </c>
      <c r="C1353" t="s">
        <v>702</v>
      </c>
      <c r="D1353" t="s">
        <v>761</v>
      </c>
      <c r="E1353" t="s">
        <v>389</v>
      </c>
      <c r="F1353" t="s">
        <v>762</v>
      </c>
    </row>
    <row r="1354" spans="1:6" x14ac:dyDescent="0.25">
      <c r="A1354" t="s">
        <v>2092</v>
      </c>
      <c r="B1354" t="s">
        <v>701</v>
      </c>
      <c r="C1354" t="s">
        <v>702</v>
      </c>
      <c r="D1354" t="s">
        <v>761</v>
      </c>
      <c r="E1354" t="s">
        <v>389</v>
      </c>
      <c r="F1354" t="s">
        <v>762</v>
      </c>
    </row>
    <row r="1355" spans="1:6" x14ac:dyDescent="0.25">
      <c r="A1355" t="s">
        <v>2093</v>
      </c>
      <c r="B1355" t="s">
        <v>701</v>
      </c>
      <c r="C1355" t="s">
        <v>702</v>
      </c>
      <c r="D1355" t="s">
        <v>134</v>
      </c>
      <c r="E1355" t="s">
        <v>135</v>
      </c>
      <c r="F1355" t="s">
        <v>703</v>
      </c>
    </row>
    <row r="1356" spans="1:6" x14ac:dyDescent="0.25">
      <c r="A1356" t="s">
        <v>2094</v>
      </c>
      <c r="B1356" t="s">
        <v>701</v>
      </c>
      <c r="C1356" t="s">
        <v>702</v>
      </c>
      <c r="D1356" t="s">
        <v>134</v>
      </c>
      <c r="E1356" t="s">
        <v>135</v>
      </c>
      <c r="F1356" t="s">
        <v>703</v>
      </c>
    </row>
    <row r="1357" spans="1:5" x14ac:dyDescent="0.25">
      <c r="A1357" t="s">
        <v>2095</v>
      </c>
      <c r="B1357" t="s">
        <v>692</v>
      </c>
      <c r="E1357" t="s">
        <v>327</v>
      </c>
    </row>
    <row r="1358" spans="1:6" x14ac:dyDescent="0.25">
      <c r="A1358" t="s">
        <v>2096</v>
      </c>
      <c r="B1358" t="s">
        <v>701</v>
      </c>
      <c r="C1358" t="s">
        <v>702</v>
      </c>
      <c r="D1358" t="s">
        <v>750</v>
      </c>
      <c r="E1358" t="s">
        <v>539</v>
      </c>
      <c r="F1358" t="s">
        <v>751</v>
      </c>
    </row>
    <row r="1359" spans="1:6" x14ac:dyDescent="0.25">
      <c r="A1359" t="s">
        <v>2097</v>
      </c>
      <c r="B1359" t="s">
        <v>701</v>
      </c>
      <c r="C1359" t="s">
        <v>702</v>
      </c>
      <c r="D1359" t="s">
        <v>750</v>
      </c>
      <c r="E1359" t="s">
        <v>1111</v>
      </c>
      <c r="F1359" t="s">
        <v>1112</v>
      </c>
    </row>
    <row r="1360" spans="1:6" x14ac:dyDescent="0.25">
      <c r="A1360" t="s">
        <v>2098</v>
      </c>
      <c r="B1360" t="s">
        <v>701</v>
      </c>
      <c r="C1360" t="s">
        <v>702</v>
      </c>
      <c r="D1360" t="s">
        <v>750</v>
      </c>
      <c r="E1360" t="s">
        <v>1111</v>
      </c>
      <c r="F1360" t="s">
        <v>1112</v>
      </c>
    </row>
    <row r="1361" spans="1:6" x14ac:dyDescent="0.25">
      <c r="A1361" t="s">
        <v>2099</v>
      </c>
      <c r="B1361" t="s">
        <v>701</v>
      </c>
      <c r="C1361" t="s">
        <v>702</v>
      </c>
      <c r="D1361" t="s">
        <v>750</v>
      </c>
      <c r="E1361" t="s">
        <v>539</v>
      </c>
      <c r="F1361" t="s">
        <v>751</v>
      </c>
    </row>
    <row r="1362" spans="1:6" x14ac:dyDescent="0.25">
      <c r="A1362" t="s">
        <v>2100</v>
      </c>
      <c r="B1362" t="s">
        <v>695</v>
      </c>
      <c r="C1362" t="s">
        <v>696</v>
      </c>
      <c r="D1362" t="s">
        <v>2101</v>
      </c>
      <c r="E1362" t="s">
        <v>2102</v>
      </c>
      <c r="F1362" t="s">
        <v>2100</v>
      </c>
    </row>
    <row r="1363" spans="1:6" x14ac:dyDescent="0.25">
      <c r="A1363" t="s">
        <v>2103</v>
      </c>
      <c r="B1363" t="s">
        <v>695</v>
      </c>
      <c r="C1363" t="s">
        <v>696</v>
      </c>
      <c r="D1363" t="s">
        <v>2101</v>
      </c>
      <c r="E1363" t="s">
        <v>2102</v>
      </c>
      <c r="F1363" t="s">
        <v>2103</v>
      </c>
    </row>
    <row r="1364" spans="1:6" x14ac:dyDescent="0.25">
      <c r="A1364" t="s">
        <v>2104</v>
      </c>
      <c r="B1364" t="s">
        <v>2105</v>
      </c>
      <c r="C1364" t="s">
        <v>746</v>
      </c>
      <c r="D1364" t="s">
        <v>747</v>
      </c>
      <c r="E1364" t="s">
        <v>2104</v>
      </c>
      <c r="F1364" t="s">
        <v>2104</v>
      </c>
    </row>
    <row r="1365" spans="1:6" x14ac:dyDescent="0.25">
      <c r="A1365" t="s">
        <v>2106</v>
      </c>
      <c r="B1365" t="s">
        <v>695</v>
      </c>
      <c r="C1365" t="s">
        <v>702</v>
      </c>
      <c r="D1365" t="s">
        <v>2107</v>
      </c>
      <c r="E1365" t="s">
        <v>2108</v>
      </c>
      <c r="F1365" t="s">
        <v>2109</v>
      </c>
    </row>
    <row r="1366" spans="1:6" x14ac:dyDescent="0.25">
      <c r="A1366" t="s">
        <v>2110</v>
      </c>
      <c r="B1366" t="s">
        <v>695</v>
      </c>
      <c r="C1366" t="s">
        <v>702</v>
      </c>
      <c r="D1366" t="s">
        <v>786</v>
      </c>
      <c r="E1366" t="s">
        <v>2111</v>
      </c>
      <c r="F1366" t="s">
        <v>2112</v>
      </c>
    </row>
    <row r="1367" spans="1:6" x14ac:dyDescent="0.25">
      <c r="A1367" t="s">
        <v>2113</v>
      </c>
      <c r="B1367" t="s">
        <v>695</v>
      </c>
      <c r="C1367" t="s">
        <v>702</v>
      </c>
      <c r="D1367" t="s">
        <v>786</v>
      </c>
      <c r="E1367" t="s">
        <v>2111</v>
      </c>
      <c r="F1367" t="s">
        <v>2114</v>
      </c>
    </row>
    <row r="1368" spans="1:6" x14ac:dyDescent="0.25">
      <c r="A1368" t="s">
        <v>2115</v>
      </c>
      <c r="B1368" t="s">
        <v>695</v>
      </c>
      <c r="C1368" t="s">
        <v>696</v>
      </c>
      <c r="D1368" t="s">
        <v>2101</v>
      </c>
      <c r="E1368" t="s">
        <v>2102</v>
      </c>
      <c r="F1368" t="s">
        <v>2115</v>
      </c>
    </row>
    <row r="1369" spans="1:6" x14ac:dyDescent="0.25">
      <c r="A1369" t="s">
        <v>2116</v>
      </c>
      <c r="B1369" t="s">
        <v>695</v>
      </c>
      <c r="C1369" t="s">
        <v>696</v>
      </c>
      <c r="D1369" t="s">
        <v>2101</v>
      </c>
      <c r="E1369" t="s">
        <v>2102</v>
      </c>
      <c r="F1369" t="s">
        <v>2116</v>
      </c>
    </row>
    <row r="1370" spans="1:5" x14ac:dyDescent="0.25">
      <c r="A1370" t="s">
        <v>2117</v>
      </c>
      <c r="B1370" t="s">
        <v>692</v>
      </c>
      <c r="E1370" t="s">
        <v>1002</v>
      </c>
    </row>
    <row r="1371" spans="1:5" x14ac:dyDescent="0.25">
      <c r="A1371" t="s">
        <v>2118</v>
      </c>
      <c r="B1371" t="s">
        <v>692</v>
      </c>
      <c r="E1371" t="s">
        <v>2119</v>
      </c>
    </row>
    <row r="1372" spans="1:6" x14ac:dyDescent="0.25">
      <c r="A1372" t="s">
        <v>2120</v>
      </c>
      <c r="B1372" t="s">
        <v>695</v>
      </c>
      <c r="C1372" t="s">
        <v>702</v>
      </c>
      <c r="D1372" t="s">
        <v>750</v>
      </c>
      <c r="E1372" t="s">
        <v>539</v>
      </c>
      <c r="F1372" t="s">
        <v>2121</v>
      </c>
    </row>
    <row r="1373" spans="1:6" x14ac:dyDescent="0.25">
      <c r="A1373" t="s">
        <v>2122</v>
      </c>
      <c r="B1373" t="s">
        <v>695</v>
      </c>
      <c r="C1373" t="s">
        <v>706</v>
      </c>
      <c r="D1373" t="s">
        <v>753</v>
      </c>
      <c r="E1373" t="s">
        <v>360</v>
      </c>
      <c r="F1373" t="s">
        <v>2123</v>
      </c>
    </row>
    <row r="1374" spans="1:6" x14ac:dyDescent="0.25">
      <c r="A1374" t="s">
        <v>2124</v>
      </c>
      <c r="B1374" t="s">
        <v>705</v>
      </c>
      <c r="C1374" t="s">
        <v>706</v>
      </c>
      <c r="D1374" t="s">
        <v>753</v>
      </c>
      <c r="E1374" t="s">
        <v>313</v>
      </c>
      <c r="F1374" t="s">
        <v>2125</v>
      </c>
    </row>
    <row r="1375" spans="1:6" x14ac:dyDescent="0.25">
      <c r="A1375" t="s">
        <v>2126</v>
      </c>
      <c r="B1375" t="s">
        <v>695</v>
      </c>
      <c r="C1375" t="s">
        <v>696</v>
      </c>
      <c r="D1375" t="s">
        <v>2127</v>
      </c>
      <c r="E1375" t="s">
        <v>2128</v>
      </c>
      <c r="F1375" t="s">
        <v>2129</v>
      </c>
    </row>
    <row r="1376" spans="1:6" x14ac:dyDescent="0.25">
      <c r="A1376" t="s">
        <v>2130</v>
      </c>
      <c r="B1376" t="s">
        <v>705</v>
      </c>
      <c r="C1376" t="s">
        <v>696</v>
      </c>
      <c r="D1376" t="s">
        <v>2127</v>
      </c>
      <c r="E1376" t="s">
        <v>2128</v>
      </c>
      <c r="F1376" t="s">
        <v>847</v>
      </c>
    </row>
    <row r="1377" spans="1:6" x14ac:dyDescent="0.25">
      <c r="A1377" t="s">
        <v>2131</v>
      </c>
      <c r="B1377" t="s">
        <v>695</v>
      </c>
      <c r="C1377" t="s">
        <v>706</v>
      </c>
      <c r="D1377" t="s">
        <v>845</v>
      </c>
      <c r="E1377" t="s">
        <v>272</v>
      </c>
      <c r="F1377" t="s">
        <v>2132</v>
      </c>
    </row>
    <row r="1378" spans="1:6" x14ac:dyDescent="0.25">
      <c r="A1378" t="s">
        <v>2131</v>
      </c>
      <c r="B1378" t="s">
        <v>705</v>
      </c>
      <c r="C1378" t="s">
        <v>706</v>
      </c>
      <c r="D1378" t="s">
        <v>845</v>
      </c>
      <c r="E1378" t="s">
        <v>272</v>
      </c>
      <c r="F1378" t="s">
        <v>381</v>
      </c>
    </row>
    <row r="1379" spans="1:6" x14ac:dyDescent="0.25">
      <c r="A1379" t="s">
        <v>2133</v>
      </c>
      <c r="B1379" t="s">
        <v>695</v>
      </c>
      <c r="C1379" t="s">
        <v>696</v>
      </c>
      <c r="D1379" t="s">
        <v>2134</v>
      </c>
      <c r="E1379" t="s">
        <v>1609</v>
      </c>
      <c r="F1379" t="s">
        <v>2135</v>
      </c>
    </row>
    <row r="1380" spans="1:6" x14ac:dyDescent="0.25">
      <c r="A1380" t="s">
        <v>2136</v>
      </c>
      <c r="B1380" t="s">
        <v>695</v>
      </c>
      <c r="C1380" t="s">
        <v>706</v>
      </c>
      <c r="D1380" t="s">
        <v>845</v>
      </c>
      <c r="E1380" t="s">
        <v>272</v>
      </c>
      <c r="F1380" t="s">
        <v>2137</v>
      </c>
    </row>
    <row r="1381" spans="1:6" x14ac:dyDescent="0.25">
      <c r="A1381" t="s">
        <v>2138</v>
      </c>
      <c r="B1381" t="s">
        <v>695</v>
      </c>
      <c r="C1381" t="s">
        <v>706</v>
      </c>
      <c r="D1381" t="s">
        <v>2139</v>
      </c>
      <c r="E1381" t="s">
        <v>1016</v>
      </c>
      <c r="F1381" t="s">
        <v>2140</v>
      </c>
    </row>
    <row r="1382" spans="1:6" x14ac:dyDescent="0.25">
      <c r="A1382" t="s">
        <v>2141</v>
      </c>
      <c r="B1382" t="s">
        <v>705</v>
      </c>
      <c r="C1382" t="s">
        <v>706</v>
      </c>
      <c r="D1382" t="s">
        <v>1043</v>
      </c>
      <c r="E1382" t="s">
        <v>981</v>
      </c>
      <c r="F1382" t="s">
        <v>2142</v>
      </c>
    </row>
    <row r="1383" spans="1:6" x14ac:dyDescent="0.25">
      <c r="A1383" t="s">
        <v>2143</v>
      </c>
      <c r="B1383" t="s">
        <v>695</v>
      </c>
      <c r="C1383" t="s">
        <v>706</v>
      </c>
      <c r="D1383" t="s">
        <v>707</v>
      </c>
      <c r="E1383" t="s">
        <v>708</v>
      </c>
      <c r="F1383" t="s">
        <v>2144</v>
      </c>
    </row>
    <row r="1384" spans="1:6" x14ac:dyDescent="0.25">
      <c r="A1384" t="s">
        <v>2143</v>
      </c>
      <c r="B1384" t="s">
        <v>705</v>
      </c>
      <c r="C1384" t="s">
        <v>706</v>
      </c>
      <c r="D1384" t="s">
        <v>707</v>
      </c>
      <c r="E1384" t="s">
        <v>708</v>
      </c>
      <c r="F1384" t="s">
        <v>709</v>
      </c>
    </row>
    <row r="1385" spans="1:6" x14ac:dyDescent="0.25">
      <c r="A1385" t="s">
        <v>2145</v>
      </c>
      <c r="B1385" t="s">
        <v>695</v>
      </c>
      <c r="C1385" t="s">
        <v>696</v>
      </c>
      <c r="D1385" t="s">
        <v>2134</v>
      </c>
      <c r="E1385" t="s">
        <v>1609</v>
      </c>
      <c r="F1385" t="s">
        <v>2146</v>
      </c>
    </row>
    <row r="1386" spans="1:6" x14ac:dyDescent="0.25">
      <c r="A1386" t="s">
        <v>2147</v>
      </c>
      <c r="B1386" t="s">
        <v>2148</v>
      </c>
      <c r="C1386" t="s">
        <v>706</v>
      </c>
      <c r="D1386" t="s">
        <v>2149</v>
      </c>
      <c r="E1386" t="s">
        <v>2150</v>
      </c>
      <c r="F1386" t="s">
        <v>2151</v>
      </c>
    </row>
    <row r="1387" spans="1:6" x14ac:dyDescent="0.25">
      <c r="A1387" t="s">
        <v>2147</v>
      </c>
      <c r="B1387" t="s">
        <v>701</v>
      </c>
      <c r="C1387" t="s">
        <v>706</v>
      </c>
      <c r="D1387" t="s">
        <v>2149</v>
      </c>
      <c r="E1387" t="s">
        <v>2150</v>
      </c>
      <c r="F1387" t="s">
        <v>2147</v>
      </c>
    </row>
    <row r="1388" spans="1:5" x14ac:dyDescent="0.25">
      <c r="A1388" t="s">
        <v>2152</v>
      </c>
      <c r="B1388" t="s">
        <v>692</v>
      </c>
      <c r="E1388" t="s">
        <v>394</v>
      </c>
    </row>
    <row r="1389" spans="1:6" x14ac:dyDescent="0.25">
      <c r="A1389" t="s">
        <v>2153</v>
      </c>
      <c r="B1389" t="s">
        <v>695</v>
      </c>
      <c r="C1389" t="s">
        <v>1138</v>
      </c>
      <c r="D1389" t="s">
        <v>1139</v>
      </c>
      <c r="E1389" t="s">
        <v>1527</v>
      </c>
      <c r="F1389" t="s">
        <v>2153</v>
      </c>
    </row>
    <row r="1390" spans="1:6" x14ac:dyDescent="0.25">
      <c r="A1390" t="s">
        <v>2154</v>
      </c>
      <c r="B1390" t="s">
        <v>695</v>
      </c>
      <c r="C1390" t="s">
        <v>1138</v>
      </c>
      <c r="D1390" t="s">
        <v>2155</v>
      </c>
      <c r="E1390" t="s">
        <v>2156</v>
      </c>
      <c r="F1390" t="s">
        <v>2154</v>
      </c>
    </row>
    <row r="1391" spans="1:6" x14ac:dyDescent="0.25">
      <c r="A1391" t="s">
        <v>2157</v>
      </c>
      <c r="B1391" t="s">
        <v>695</v>
      </c>
      <c r="C1391" t="s">
        <v>702</v>
      </c>
      <c r="D1391" t="s">
        <v>2158</v>
      </c>
      <c r="E1391" t="s">
        <v>2159</v>
      </c>
      <c r="F1391" t="s">
        <v>2157</v>
      </c>
    </row>
    <row r="1392" spans="1:5" x14ac:dyDescent="0.25">
      <c r="A1392" t="s">
        <v>2160</v>
      </c>
      <c r="B1392" t="s">
        <v>692</v>
      </c>
      <c r="E1392" t="s">
        <v>1527</v>
      </c>
    </row>
    <row r="1393" spans="1:6" x14ac:dyDescent="0.25">
      <c r="A1393" t="s">
        <v>2161</v>
      </c>
      <c r="B1393" t="s">
        <v>692</v>
      </c>
      <c r="E1393" t="s">
        <v>2162</v>
      </c>
      <c r="F1393" t="s">
        <v>73</v>
      </c>
    </row>
    <row r="1394" spans="1:6" x14ac:dyDescent="0.25">
      <c r="A1394" t="s">
        <v>2163</v>
      </c>
      <c r="B1394" t="s">
        <v>794</v>
      </c>
      <c r="C1394" t="s">
        <v>782</v>
      </c>
      <c r="D1394" t="s">
        <v>2164</v>
      </c>
      <c r="E1394" t="s">
        <v>693</v>
      </c>
      <c r="F1394" t="s">
        <v>693</v>
      </c>
    </row>
    <row r="1395" spans="1:6" x14ac:dyDescent="0.25">
      <c r="A1395" t="s">
        <v>2165</v>
      </c>
      <c r="B1395" t="s">
        <v>794</v>
      </c>
      <c r="C1395" t="s">
        <v>782</v>
      </c>
      <c r="D1395" t="s">
        <v>2164</v>
      </c>
      <c r="E1395" t="s">
        <v>693</v>
      </c>
      <c r="F1395" t="s">
        <v>693</v>
      </c>
    </row>
    <row r="1396" spans="1:6" x14ac:dyDescent="0.25">
      <c r="A1396" t="s">
        <v>2166</v>
      </c>
      <c r="B1396" t="s">
        <v>794</v>
      </c>
      <c r="C1396" t="s">
        <v>782</v>
      </c>
      <c r="D1396" t="s">
        <v>2164</v>
      </c>
      <c r="E1396" t="s">
        <v>693</v>
      </c>
      <c r="F1396" t="s">
        <v>693</v>
      </c>
    </row>
    <row r="1397" spans="1:6" x14ac:dyDescent="0.25">
      <c r="A1397" t="s">
        <v>2167</v>
      </c>
      <c r="B1397" t="s">
        <v>794</v>
      </c>
      <c r="C1397" t="s">
        <v>782</v>
      </c>
      <c r="D1397" t="s">
        <v>2164</v>
      </c>
      <c r="E1397" t="s">
        <v>693</v>
      </c>
      <c r="F1397" t="s">
        <v>693</v>
      </c>
    </row>
    <row r="1398" spans="1:6" x14ac:dyDescent="0.25">
      <c r="A1398" t="s">
        <v>2168</v>
      </c>
      <c r="B1398" t="s">
        <v>695</v>
      </c>
      <c r="C1398" t="s">
        <v>2169</v>
      </c>
      <c r="D1398" t="s">
        <v>2170</v>
      </c>
      <c r="E1398" t="s">
        <v>2171</v>
      </c>
      <c r="F1398" t="s">
        <v>2172</v>
      </c>
    </row>
    <row r="1399" spans="1:6" x14ac:dyDescent="0.25">
      <c r="A1399" t="s">
        <v>2173</v>
      </c>
      <c r="B1399" t="s">
        <v>695</v>
      </c>
      <c r="C1399" t="s">
        <v>1138</v>
      </c>
      <c r="D1399" t="s">
        <v>2174</v>
      </c>
      <c r="E1399" t="s">
        <v>2175</v>
      </c>
      <c r="F1399" t="s">
        <v>2176</v>
      </c>
    </row>
    <row r="1400" spans="1:6" x14ac:dyDescent="0.25">
      <c r="A1400" t="s">
        <v>2177</v>
      </c>
      <c r="B1400" t="s">
        <v>695</v>
      </c>
      <c r="C1400" t="s">
        <v>1138</v>
      </c>
      <c r="D1400" t="s">
        <v>2174</v>
      </c>
      <c r="E1400" t="s">
        <v>2175</v>
      </c>
      <c r="F1400" t="s">
        <v>2178</v>
      </c>
    </row>
    <row r="1401" spans="1:6" x14ac:dyDescent="0.25">
      <c r="A1401" t="s">
        <v>2179</v>
      </c>
      <c r="B1401" t="s">
        <v>695</v>
      </c>
      <c r="C1401" t="s">
        <v>696</v>
      </c>
      <c r="D1401" t="s">
        <v>2134</v>
      </c>
      <c r="E1401" t="s">
        <v>1609</v>
      </c>
      <c r="F1401" t="s">
        <v>2180</v>
      </c>
    </row>
    <row r="1402" spans="1:5" x14ac:dyDescent="0.25">
      <c r="A1402" t="s">
        <v>2181</v>
      </c>
      <c r="B1402" t="s">
        <v>692</v>
      </c>
      <c r="E1402" t="s">
        <v>2182</v>
      </c>
    </row>
    <row r="1403" spans="1:6" x14ac:dyDescent="0.25">
      <c r="A1403" t="s">
        <v>2183</v>
      </c>
      <c r="B1403" t="s">
        <v>695</v>
      </c>
      <c r="C1403" t="s">
        <v>706</v>
      </c>
      <c r="D1403" t="s">
        <v>2184</v>
      </c>
      <c r="E1403" t="s">
        <v>288</v>
      </c>
      <c r="F1403" t="s">
        <v>2185</v>
      </c>
    </row>
    <row r="1404" spans="1:5" x14ac:dyDescent="0.25">
      <c r="A1404" t="s">
        <v>2186</v>
      </c>
      <c r="B1404" t="s">
        <v>692</v>
      </c>
      <c r="E1404" t="s">
        <v>2119</v>
      </c>
    </row>
    <row r="1405" spans="1:5" x14ac:dyDescent="0.25">
      <c r="A1405" t="s">
        <v>2187</v>
      </c>
      <c r="B1405" t="s">
        <v>692</v>
      </c>
      <c r="E1405" t="s">
        <v>288</v>
      </c>
    </row>
    <row r="1406" spans="1:5" x14ac:dyDescent="0.25">
      <c r="A1406" t="s">
        <v>2188</v>
      </c>
      <c r="B1406" t="s">
        <v>692</v>
      </c>
      <c r="E1406" t="s">
        <v>288</v>
      </c>
    </row>
    <row r="1407" spans="1:5" x14ac:dyDescent="0.25">
      <c r="A1407" t="s">
        <v>2189</v>
      </c>
      <c r="B1407" t="s">
        <v>692</v>
      </c>
      <c r="E1407" t="s">
        <v>288</v>
      </c>
    </row>
    <row r="1408" spans="1:5" x14ac:dyDescent="0.25">
      <c r="A1408" t="s">
        <v>2190</v>
      </c>
      <c r="B1408" t="s">
        <v>692</v>
      </c>
      <c r="E1408" t="s">
        <v>322</v>
      </c>
    </row>
    <row r="1409" spans="1:5" x14ac:dyDescent="0.25">
      <c r="A1409" t="s">
        <v>2191</v>
      </c>
      <c r="B1409" t="s">
        <v>692</v>
      </c>
      <c r="E1409" t="s">
        <v>1002</v>
      </c>
    </row>
    <row r="1410" spans="1:6" x14ac:dyDescent="0.25">
      <c r="A1410" t="s">
        <v>2192</v>
      </c>
      <c r="B1410" t="s">
        <v>695</v>
      </c>
      <c r="C1410" t="s">
        <v>1138</v>
      </c>
      <c r="D1410" t="s">
        <v>1139</v>
      </c>
      <c r="E1410" t="s">
        <v>1002</v>
      </c>
      <c r="F1410" t="s">
        <v>2193</v>
      </c>
    </row>
    <row r="1411" spans="1:6" x14ac:dyDescent="0.25">
      <c r="A1411" t="s">
        <v>2194</v>
      </c>
      <c r="B1411" t="s">
        <v>701</v>
      </c>
      <c r="C1411" t="s">
        <v>746</v>
      </c>
      <c r="D1411" t="s">
        <v>2195</v>
      </c>
      <c r="E1411" t="s">
        <v>2196</v>
      </c>
      <c r="F1411" t="s">
        <v>2194</v>
      </c>
    </row>
    <row r="1412" spans="1:6" x14ac:dyDescent="0.25">
      <c r="A1412" t="s">
        <v>2194</v>
      </c>
      <c r="B1412" t="s">
        <v>2105</v>
      </c>
      <c r="C1412" t="s">
        <v>746</v>
      </c>
      <c r="D1412" t="s">
        <v>2195</v>
      </c>
      <c r="E1412" t="s">
        <v>2196</v>
      </c>
      <c r="F1412" t="s">
        <v>2194</v>
      </c>
    </row>
    <row r="1413" spans="1:6" x14ac:dyDescent="0.25">
      <c r="A1413" t="s">
        <v>2197</v>
      </c>
      <c r="B1413" t="s">
        <v>701</v>
      </c>
      <c r="C1413" t="s">
        <v>746</v>
      </c>
      <c r="D1413" t="s">
        <v>2198</v>
      </c>
      <c r="E1413" t="s">
        <v>2199</v>
      </c>
      <c r="F1413" t="s">
        <v>2197</v>
      </c>
    </row>
    <row r="1414" spans="1:5" x14ac:dyDescent="0.25">
      <c r="A1414" t="s">
        <v>2200</v>
      </c>
      <c r="B1414" t="s">
        <v>692</v>
      </c>
      <c r="E1414" t="s">
        <v>2201</v>
      </c>
    </row>
    <row r="1415" spans="1:6" x14ac:dyDescent="0.25">
      <c r="A1415" t="s">
        <v>2200</v>
      </c>
      <c r="B1415" t="s">
        <v>705</v>
      </c>
      <c r="C1415" t="s">
        <v>706</v>
      </c>
      <c r="D1415" t="s">
        <v>1918</v>
      </c>
      <c r="E1415" t="s">
        <v>2201</v>
      </c>
      <c r="F1415" t="s">
        <v>2202</v>
      </c>
    </row>
    <row r="1416" spans="1:5" x14ac:dyDescent="0.25">
      <c r="A1416" t="s">
        <v>2203</v>
      </c>
      <c r="B1416" t="s">
        <v>692</v>
      </c>
      <c r="E1416" t="s">
        <v>805</v>
      </c>
    </row>
    <row r="1417" spans="1:5" x14ac:dyDescent="0.25">
      <c r="A1417" t="s">
        <v>2204</v>
      </c>
      <c r="B1417" t="s">
        <v>692</v>
      </c>
      <c r="E1417" t="s">
        <v>1527</v>
      </c>
    </row>
    <row r="1418" spans="1:5" x14ac:dyDescent="0.25">
      <c r="A1418" t="s">
        <v>2205</v>
      </c>
      <c r="B1418" t="s">
        <v>692</v>
      </c>
      <c r="E1418" t="s">
        <v>2119</v>
      </c>
    </row>
    <row r="1419" spans="1:6" x14ac:dyDescent="0.25">
      <c r="A1419" t="s">
        <v>2206</v>
      </c>
      <c r="B1419" t="s">
        <v>695</v>
      </c>
      <c r="C1419" t="s">
        <v>702</v>
      </c>
      <c r="D1419" t="s">
        <v>2107</v>
      </c>
      <c r="E1419" t="s">
        <v>2207</v>
      </c>
      <c r="F1419" t="s">
        <v>2208</v>
      </c>
    </row>
    <row r="1420" spans="1:6" x14ac:dyDescent="0.25">
      <c r="A1420" t="s">
        <v>2125</v>
      </c>
      <c r="B1420" t="s">
        <v>2148</v>
      </c>
      <c r="C1420" t="s">
        <v>706</v>
      </c>
      <c r="D1420" t="s">
        <v>753</v>
      </c>
      <c r="E1420" t="s">
        <v>313</v>
      </c>
      <c r="F1420" t="s">
        <v>2125</v>
      </c>
    </row>
    <row r="1421" spans="1:5" x14ac:dyDescent="0.25">
      <c r="A1421" t="s">
        <v>2209</v>
      </c>
      <c r="B1421" t="s">
        <v>692</v>
      </c>
      <c r="E1421" t="s">
        <v>805</v>
      </c>
    </row>
    <row r="1422" spans="1:5" x14ac:dyDescent="0.25">
      <c r="A1422" t="s">
        <v>2210</v>
      </c>
      <c r="B1422" t="s">
        <v>692</v>
      </c>
      <c r="E1422" t="s">
        <v>327</v>
      </c>
    </row>
    <row r="1423" spans="1:5" x14ac:dyDescent="0.25">
      <c r="A1423" t="s">
        <v>2211</v>
      </c>
      <c r="B1423" t="s">
        <v>692</v>
      </c>
      <c r="E1423" t="s">
        <v>394</v>
      </c>
    </row>
    <row r="1424" spans="1:5" x14ac:dyDescent="0.25">
      <c r="A1424" t="s">
        <v>2212</v>
      </c>
      <c r="B1424" t="s">
        <v>692</v>
      </c>
      <c r="E1424" t="s">
        <v>2213</v>
      </c>
    </row>
    <row r="1425" spans="1:5" x14ac:dyDescent="0.25">
      <c r="A1425" t="s">
        <v>2214</v>
      </c>
      <c r="B1425" t="s">
        <v>692</v>
      </c>
      <c r="E1425" t="s">
        <v>814</v>
      </c>
    </row>
    <row r="1426" spans="1:5" x14ac:dyDescent="0.25">
      <c r="A1426" t="s">
        <v>2215</v>
      </c>
      <c r="B1426" t="s">
        <v>692</v>
      </c>
      <c r="E1426" t="s">
        <v>1002</v>
      </c>
    </row>
    <row r="1427" spans="1:5" x14ac:dyDescent="0.25">
      <c r="A1427" t="s">
        <v>2216</v>
      </c>
      <c r="B1427" t="s">
        <v>692</v>
      </c>
      <c r="E1427" t="s">
        <v>322</v>
      </c>
    </row>
    <row r="1428" spans="1:5" x14ac:dyDescent="0.25">
      <c r="A1428" t="s">
        <v>2217</v>
      </c>
      <c r="B1428" t="s">
        <v>692</v>
      </c>
      <c r="E1428" t="s">
        <v>90</v>
      </c>
    </row>
    <row r="1429" spans="1:6" x14ac:dyDescent="0.25">
      <c r="A1429" t="s">
        <v>2218</v>
      </c>
      <c r="B1429" t="s">
        <v>695</v>
      </c>
      <c r="C1429" t="s">
        <v>696</v>
      </c>
      <c r="D1429" t="s">
        <v>2219</v>
      </c>
      <c r="E1429" t="s">
        <v>2220</v>
      </c>
      <c r="F1429" t="s">
        <v>2218</v>
      </c>
    </row>
    <row r="1430" spans="1:5" x14ac:dyDescent="0.25">
      <c r="A1430" t="s">
        <v>2221</v>
      </c>
      <c r="B1430" t="s">
        <v>692</v>
      </c>
      <c r="E1430" t="s">
        <v>370</v>
      </c>
    </row>
    <row r="1431" spans="1:5" x14ac:dyDescent="0.25">
      <c r="A1431" t="s">
        <v>2222</v>
      </c>
      <c r="B1431" t="s">
        <v>692</v>
      </c>
      <c r="E1431" t="s">
        <v>327</v>
      </c>
    </row>
    <row r="1432" spans="1:5" x14ac:dyDescent="0.25">
      <c r="A1432" t="s">
        <v>2222</v>
      </c>
      <c r="B1432" t="s">
        <v>692</v>
      </c>
      <c r="E1432" t="s">
        <v>327</v>
      </c>
    </row>
    <row r="1433" spans="1:5" x14ac:dyDescent="0.25">
      <c r="A1433" t="s">
        <v>2223</v>
      </c>
      <c r="B1433" t="s">
        <v>692</v>
      </c>
      <c r="E1433" t="s">
        <v>370</v>
      </c>
    </row>
    <row r="1434" spans="1:6" x14ac:dyDescent="0.25">
      <c r="A1434" t="s">
        <v>2224</v>
      </c>
      <c r="B1434" t="s">
        <v>701</v>
      </c>
      <c r="C1434" t="s">
        <v>702</v>
      </c>
      <c r="D1434" t="s">
        <v>761</v>
      </c>
      <c r="E1434" t="s">
        <v>389</v>
      </c>
      <c r="F1434" t="s">
        <v>762</v>
      </c>
    </row>
    <row r="1435" spans="1:6" x14ac:dyDescent="0.25">
      <c r="A1435" t="s">
        <v>2225</v>
      </c>
      <c r="B1435" t="s">
        <v>695</v>
      </c>
      <c r="C1435" t="s">
        <v>758</v>
      </c>
      <c r="D1435" t="s">
        <v>759</v>
      </c>
      <c r="E1435" t="s">
        <v>2226</v>
      </c>
      <c r="F1435" t="s">
        <v>2225</v>
      </c>
    </row>
    <row r="1436" spans="1:6" x14ac:dyDescent="0.25">
      <c r="A1436" t="s">
        <v>254</v>
      </c>
      <c r="B1436" t="s">
        <v>794</v>
      </c>
      <c r="C1436" t="s">
        <v>790</v>
      </c>
      <c r="D1436" t="s">
        <v>2227</v>
      </c>
      <c r="E1436" t="s">
        <v>254</v>
      </c>
      <c r="F1436" t="s">
        <v>2228</v>
      </c>
    </row>
    <row r="1437" spans="1:5" x14ac:dyDescent="0.25">
      <c r="A1437" t="s">
        <v>2229</v>
      </c>
      <c r="B1437" t="s">
        <v>692</v>
      </c>
      <c r="E1437" t="s">
        <v>598</v>
      </c>
    </row>
    <row r="1438" spans="1:6" x14ac:dyDescent="0.25">
      <c r="A1438" t="s">
        <v>2230</v>
      </c>
      <c r="B1438" t="s">
        <v>794</v>
      </c>
      <c r="C1438" t="s">
        <v>706</v>
      </c>
      <c r="D1438" t="s">
        <v>2139</v>
      </c>
      <c r="E1438" t="s">
        <v>2231</v>
      </c>
      <c r="F1438" t="s">
        <v>2231</v>
      </c>
    </row>
    <row r="1439" spans="1:5" x14ac:dyDescent="0.25">
      <c r="A1439" t="s">
        <v>2232</v>
      </c>
      <c r="B1439" t="s">
        <v>692</v>
      </c>
      <c r="E1439" t="s">
        <v>693</v>
      </c>
    </row>
    <row r="1440" spans="1:5" x14ac:dyDescent="0.25">
      <c r="A1440" t="s">
        <v>2233</v>
      </c>
      <c r="B1440" t="s">
        <v>692</v>
      </c>
      <c r="E1440" t="s">
        <v>2234</v>
      </c>
    </row>
    <row r="1441" spans="1:6" x14ac:dyDescent="0.25">
      <c r="A1441" t="s">
        <v>2235</v>
      </c>
      <c r="B1441" t="s">
        <v>764</v>
      </c>
      <c r="C1441" t="s">
        <v>702</v>
      </c>
      <c r="D1441" t="s">
        <v>761</v>
      </c>
      <c r="E1441" t="s">
        <v>327</v>
      </c>
      <c r="F1441" t="s">
        <v>924</v>
      </c>
    </row>
    <row r="1442" spans="1:5" x14ac:dyDescent="0.25">
      <c r="A1442" t="s">
        <v>2236</v>
      </c>
      <c r="B1442" t="s">
        <v>692</v>
      </c>
      <c r="E1442" t="s">
        <v>2237</v>
      </c>
    </row>
    <row r="1443" spans="1:6" x14ac:dyDescent="0.25">
      <c r="A1443" t="s">
        <v>2238</v>
      </c>
      <c r="B1443" t="s">
        <v>701</v>
      </c>
      <c r="C1443" t="s">
        <v>702</v>
      </c>
      <c r="D1443" t="s">
        <v>750</v>
      </c>
      <c r="E1443" t="s">
        <v>1111</v>
      </c>
      <c r="F1443" t="s">
        <v>1112</v>
      </c>
    </row>
    <row r="1444" spans="1:6" x14ac:dyDescent="0.25">
      <c r="A1444" t="s">
        <v>2239</v>
      </c>
      <c r="B1444" t="s">
        <v>701</v>
      </c>
      <c r="C1444" t="s">
        <v>702</v>
      </c>
      <c r="D1444" t="s">
        <v>750</v>
      </c>
      <c r="E1444" t="s">
        <v>1111</v>
      </c>
      <c r="F1444" t="s">
        <v>1112</v>
      </c>
    </row>
    <row r="1445" spans="1:6" x14ac:dyDescent="0.25">
      <c r="A1445" t="s">
        <v>2240</v>
      </c>
      <c r="B1445" t="s">
        <v>701</v>
      </c>
      <c r="C1445" t="s">
        <v>702</v>
      </c>
      <c r="D1445" t="s">
        <v>750</v>
      </c>
      <c r="E1445" t="s">
        <v>1111</v>
      </c>
      <c r="F1445" t="s">
        <v>1112</v>
      </c>
    </row>
    <row r="1446" spans="1:6" x14ac:dyDescent="0.25">
      <c r="A1446" t="s">
        <v>2241</v>
      </c>
      <c r="B1446" t="s">
        <v>701</v>
      </c>
      <c r="C1446" t="s">
        <v>702</v>
      </c>
      <c r="D1446" t="s">
        <v>750</v>
      </c>
      <c r="E1446" t="s">
        <v>1111</v>
      </c>
      <c r="F1446" t="s">
        <v>1112</v>
      </c>
    </row>
    <row r="1447" spans="1:6" x14ac:dyDescent="0.25">
      <c r="A1447" t="s">
        <v>2242</v>
      </c>
      <c r="B1447" t="s">
        <v>701</v>
      </c>
      <c r="C1447" t="s">
        <v>702</v>
      </c>
      <c r="D1447" t="s">
        <v>750</v>
      </c>
      <c r="E1447" t="s">
        <v>1111</v>
      </c>
      <c r="F1447" t="s">
        <v>1112</v>
      </c>
    </row>
    <row r="1448" spans="1:6" x14ac:dyDescent="0.25">
      <c r="A1448" t="s">
        <v>2243</v>
      </c>
      <c r="B1448" t="s">
        <v>692</v>
      </c>
      <c r="E1448" t="s">
        <v>1111</v>
      </c>
      <c r="F1448" t="s">
        <v>91</v>
      </c>
    </row>
    <row r="1449" spans="1:6" x14ac:dyDescent="0.25">
      <c r="A1449" t="s">
        <v>2244</v>
      </c>
      <c r="B1449" t="s">
        <v>701</v>
      </c>
      <c r="C1449" t="s">
        <v>702</v>
      </c>
      <c r="D1449" t="s">
        <v>750</v>
      </c>
      <c r="E1449" t="s">
        <v>539</v>
      </c>
      <c r="F1449" t="s">
        <v>751</v>
      </c>
    </row>
    <row r="1450" spans="1:6" x14ac:dyDescent="0.25">
      <c r="A1450" t="s">
        <v>2245</v>
      </c>
      <c r="B1450" t="s">
        <v>764</v>
      </c>
      <c r="C1450" t="s">
        <v>702</v>
      </c>
      <c r="D1450" t="s">
        <v>962</v>
      </c>
      <c r="E1450" t="s">
        <v>103</v>
      </c>
      <c r="F1450" t="s">
        <v>103</v>
      </c>
    </row>
    <row r="1451" spans="1:6" x14ac:dyDescent="0.25">
      <c r="A1451" t="s">
        <v>2246</v>
      </c>
      <c r="B1451" t="s">
        <v>764</v>
      </c>
      <c r="C1451" t="s">
        <v>702</v>
      </c>
      <c r="D1451" t="s">
        <v>962</v>
      </c>
      <c r="E1451" t="s">
        <v>103</v>
      </c>
      <c r="F1451" t="s">
        <v>103</v>
      </c>
    </row>
    <row r="1452" spans="1:6" x14ac:dyDescent="0.25">
      <c r="A1452" t="s">
        <v>2247</v>
      </c>
      <c r="B1452" t="s">
        <v>701</v>
      </c>
      <c r="C1452" t="s">
        <v>702</v>
      </c>
      <c r="D1452" t="s">
        <v>750</v>
      </c>
      <c r="E1452" t="s">
        <v>539</v>
      </c>
      <c r="F1452" t="s">
        <v>751</v>
      </c>
    </row>
    <row r="1453" spans="1:6" x14ac:dyDescent="0.25">
      <c r="A1453" t="s">
        <v>2248</v>
      </c>
      <c r="B1453" t="s">
        <v>701</v>
      </c>
      <c r="C1453" t="s">
        <v>702</v>
      </c>
      <c r="D1453" t="s">
        <v>750</v>
      </c>
      <c r="E1453" t="s">
        <v>539</v>
      </c>
      <c r="F1453" t="s">
        <v>751</v>
      </c>
    </row>
    <row r="1454" spans="1:6" x14ac:dyDescent="0.25">
      <c r="A1454" t="s">
        <v>2249</v>
      </c>
      <c r="B1454" t="s">
        <v>764</v>
      </c>
      <c r="C1454" t="s">
        <v>702</v>
      </c>
      <c r="D1454" t="s">
        <v>962</v>
      </c>
      <c r="E1454" t="s">
        <v>103</v>
      </c>
      <c r="F1454" t="s">
        <v>103</v>
      </c>
    </row>
    <row r="1455" spans="1:6" x14ac:dyDescent="0.25">
      <c r="A1455" t="s">
        <v>2250</v>
      </c>
      <c r="B1455" t="s">
        <v>701</v>
      </c>
      <c r="C1455" t="s">
        <v>702</v>
      </c>
      <c r="D1455" t="s">
        <v>750</v>
      </c>
      <c r="E1455" t="s">
        <v>539</v>
      </c>
      <c r="F1455" t="s">
        <v>751</v>
      </c>
    </row>
    <row r="1456" spans="1:6" x14ac:dyDescent="0.25">
      <c r="A1456" t="s">
        <v>2251</v>
      </c>
      <c r="B1456" t="s">
        <v>764</v>
      </c>
      <c r="C1456" t="s">
        <v>702</v>
      </c>
      <c r="D1456" t="s">
        <v>761</v>
      </c>
      <c r="E1456" t="s">
        <v>327</v>
      </c>
      <c r="F1456" t="s">
        <v>924</v>
      </c>
    </row>
    <row r="1457" spans="1:6" x14ac:dyDescent="0.25">
      <c r="A1457" t="s">
        <v>2252</v>
      </c>
      <c r="B1457" t="s">
        <v>764</v>
      </c>
      <c r="C1457" t="s">
        <v>702</v>
      </c>
      <c r="D1457" t="s">
        <v>761</v>
      </c>
      <c r="E1457" t="s">
        <v>327</v>
      </c>
      <c r="F1457" t="s">
        <v>924</v>
      </c>
    </row>
    <row r="1458" spans="1:6" x14ac:dyDescent="0.25">
      <c r="A1458" t="s">
        <v>2253</v>
      </c>
      <c r="B1458" t="s">
        <v>764</v>
      </c>
      <c r="C1458" t="s">
        <v>758</v>
      </c>
      <c r="D1458" t="s">
        <v>765</v>
      </c>
      <c r="E1458" t="s">
        <v>337</v>
      </c>
      <c r="F1458" t="s">
        <v>337</v>
      </c>
    </row>
    <row r="1459" spans="1:6" x14ac:dyDescent="0.25">
      <c r="A1459" t="s">
        <v>2254</v>
      </c>
      <c r="B1459" t="s">
        <v>764</v>
      </c>
      <c r="C1459" t="s">
        <v>758</v>
      </c>
      <c r="D1459" t="s">
        <v>765</v>
      </c>
      <c r="E1459" t="s">
        <v>337</v>
      </c>
      <c r="F1459" t="s">
        <v>337</v>
      </c>
    </row>
    <row r="1460" spans="1:6" x14ac:dyDescent="0.25">
      <c r="A1460" t="s">
        <v>2255</v>
      </c>
      <c r="B1460" t="s">
        <v>764</v>
      </c>
      <c r="C1460" t="s">
        <v>758</v>
      </c>
      <c r="D1460" t="s">
        <v>765</v>
      </c>
      <c r="E1460" t="s">
        <v>337</v>
      </c>
      <c r="F1460" t="s">
        <v>337</v>
      </c>
    </row>
    <row r="1461" spans="1:6" x14ac:dyDescent="0.25">
      <c r="A1461" t="s">
        <v>2256</v>
      </c>
      <c r="B1461" t="s">
        <v>764</v>
      </c>
      <c r="C1461" t="s">
        <v>758</v>
      </c>
      <c r="D1461" t="s">
        <v>765</v>
      </c>
      <c r="E1461" t="s">
        <v>337</v>
      </c>
      <c r="F1461" t="s">
        <v>337</v>
      </c>
    </row>
    <row r="1462" spans="1:6" x14ac:dyDescent="0.25">
      <c r="A1462" t="s">
        <v>2257</v>
      </c>
      <c r="B1462" t="s">
        <v>764</v>
      </c>
      <c r="C1462" t="s">
        <v>758</v>
      </c>
      <c r="D1462" t="s">
        <v>765</v>
      </c>
      <c r="E1462" t="s">
        <v>337</v>
      </c>
      <c r="F1462" t="s">
        <v>337</v>
      </c>
    </row>
    <row r="1463" spans="1:6" x14ac:dyDescent="0.25">
      <c r="A1463" t="s">
        <v>2258</v>
      </c>
      <c r="B1463" t="s">
        <v>764</v>
      </c>
      <c r="C1463" t="s">
        <v>758</v>
      </c>
      <c r="D1463" t="s">
        <v>899</v>
      </c>
      <c r="E1463" t="s">
        <v>265</v>
      </c>
      <c r="F1463" t="s">
        <v>900</v>
      </c>
    </row>
    <row r="1464" spans="1:6" x14ac:dyDescent="0.25">
      <c r="A1464" t="s">
        <v>2259</v>
      </c>
      <c r="B1464" t="s">
        <v>764</v>
      </c>
      <c r="C1464" t="s">
        <v>758</v>
      </c>
      <c r="D1464" t="s">
        <v>899</v>
      </c>
      <c r="E1464" t="s">
        <v>265</v>
      </c>
      <c r="F1464" t="s">
        <v>900</v>
      </c>
    </row>
    <row r="1465" spans="1:6" x14ac:dyDescent="0.25">
      <c r="A1465" t="s">
        <v>2260</v>
      </c>
      <c r="B1465" t="s">
        <v>764</v>
      </c>
      <c r="C1465" t="s">
        <v>758</v>
      </c>
      <c r="D1465" t="s">
        <v>899</v>
      </c>
      <c r="E1465" t="s">
        <v>265</v>
      </c>
      <c r="F1465" t="s">
        <v>900</v>
      </c>
    </row>
    <row r="1466" spans="1:6" x14ac:dyDescent="0.25">
      <c r="A1466" t="s">
        <v>2261</v>
      </c>
      <c r="B1466" t="s">
        <v>764</v>
      </c>
      <c r="C1466" t="s">
        <v>758</v>
      </c>
      <c r="D1466" t="s">
        <v>765</v>
      </c>
      <c r="E1466" t="s">
        <v>337</v>
      </c>
      <c r="F1466" t="s">
        <v>337</v>
      </c>
    </row>
    <row r="1467" spans="1:6" x14ac:dyDescent="0.25">
      <c r="A1467" t="s">
        <v>2262</v>
      </c>
      <c r="B1467" t="s">
        <v>764</v>
      </c>
      <c r="C1467" t="s">
        <v>758</v>
      </c>
      <c r="D1467" t="s">
        <v>765</v>
      </c>
      <c r="E1467" t="s">
        <v>337</v>
      </c>
      <c r="F1467" t="s">
        <v>337</v>
      </c>
    </row>
    <row r="1468" spans="1:6" x14ac:dyDescent="0.25">
      <c r="A1468" t="s">
        <v>2263</v>
      </c>
      <c r="B1468" t="s">
        <v>764</v>
      </c>
      <c r="C1468" t="s">
        <v>758</v>
      </c>
      <c r="D1468" t="s">
        <v>765</v>
      </c>
      <c r="E1468" t="s">
        <v>337</v>
      </c>
      <c r="F1468" t="s">
        <v>337</v>
      </c>
    </row>
    <row r="1469" spans="1:5" x14ac:dyDescent="0.25">
      <c r="A1469" t="s">
        <v>2264</v>
      </c>
      <c r="B1469" t="s">
        <v>692</v>
      </c>
      <c r="E1469" t="s">
        <v>394</v>
      </c>
    </row>
    <row r="1470" spans="1:6" x14ac:dyDescent="0.25">
      <c r="A1470" t="s">
        <v>2265</v>
      </c>
      <c r="B1470" t="s">
        <v>2148</v>
      </c>
      <c r="C1470" t="s">
        <v>746</v>
      </c>
      <c r="D1470" t="s">
        <v>2198</v>
      </c>
      <c r="E1470" t="s">
        <v>2266</v>
      </c>
      <c r="F1470" t="s">
        <v>2265</v>
      </c>
    </row>
    <row r="1471" spans="1:6" x14ac:dyDescent="0.25">
      <c r="A1471" t="s">
        <v>2267</v>
      </c>
      <c r="B1471" t="s">
        <v>701</v>
      </c>
      <c r="C1471" t="s">
        <v>746</v>
      </c>
      <c r="D1471" t="s">
        <v>2198</v>
      </c>
      <c r="E1471" t="s">
        <v>2268</v>
      </c>
      <c r="F1471" t="s">
        <v>2267</v>
      </c>
    </row>
    <row r="1472" spans="1:6" x14ac:dyDescent="0.25">
      <c r="A1472" t="s">
        <v>2267</v>
      </c>
      <c r="B1472" t="s">
        <v>2105</v>
      </c>
      <c r="C1472" t="s">
        <v>746</v>
      </c>
      <c r="D1472" t="s">
        <v>2198</v>
      </c>
      <c r="E1472" t="s">
        <v>2268</v>
      </c>
      <c r="F1472" t="s">
        <v>2269</v>
      </c>
    </row>
    <row r="1473" spans="1:6" x14ac:dyDescent="0.25">
      <c r="A1473" t="s">
        <v>2270</v>
      </c>
      <c r="B1473" t="s">
        <v>701</v>
      </c>
      <c r="C1473" t="s">
        <v>746</v>
      </c>
      <c r="D1473" t="s">
        <v>2198</v>
      </c>
      <c r="E1473" t="s">
        <v>2268</v>
      </c>
      <c r="F1473" t="s">
        <v>2270</v>
      </c>
    </row>
    <row r="1474" spans="1:6" x14ac:dyDescent="0.25">
      <c r="A1474" t="s">
        <v>2270</v>
      </c>
      <c r="B1474" t="s">
        <v>2105</v>
      </c>
      <c r="C1474" t="s">
        <v>746</v>
      </c>
      <c r="D1474" t="s">
        <v>2198</v>
      </c>
      <c r="E1474" t="s">
        <v>2268</v>
      </c>
      <c r="F1474" t="s">
        <v>2271</v>
      </c>
    </row>
    <row r="1475" spans="1:6" x14ac:dyDescent="0.25">
      <c r="A1475" t="s">
        <v>2272</v>
      </c>
      <c r="B1475" t="s">
        <v>701</v>
      </c>
      <c r="C1475" t="s">
        <v>746</v>
      </c>
      <c r="D1475" t="s">
        <v>2198</v>
      </c>
      <c r="E1475" t="s">
        <v>2273</v>
      </c>
      <c r="F1475" t="s">
        <v>2272</v>
      </c>
    </row>
    <row r="1476" spans="1:6" x14ac:dyDescent="0.25">
      <c r="A1476" t="s">
        <v>2274</v>
      </c>
      <c r="B1476" t="s">
        <v>2105</v>
      </c>
      <c r="C1476" t="s">
        <v>746</v>
      </c>
      <c r="D1476" t="s">
        <v>2198</v>
      </c>
      <c r="E1476" t="s">
        <v>2268</v>
      </c>
      <c r="F1476" t="s">
        <v>2275</v>
      </c>
    </row>
    <row r="1477" spans="1:6" x14ac:dyDescent="0.25">
      <c r="A1477" t="s">
        <v>2276</v>
      </c>
      <c r="B1477" t="s">
        <v>2105</v>
      </c>
      <c r="C1477" t="s">
        <v>746</v>
      </c>
      <c r="D1477" t="s">
        <v>2198</v>
      </c>
      <c r="E1477" t="s">
        <v>2268</v>
      </c>
      <c r="F1477" t="s">
        <v>2277</v>
      </c>
    </row>
    <row r="1478" spans="1:6" x14ac:dyDescent="0.25">
      <c r="A1478" t="s">
        <v>2278</v>
      </c>
      <c r="B1478" t="s">
        <v>701</v>
      </c>
      <c r="C1478" t="s">
        <v>746</v>
      </c>
      <c r="D1478" t="s">
        <v>2198</v>
      </c>
      <c r="E1478" t="s">
        <v>2266</v>
      </c>
      <c r="F1478" t="s">
        <v>2278</v>
      </c>
    </row>
    <row r="1479" spans="1:6" x14ac:dyDescent="0.25">
      <c r="A1479" t="s">
        <v>2278</v>
      </c>
      <c r="B1479" t="s">
        <v>2105</v>
      </c>
      <c r="C1479" t="s">
        <v>746</v>
      </c>
      <c r="D1479" t="s">
        <v>2198</v>
      </c>
      <c r="E1479" t="s">
        <v>2266</v>
      </c>
      <c r="F1479" t="s">
        <v>2279</v>
      </c>
    </row>
    <row r="1480" spans="1:6" x14ac:dyDescent="0.25">
      <c r="A1480" t="s">
        <v>2280</v>
      </c>
      <c r="B1480" t="s">
        <v>701</v>
      </c>
      <c r="C1480" t="s">
        <v>746</v>
      </c>
      <c r="D1480" t="s">
        <v>2198</v>
      </c>
      <c r="E1480" t="s">
        <v>2266</v>
      </c>
      <c r="F1480" t="s">
        <v>2280</v>
      </c>
    </row>
    <row r="1481" spans="1:6" x14ac:dyDescent="0.25">
      <c r="A1481" t="s">
        <v>2280</v>
      </c>
      <c r="B1481" t="s">
        <v>2105</v>
      </c>
      <c r="C1481" t="s">
        <v>746</v>
      </c>
      <c r="D1481" t="s">
        <v>2198</v>
      </c>
      <c r="E1481" t="s">
        <v>2266</v>
      </c>
      <c r="F1481" t="s">
        <v>2281</v>
      </c>
    </row>
    <row r="1482" spans="1:6" x14ac:dyDescent="0.25">
      <c r="A1482" t="s">
        <v>2282</v>
      </c>
      <c r="B1482" t="s">
        <v>705</v>
      </c>
      <c r="C1482" t="s">
        <v>706</v>
      </c>
      <c r="D1482" t="s">
        <v>1043</v>
      </c>
      <c r="E1482" t="s">
        <v>981</v>
      </c>
      <c r="F1482" t="s">
        <v>2142</v>
      </c>
    </row>
    <row r="1483" spans="1:6" x14ac:dyDescent="0.25">
      <c r="A1483" t="s">
        <v>2283</v>
      </c>
      <c r="B1483" t="s">
        <v>695</v>
      </c>
      <c r="C1483" t="s">
        <v>706</v>
      </c>
      <c r="D1483" t="s">
        <v>1043</v>
      </c>
      <c r="E1483" t="s">
        <v>981</v>
      </c>
      <c r="F1483" t="s">
        <v>2284</v>
      </c>
    </row>
    <row r="1484" spans="1:6" x14ac:dyDescent="0.25">
      <c r="A1484" t="s">
        <v>2285</v>
      </c>
      <c r="B1484" t="s">
        <v>764</v>
      </c>
      <c r="C1484" t="s">
        <v>702</v>
      </c>
      <c r="D1484" t="s">
        <v>761</v>
      </c>
      <c r="E1484" t="s">
        <v>327</v>
      </c>
      <c r="F1484" t="s">
        <v>924</v>
      </c>
    </row>
    <row r="1485" spans="1:6" x14ac:dyDescent="0.25">
      <c r="A1485" t="s">
        <v>2286</v>
      </c>
      <c r="B1485" t="s">
        <v>695</v>
      </c>
      <c r="C1485" t="s">
        <v>790</v>
      </c>
      <c r="D1485" t="s">
        <v>791</v>
      </c>
      <c r="E1485" t="s">
        <v>598</v>
      </c>
      <c r="F1485" t="s">
        <v>2287</v>
      </c>
    </row>
    <row r="1486" spans="1:6" x14ac:dyDescent="0.25">
      <c r="A1486" t="s">
        <v>2288</v>
      </c>
      <c r="B1486" t="s">
        <v>695</v>
      </c>
      <c r="C1486" t="s">
        <v>1138</v>
      </c>
      <c r="D1486" t="s">
        <v>2289</v>
      </c>
      <c r="E1486" t="s">
        <v>2290</v>
      </c>
      <c r="F1486" t="s">
        <v>2291</v>
      </c>
    </row>
    <row r="1487" spans="1:6" x14ac:dyDescent="0.25">
      <c r="A1487" t="s">
        <v>2292</v>
      </c>
      <c r="B1487" t="s">
        <v>794</v>
      </c>
      <c r="C1487" t="s">
        <v>706</v>
      </c>
      <c r="D1487" t="s">
        <v>1043</v>
      </c>
      <c r="E1487" t="s">
        <v>981</v>
      </c>
      <c r="F1487" t="s">
        <v>981</v>
      </c>
    </row>
    <row r="1488" spans="1:6" x14ac:dyDescent="0.25">
      <c r="A1488" t="s">
        <v>2292</v>
      </c>
      <c r="B1488" t="s">
        <v>705</v>
      </c>
      <c r="C1488" t="s">
        <v>706</v>
      </c>
      <c r="D1488" t="s">
        <v>1043</v>
      </c>
      <c r="E1488" t="s">
        <v>981</v>
      </c>
      <c r="F1488" t="s">
        <v>2142</v>
      </c>
    </row>
    <row r="1489" spans="1:6" x14ac:dyDescent="0.25">
      <c r="A1489" t="s">
        <v>2293</v>
      </c>
      <c r="B1489" t="s">
        <v>764</v>
      </c>
      <c r="C1489" t="s">
        <v>702</v>
      </c>
      <c r="D1489" t="s">
        <v>962</v>
      </c>
      <c r="E1489" t="s">
        <v>103</v>
      </c>
      <c r="F1489" t="s">
        <v>103</v>
      </c>
    </row>
    <row r="1490" spans="1:5" x14ac:dyDescent="0.25">
      <c r="A1490" t="s">
        <v>2294</v>
      </c>
      <c r="B1490" t="s">
        <v>692</v>
      </c>
      <c r="E1490" t="s">
        <v>90</v>
      </c>
    </row>
    <row r="1491" spans="1:6" x14ac:dyDescent="0.25">
      <c r="A1491" t="s">
        <v>2295</v>
      </c>
      <c r="B1491" t="s">
        <v>695</v>
      </c>
      <c r="C1491" t="s">
        <v>706</v>
      </c>
      <c r="D1491" t="s">
        <v>753</v>
      </c>
      <c r="E1491" t="s">
        <v>360</v>
      </c>
      <c r="F1491" t="s">
        <v>2296</v>
      </c>
    </row>
    <row r="1492" spans="1:6" x14ac:dyDescent="0.25">
      <c r="A1492" t="s">
        <v>2297</v>
      </c>
      <c r="B1492" t="s">
        <v>705</v>
      </c>
      <c r="C1492" t="s">
        <v>706</v>
      </c>
      <c r="D1492" t="s">
        <v>753</v>
      </c>
      <c r="E1492" t="s">
        <v>313</v>
      </c>
      <c r="F1492" t="s">
        <v>2125</v>
      </c>
    </row>
    <row r="1493" spans="1:6" x14ac:dyDescent="0.25">
      <c r="A1493" t="s">
        <v>2298</v>
      </c>
      <c r="B1493" t="s">
        <v>794</v>
      </c>
      <c r="C1493" t="s">
        <v>706</v>
      </c>
      <c r="D1493" t="s">
        <v>1043</v>
      </c>
      <c r="E1493" t="s">
        <v>981</v>
      </c>
      <c r="F1493" t="s">
        <v>981</v>
      </c>
    </row>
    <row r="1494" spans="1:6" x14ac:dyDescent="0.25">
      <c r="A1494" t="s">
        <v>2299</v>
      </c>
      <c r="B1494" t="s">
        <v>764</v>
      </c>
      <c r="C1494" t="s">
        <v>758</v>
      </c>
      <c r="D1494" t="s">
        <v>765</v>
      </c>
      <c r="E1494" t="s">
        <v>337</v>
      </c>
      <c r="F1494" t="s">
        <v>337</v>
      </c>
    </row>
    <row r="1495" spans="1:5" x14ac:dyDescent="0.25">
      <c r="A1495" t="s">
        <v>2300</v>
      </c>
      <c r="B1495" t="s">
        <v>692</v>
      </c>
      <c r="E1495" t="s">
        <v>135</v>
      </c>
    </row>
    <row r="1496" spans="1:5" x14ac:dyDescent="0.25">
      <c r="A1496" t="s">
        <v>2301</v>
      </c>
      <c r="B1496" t="s">
        <v>692</v>
      </c>
      <c r="E1496" t="s">
        <v>698</v>
      </c>
    </row>
    <row r="1497" spans="1:5" x14ac:dyDescent="0.25">
      <c r="A1497" t="s">
        <v>2302</v>
      </c>
      <c r="B1497" t="s">
        <v>692</v>
      </c>
      <c r="E1497" t="s">
        <v>327</v>
      </c>
    </row>
    <row r="1498" spans="1:5" x14ac:dyDescent="0.25">
      <c r="A1498" t="s">
        <v>2303</v>
      </c>
      <c r="B1498" t="s">
        <v>692</v>
      </c>
      <c r="E1498" t="s">
        <v>327</v>
      </c>
    </row>
    <row r="1499" spans="1:5" x14ac:dyDescent="0.25">
      <c r="A1499" t="s">
        <v>2304</v>
      </c>
      <c r="B1499" t="s">
        <v>692</v>
      </c>
      <c r="E1499" t="s">
        <v>327</v>
      </c>
    </row>
    <row r="1500" spans="1:6" x14ac:dyDescent="0.25">
      <c r="A1500" t="s">
        <v>2305</v>
      </c>
      <c r="B1500" t="s">
        <v>764</v>
      </c>
      <c r="C1500" t="s">
        <v>702</v>
      </c>
      <c r="D1500" t="s">
        <v>761</v>
      </c>
      <c r="E1500" t="s">
        <v>327</v>
      </c>
      <c r="F1500" t="s">
        <v>924</v>
      </c>
    </row>
    <row r="1501" spans="1:5" x14ac:dyDescent="0.25">
      <c r="A1501" t="s">
        <v>2306</v>
      </c>
      <c r="B1501" t="s">
        <v>692</v>
      </c>
      <c r="E1501" t="s">
        <v>90</v>
      </c>
    </row>
    <row r="1502" spans="1:5" x14ac:dyDescent="0.25">
      <c r="A1502" t="s">
        <v>2307</v>
      </c>
      <c r="B1502" t="s">
        <v>692</v>
      </c>
      <c r="E1502" t="s">
        <v>272</v>
      </c>
    </row>
    <row r="1503" spans="1:6" x14ac:dyDescent="0.25">
      <c r="A1503" t="s">
        <v>2308</v>
      </c>
      <c r="B1503" t="s">
        <v>695</v>
      </c>
      <c r="C1503" t="s">
        <v>706</v>
      </c>
      <c r="D1503" t="s">
        <v>753</v>
      </c>
      <c r="E1503" t="s">
        <v>360</v>
      </c>
      <c r="F1503" t="s">
        <v>2309</v>
      </c>
    </row>
    <row r="1504" spans="1:6" x14ac:dyDescent="0.25">
      <c r="A1504" t="s">
        <v>2310</v>
      </c>
      <c r="B1504" t="s">
        <v>705</v>
      </c>
      <c r="C1504" t="s">
        <v>706</v>
      </c>
      <c r="D1504" t="s">
        <v>753</v>
      </c>
      <c r="E1504" t="s">
        <v>2311</v>
      </c>
      <c r="F1504" t="s">
        <v>2312</v>
      </c>
    </row>
    <row r="1505" spans="1:5" x14ac:dyDescent="0.25">
      <c r="A1505" t="s">
        <v>2313</v>
      </c>
      <c r="B1505" t="s">
        <v>692</v>
      </c>
      <c r="E1505" t="s">
        <v>1170</v>
      </c>
    </row>
    <row r="1506" spans="1:5" x14ac:dyDescent="0.25">
      <c r="A1506" t="s">
        <v>2314</v>
      </c>
      <c r="B1506" t="s">
        <v>692</v>
      </c>
      <c r="E1506" t="s">
        <v>327</v>
      </c>
    </row>
    <row r="1507" spans="1:5" x14ac:dyDescent="0.25">
      <c r="A1507" t="s">
        <v>2315</v>
      </c>
      <c r="B1507" t="s">
        <v>692</v>
      </c>
      <c r="E1507" t="s">
        <v>327</v>
      </c>
    </row>
    <row r="1508" spans="1:5" x14ac:dyDescent="0.25">
      <c r="A1508" t="s">
        <v>2316</v>
      </c>
      <c r="B1508" t="s">
        <v>692</v>
      </c>
      <c r="E1508" t="s">
        <v>327</v>
      </c>
    </row>
    <row r="1509" spans="1:5" x14ac:dyDescent="0.25">
      <c r="A1509" t="s">
        <v>2317</v>
      </c>
      <c r="B1509" t="s">
        <v>692</v>
      </c>
      <c r="E1509" t="s">
        <v>327</v>
      </c>
    </row>
    <row r="1510" spans="1:6" x14ac:dyDescent="0.25">
      <c r="A1510" t="s">
        <v>2318</v>
      </c>
      <c r="B1510" t="s">
        <v>2148</v>
      </c>
      <c r="C1510" t="s">
        <v>746</v>
      </c>
      <c r="D1510" t="s">
        <v>2195</v>
      </c>
      <c r="E1510" t="s">
        <v>2319</v>
      </c>
      <c r="F1510" t="s">
        <v>2195</v>
      </c>
    </row>
    <row r="1511" spans="1:6" x14ac:dyDescent="0.25">
      <c r="A1511" t="s">
        <v>2320</v>
      </c>
      <c r="B1511" t="s">
        <v>2148</v>
      </c>
      <c r="C1511" t="s">
        <v>746</v>
      </c>
      <c r="D1511" t="s">
        <v>2198</v>
      </c>
      <c r="E1511" t="s">
        <v>2321</v>
      </c>
      <c r="F1511" t="s">
        <v>2320</v>
      </c>
    </row>
    <row r="1512" spans="1:6" x14ac:dyDescent="0.25">
      <c r="A1512" t="s">
        <v>2322</v>
      </c>
      <c r="B1512" t="s">
        <v>695</v>
      </c>
      <c r="C1512" t="s">
        <v>706</v>
      </c>
      <c r="D1512" t="s">
        <v>845</v>
      </c>
      <c r="E1512" t="s">
        <v>272</v>
      </c>
      <c r="F1512" t="s">
        <v>2323</v>
      </c>
    </row>
    <row r="1513" spans="1:6" x14ac:dyDescent="0.25">
      <c r="A1513" t="s">
        <v>2322</v>
      </c>
      <c r="B1513" t="s">
        <v>705</v>
      </c>
      <c r="C1513" t="s">
        <v>706</v>
      </c>
      <c r="D1513" t="s">
        <v>845</v>
      </c>
      <c r="E1513" t="s">
        <v>272</v>
      </c>
      <c r="F1513" t="s">
        <v>381</v>
      </c>
    </row>
    <row r="1514" spans="1:5" x14ac:dyDescent="0.25">
      <c r="A1514" t="s">
        <v>2324</v>
      </c>
      <c r="B1514" t="s">
        <v>692</v>
      </c>
      <c r="E1514" t="s">
        <v>2325</v>
      </c>
    </row>
    <row r="1515" spans="1:5" x14ac:dyDescent="0.25">
      <c r="A1515" t="s">
        <v>2326</v>
      </c>
      <c r="B1515" t="s">
        <v>692</v>
      </c>
      <c r="E1515" t="s">
        <v>2325</v>
      </c>
    </row>
    <row r="1516" spans="1:5" x14ac:dyDescent="0.25">
      <c r="A1516" t="s">
        <v>2327</v>
      </c>
      <c r="B1516" t="s">
        <v>692</v>
      </c>
      <c r="E1516" t="s">
        <v>110</v>
      </c>
    </row>
    <row r="1517" spans="1:5" x14ac:dyDescent="0.25">
      <c r="A1517" t="s">
        <v>2328</v>
      </c>
      <c r="B1517" t="s">
        <v>692</v>
      </c>
      <c r="E1517" t="s">
        <v>337</v>
      </c>
    </row>
    <row r="1518" spans="1:6" x14ac:dyDescent="0.25">
      <c r="A1518" t="s">
        <v>2329</v>
      </c>
      <c r="B1518" t="s">
        <v>695</v>
      </c>
      <c r="C1518" t="s">
        <v>706</v>
      </c>
      <c r="D1518" t="s">
        <v>2330</v>
      </c>
      <c r="E1518" t="s">
        <v>2331</v>
      </c>
      <c r="F1518" t="s">
        <v>2332</v>
      </c>
    </row>
    <row r="1519" spans="1:5" x14ac:dyDescent="0.25">
      <c r="A1519" t="s">
        <v>2333</v>
      </c>
      <c r="B1519" t="s">
        <v>692</v>
      </c>
      <c r="E1519" t="s">
        <v>2334</v>
      </c>
    </row>
    <row r="1520" spans="1:5" x14ac:dyDescent="0.25">
      <c r="A1520" t="s">
        <v>2335</v>
      </c>
      <c r="B1520" t="s">
        <v>692</v>
      </c>
      <c r="E1520" t="s">
        <v>2334</v>
      </c>
    </row>
    <row r="1521" spans="1:5" x14ac:dyDescent="0.25">
      <c r="A1521" t="s">
        <v>2336</v>
      </c>
      <c r="B1521" t="s">
        <v>692</v>
      </c>
      <c r="E1521" t="s">
        <v>2334</v>
      </c>
    </row>
    <row r="1522" spans="1:5" x14ac:dyDescent="0.25">
      <c r="A1522" t="s">
        <v>2337</v>
      </c>
      <c r="B1522" t="s">
        <v>692</v>
      </c>
      <c r="E1522" t="s">
        <v>2334</v>
      </c>
    </row>
    <row r="1523" spans="1:5" x14ac:dyDescent="0.25">
      <c r="A1523" t="s">
        <v>2338</v>
      </c>
      <c r="B1523" t="s">
        <v>692</v>
      </c>
      <c r="E1523" t="s">
        <v>2334</v>
      </c>
    </row>
    <row r="1524" spans="1:5" x14ac:dyDescent="0.25">
      <c r="A1524" t="s">
        <v>2339</v>
      </c>
      <c r="B1524" t="s">
        <v>692</v>
      </c>
      <c r="E1524" t="s">
        <v>2334</v>
      </c>
    </row>
    <row r="1525" spans="1:6" x14ac:dyDescent="0.25">
      <c r="A1525" t="s">
        <v>2340</v>
      </c>
      <c r="B1525" t="s">
        <v>695</v>
      </c>
      <c r="C1525" t="s">
        <v>706</v>
      </c>
      <c r="D1525" t="s">
        <v>2139</v>
      </c>
      <c r="E1525" t="s">
        <v>2341</v>
      </c>
      <c r="F1525" t="s">
        <v>2342</v>
      </c>
    </row>
    <row r="1526" spans="1:6" x14ac:dyDescent="0.25">
      <c r="A1526" t="s">
        <v>2343</v>
      </c>
      <c r="B1526" t="s">
        <v>794</v>
      </c>
      <c r="C1526" t="s">
        <v>1138</v>
      </c>
      <c r="D1526" t="s">
        <v>1139</v>
      </c>
      <c r="E1526" t="s">
        <v>1566</v>
      </c>
      <c r="F1526" t="s">
        <v>1566</v>
      </c>
    </row>
    <row r="1527" spans="1:5" x14ac:dyDescent="0.25">
      <c r="A1527" t="s">
        <v>2344</v>
      </c>
      <c r="B1527" t="s">
        <v>692</v>
      </c>
      <c r="E1527" t="s">
        <v>1002</v>
      </c>
    </row>
    <row r="1528" spans="1:5" x14ac:dyDescent="0.25">
      <c r="A1528" t="s">
        <v>2345</v>
      </c>
      <c r="B1528" t="s">
        <v>692</v>
      </c>
      <c r="E1528" t="s">
        <v>265</v>
      </c>
    </row>
    <row r="1529" spans="1:5" x14ac:dyDescent="0.25">
      <c r="A1529" t="s">
        <v>2346</v>
      </c>
      <c r="B1529" t="s">
        <v>692</v>
      </c>
      <c r="E1529" t="s">
        <v>265</v>
      </c>
    </row>
    <row r="1530" spans="1:5" x14ac:dyDescent="0.25">
      <c r="A1530" t="s">
        <v>2347</v>
      </c>
      <c r="B1530" t="s">
        <v>692</v>
      </c>
      <c r="E1530" t="s">
        <v>265</v>
      </c>
    </row>
    <row r="1531" spans="1:5" x14ac:dyDescent="0.25">
      <c r="A1531" t="s">
        <v>2348</v>
      </c>
      <c r="B1531" t="s">
        <v>692</v>
      </c>
      <c r="E1531" t="s">
        <v>265</v>
      </c>
    </row>
    <row r="1532" spans="1:6" x14ac:dyDescent="0.25">
      <c r="A1532" t="s">
        <v>2349</v>
      </c>
      <c r="B1532" t="s">
        <v>764</v>
      </c>
      <c r="C1532" t="s">
        <v>758</v>
      </c>
      <c r="D1532" t="s">
        <v>765</v>
      </c>
      <c r="E1532" t="s">
        <v>337</v>
      </c>
      <c r="F1532" t="s">
        <v>337</v>
      </c>
    </row>
    <row r="1533" spans="1:6" x14ac:dyDescent="0.25">
      <c r="A1533" t="s">
        <v>2350</v>
      </c>
      <c r="B1533" t="s">
        <v>695</v>
      </c>
      <c r="C1533" t="s">
        <v>696</v>
      </c>
      <c r="D1533" t="s">
        <v>2101</v>
      </c>
      <c r="E1533" t="s">
        <v>2102</v>
      </c>
      <c r="F1533" t="s">
        <v>2350</v>
      </c>
    </row>
    <row r="1534" spans="1:6" x14ac:dyDescent="0.25">
      <c r="A1534" t="s">
        <v>2351</v>
      </c>
      <c r="B1534" t="s">
        <v>794</v>
      </c>
      <c r="C1534" t="s">
        <v>706</v>
      </c>
      <c r="D1534" t="s">
        <v>1043</v>
      </c>
      <c r="E1534" t="s">
        <v>981</v>
      </c>
      <c r="F1534" t="s">
        <v>981</v>
      </c>
    </row>
    <row r="1535" spans="1:6" x14ac:dyDescent="0.25">
      <c r="A1535" t="s">
        <v>2352</v>
      </c>
      <c r="B1535" t="s">
        <v>695</v>
      </c>
      <c r="C1535" t="s">
        <v>706</v>
      </c>
      <c r="D1535" t="s">
        <v>1043</v>
      </c>
      <c r="E1535" t="s">
        <v>981</v>
      </c>
      <c r="F1535" t="s">
        <v>2353</v>
      </c>
    </row>
    <row r="1536" spans="1:5" x14ac:dyDescent="0.25">
      <c r="A1536" t="s">
        <v>2354</v>
      </c>
      <c r="B1536" t="s">
        <v>692</v>
      </c>
      <c r="E1536" t="s">
        <v>97</v>
      </c>
    </row>
    <row r="1537" spans="1:5" x14ac:dyDescent="0.25">
      <c r="A1537" t="s">
        <v>2355</v>
      </c>
      <c r="B1537" t="s">
        <v>692</v>
      </c>
      <c r="E1537" t="s">
        <v>280</v>
      </c>
    </row>
    <row r="1538" spans="1:5" x14ac:dyDescent="0.25">
      <c r="A1538" t="s">
        <v>2356</v>
      </c>
      <c r="B1538" t="s">
        <v>692</v>
      </c>
      <c r="E1538" t="s">
        <v>1229</v>
      </c>
    </row>
    <row r="1539" spans="1:6" x14ac:dyDescent="0.25">
      <c r="A1539" t="s">
        <v>381</v>
      </c>
      <c r="B1539" t="s">
        <v>2148</v>
      </c>
      <c r="C1539" t="s">
        <v>706</v>
      </c>
      <c r="D1539" t="s">
        <v>845</v>
      </c>
      <c r="E1539" t="s">
        <v>272</v>
      </c>
      <c r="F1539" t="s">
        <v>381</v>
      </c>
    </row>
    <row r="1540" spans="1:6" x14ac:dyDescent="0.25">
      <c r="A1540" t="s">
        <v>381</v>
      </c>
      <c r="B1540" t="s">
        <v>2357</v>
      </c>
      <c r="C1540" t="s">
        <v>706</v>
      </c>
      <c r="D1540" t="s">
        <v>845</v>
      </c>
      <c r="E1540" t="s">
        <v>272</v>
      </c>
      <c r="F1540" t="s">
        <v>2358</v>
      </c>
    </row>
    <row r="1541" spans="1:6" x14ac:dyDescent="0.25">
      <c r="A1541" t="s">
        <v>2359</v>
      </c>
      <c r="B1541" t="s">
        <v>701</v>
      </c>
      <c r="C1541" t="s">
        <v>706</v>
      </c>
      <c r="D1541" t="s">
        <v>845</v>
      </c>
      <c r="E1541" t="s">
        <v>1994</v>
      </c>
      <c r="F1541" t="s">
        <v>2359</v>
      </c>
    </row>
    <row r="1542" spans="1:6" x14ac:dyDescent="0.25">
      <c r="A1542" t="s">
        <v>2359</v>
      </c>
      <c r="B1542" t="s">
        <v>2105</v>
      </c>
      <c r="C1542" t="s">
        <v>706</v>
      </c>
      <c r="D1542" t="s">
        <v>845</v>
      </c>
      <c r="E1542" t="s">
        <v>1994</v>
      </c>
      <c r="F1542" t="s">
        <v>2359</v>
      </c>
    </row>
    <row r="1543" spans="1:6" x14ac:dyDescent="0.25">
      <c r="A1543" t="s">
        <v>2360</v>
      </c>
      <c r="B1543" t="s">
        <v>764</v>
      </c>
      <c r="C1543" t="s">
        <v>702</v>
      </c>
      <c r="D1543" t="s">
        <v>761</v>
      </c>
      <c r="E1543" t="s">
        <v>327</v>
      </c>
      <c r="F1543" t="s">
        <v>924</v>
      </c>
    </row>
    <row r="1544" spans="1:6" x14ac:dyDescent="0.25">
      <c r="A1544" t="s">
        <v>2361</v>
      </c>
      <c r="B1544" t="s">
        <v>695</v>
      </c>
      <c r="C1544" t="s">
        <v>696</v>
      </c>
      <c r="D1544" t="s">
        <v>697</v>
      </c>
      <c r="E1544" t="s">
        <v>2362</v>
      </c>
      <c r="F1544" t="s">
        <v>2363</v>
      </c>
    </row>
    <row r="1545" spans="1:5" x14ac:dyDescent="0.25">
      <c r="A1545" t="s">
        <v>2364</v>
      </c>
      <c r="B1545" t="s">
        <v>692</v>
      </c>
      <c r="E1545" t="s">
        <v>394</v>
      </c>
    </row>
    <row r="1546" spans="1:6" x14ac:dyDescent="0.25">
      <c r="A1546" t="s">
        <v>2365</v>
      </c>
      <c r="B1546" t="s">
        <v>695</v>
      </c>
      <c r="C1546" t="s">
        <v>706</v>
      </c>
      <c r="D1546" t="s">
        <v>2139</v>
      </c>
      <c r="E1546" t="s">
        <v>118</v>
      </c>
      <c r="F1546" t="s">
        <v>2366</v>
      </c>
    </row>
    <row r="1547" spans="1:5" x14ac:dyDescent="0.25">
      <c r="A1547" t="s">
        <v>2367</v>
      </c>
      <c r="B1547" t="s">
        <v>692</v>
      </c>
      <c r="E1547" t="s">
        <v>327</v>
      </c>
    </row>
    <row r="1548" spans="1:5" x14ac:dyDescent="0.25">
      <c r="A1548" t="s">
        <v>2368</v>
      </c>
      <c r="B1548" t="s">
        <v>692</v>
      </c>
      <c r="E1548" t="s">
        <v>987</v>
      </c>
    </row>
    <row r="1549" spans="1:6" x14ac:dyDescent="0.25">
      <c r="A1549" t="s">
        <v>2369</v>
      </c>
      <c r="B1549" t="s">
        <v>705</v>
      </c>
      <c r="C1549" t="s">
        <v>706</v>
      </c>
      <c r="D1549" t="s">
        <v>2184</v>
      </c>
      <c r="E1549" t="s">
        <v>288</v>
      </c>
      <c r="F1549" t="s">
        <v>2370</v>
      </c>
    </row>
    <row r="1550" spans="1:6" x14ac:dyDescent="0.25">
      <c r="A1550" t="s">
        <v>2371</v>
      </c>
      <c r="B1550" t="s">
        <v>705</v>
      </c>
      <c r="C1550" t="s">
        <v>706</v>
      </c>
      <c r="D1550" t="s">
        <v>2184</v>
      </c>
      <c r="E1550" t="s">
        <v>288</v>
      </c>
      <c r="F1550" t="s">
        <v>2370</v>
      </c>
    </row>
    <row r="1551" spans="1:6" x14ac:dyDescent="0.25">
      <c r="A1551" t="s">
        <v>2372</v>
      </c>
      <c r="B1551" t="s">
        <v>705</v>
      </c>
      <c r="C1551" t="s">
        <v>706</v>
      </c>
      <c r="D1551" t="s">
        <v>2184</v>
      </c>
      <c r="E1551" t="s">
        <v>288</v>
      </c>
      <c r="F1551" t="s">
        <v>2370</v>
      </c>
    </row>
    <row r="1552" spans="1:6" x14ac:dyDescent="0.25">
      <c r="A1552" t="s">
        <v>2373</v>
      </c>
      <c r="B1552" t="s">
        <v>2105</v>
      </c>
      <c r="C1552" t="s">
        <v>746</v>
      </c>
      <c r="D1552" t="s">
        <v>2374</v>
      </c>
      <c r="E1552" t="s">
        <v>2375</v>
      </c>
      <c r="F1552" t="s">
        <v>2373</v>
      </c>
    </row>
    <row r="1553" spans="1:6" x14ac:dyDescent="0.25">
      <c r="A1553" t="s">
        <v>2376</v>
      </c>
      <c r="B1553" t="s">
        <v>695</v>
      </c>
      <c r="C1553" t="s">
        <v>702</v>
      </c>
      <c r="D1553" t="s">
        <v>786</v>
      </c>
      <c r="E1553" t="s">
        <v>824</v>
      </c>
      <c r="F1553" t="s">
        <v>2376</v>
      </c>
    </row>
    <row r="1554" spans="1:6" x14ac:dyDescent="0.25">
      <c r="A1554" t="s">
        <v>2377</v>
      </c>
      <c r="B1554" t="s">
        <v>701</v>
      </c>
      <c r="C1554" t="s">
        <v>746</v>
      </c>
      <c r="D1554" t="s">
        <v>2374</v>
      </c>
      <c r="E1554" t="s">
        <v>2378</v>
      </c>
      <c r="F1554" t="s">
        <v>2377</v>
      </c>
    </row>
    <row r="1555" spans="1:6" x14ac:dyDescent="0.25">
      <c r="A1555" t="s">
        <v>2377</v>
      </c>
      <c r="B1555" t="s">
        <v>2105</v>
      </c>
      <c r="C1555" t="s">
        <v>746</v>
      </c>
      <c r="D1555" t="s">
        <v>2374</v>
      </c>
      <c r="E1555" t="s">
        <v>2378</v>
      </c>
      <c r="F1555" t="s">
        <v>2379</v>
      </c>
    </row>
    <row r="1556" spans="1:6" x14ac:dyDescent="0.25">
      <c r="A1556" t="s">
        <v>2380</v>
      </c>
      <c r="B1556" t="s">
        <v>701</v>
      </c>
      <c r="C1556" t="s">
        <v>746</v>
      </c>
      <c r="D1556" t="s">
        <v>2374</v>
      </c>
      <c r="E1556" t="s">
        <v>2375</v>
      </c>
      <c r="F1556" t="s">
        <v>2380</v>
      </c>
    </row>
    <row r="1557" spans="1:6" x14ac:dyDescent="0.25">
      <c r="A1557" t="s">
        <v>2380</v>
      </c>
      <c r="B1557" t="s">
        <v>2105</v>
      </c>
      <c r="C1557" t="s">
        <v>746</v>
      </c>
      <c r="D1557" t="s">
        <v>2374</v>
      </c>
      <c r="E1557" t="s">
        <v>2375</v>
      </c>
      <c r="F1557" t="s">
        <v>2381</v>
      </c>
    </row>
    <row r="1558" spans="1:6" x14ac:dyDescent="0.25">
      <c r="A1558" t="s">
        <v>2382</v>
      </c>
      <c r="B1558" t="s">
        <v>705</v>
      </c>
      <c r="C1558" t="s">
        <v>706</v>
      </c>
      <c r="D1558" t="s">
        <v>845</v>
      </c>
      <c r="E1558" t="s">
        <v>272</v>
      </c>
      <c r="F1558" t="s">
        <v>381</v>
      </c>
    </row>
    <row r="1559" spans="1:6" x14ac:dyDescent="0.25">
      <c r="A1559" t="s">
        <v>2383</v>
      </c>
      <c r="B1559" t="s">
        <v>695</v>
      </c>
      <c r="C1559" t="s">
        <v>706</v>
      </c>
      <c r="D1559" t="s">
        <v>707</v>
      </c>
      <c r="E1559" t="s">
        <v>708</v>
      </c>
      <c r="F1559" t="s">
        <v>2383</v>
      </c>
    </row>
    <row r="1560" spans="1:6" x14ac:dyDescent="0.25">
      <c r="A1560" t="s">
        <v>2384</v>
      </c>
      <c r="B1560" t="s">
        <v>695</v>
      </c>
      <c r="C1560" t="s">
        <v>706</v>
      </c>
      <c r="D1560" t="s">
        <v>707</v>
      </c>
      <c r="E1560" t="s">
        <v>708</v>
      </c>
      <c r="F1560" t="s">
        <v>2384</v>
      </c>
    </row>
    <row r="1561" spans="1:6" x14ac:dyDescent="0.25">
      <c r="A1561" t="s">
        <v>2385</v>
      </c>
      <c r="B1561" t="s">
        <v>695</v>
      </c>
      <c r="C1561" t="s">
        <v>706</v>
      </c>
      <c r="D1561" t="s">
        <v>707</v>
      </c>
      <c r="E1561" t="s">
        <v>708</v>
      </c>
      <c r="F1561" t="s">
        <v>2385</v>
      </c>
    </row>
    <row r="1562" spans="1:6" x14ac:dyDescent="0.25">
      <c r="A1562" t="s">
        <v>2386</v>
      </c>
      <c r="B1562" t="s">
        <v>692</v>
      </c>
      <c r="E1562" t="s">
        <v>90</v>
      </c>
      <c r="F1562" t="s">
        <v>91</v>
      </c>
    </row>
    <row r="1563" spans="1:6" x14ac:dyDescent="0.25">
      <c r="A1563" t="s">
        <v>2387</v>
      </c>
      <c r="B1563" t="s">
        <v>764</v>
      </c>
      <c r="C1563" t="s">
        <v>702</v>
      </c>
      <c r="D1563" t="s">
        <v>761</v>
      </c>
      <c r="E1563" t="s">
        <v>327</v>
      </c>
      <c r="F1563" t="s">
        <v>924</v>
      </c>
    </row>
    <row r="1564" spans="1:6" x14ac:dyDescent="0.25">
      <c r="A1564" t="s">
        <v>2388</v>
      </c>
      <c r="B1564" t="s">
        <v>764</v>
      </c>
      <c r="C1564" t="s">
        <v>782</v>
      </c>
      <c r="D1564" t="s">
        <v>836</v>
      </c>
      <c r="E1564" t="s">
        <v>97</v>
      </c>
      <c r="F1564" t="s">
        <v>71</v>
      </c>
    </row>
    <row r="1565" spans="1:5" x14ac:dyDescent="0.25">
      <c r="A1565" t="s">
        <v>2389</v>
      </c>
      <c r="B1565" t="s">
        <v>692</v>
      </c>
      <c r="E1565" t="s">
        <v>327</v>
      </c>
    </row>
    <row r="1566" spans="1:6" x14ac:dyDescent="0.25">
      <c r="A1566" t="s">
        <v>2390</v>
      </c>
      <c r="B1566" t="s">
        <v>692</v>
      </c>
      <c r="E1566" t="s">
        <v>327</v>
      </c>
      <c r="F1566" t="s">
        <v>91</v>
      </c>
    </row>
    <row r="1567" spans="1:6" x14ac:dyDescent="0.25">
      <c r="A1567" t="s">
        <v>2391</v>
      </c>
      <c r="B1567" t="s">
        <v>764</v>
      </c>
      <c r="C1567" t="s">
        <v>702</v>
      </c>
      <c r="D1567" t="s">
        <v>761</v>
      </c>
      <c r="E1567" t="s">
        <v>327</v>
      </c>
      <c r="F1567" t="s">
        <v>924</v>
      </c>
    </row>
    <row r="1568" spans="1:5" x14ac:dyDescent="0.25">
      <c r="A1568" t="s">
        <v>2392</v>
      </c>
      <c r="B1568" t="s">
        <v>692</v>
      </c>
      <c r="E1568" t="s">
        <v>211</v>
      </c>
    </row>
    <row r="1569" spans="1:6" x14ac:dyDescent="0.25">
      <c r="A1569" t="s">
        <v>2393</v>
      </c>
      <c r="B1569" t="s">
        <v>692</v>
      </c>
      <c r="E1569" t="s">
        <v>90</v>
      </c>
      <c r="F1569" t="s">
        <v>91</v>
      </c>
    </row>
    <row r="1570" spans="1:6" x14ac:dyDescent="0.25">
      <c r="A1570" t="s">
        <v>2394</v>
      </c>
      <c r="B1570" t="s">
        <v>764</v>
      </c>
      <c r="C1570" t="s">
        <v>790</v>
      </c>
      <c r="D1570" t="s">
        <v>791</v>
      </c>
      <c r="E1570" t="s">
        <v>598</v>
      </c>
      <c r="F1570" t="s">
        <v>792</v>
      </c>
    </row>
    <row r="1571" spans="1:6" x14ac:dyDescent="0.25">
      <c r="A1571" t="s">
        <v>2395</v>
      </c>
      <c r="B1571" t="s">
        <v>764</v>
      </c>
      <c r="C1571" t="s">
        <v>758</v>
      </c>
      <c r="D1571" t="s">
        <v>979</v>
      </c>
      <c r="E1571" t="s">
        <v>85</v>
      </c>
      <c r="F1571" t="s">
        <v>124</v>
      </c>
    </row>
    <row r="1572" spans="1:6" x14ac:dyDescent="0.25">
      <c r="A1572" t="s">
        <v>2395</v>
      </c>
      <c r="B1572" t="s">
        <v>794</v>
      </c>
      <c r="C1572" t="s">
        <v>758</v>
      </c>
      <c r="D1572" t="s">
        <v>979</v>
      </c>
      <c r="E1572" t="s">
        <v>85</v>
      </c>
      <c r="F1572" t="s">
        <v>1789</v>
      </c>
    </row>
    <row r="1573" spans="1:6" x14ac:dyDescent="0.25">
      <c r="A1573" t="s">
        <v>2396</v>
      </c>
      <c r="B1573" t="s">
        <v>764</v>
      </c>
      <c r="C1573" t="s">
        <v>758</v>
      </c>
      <c r="D1573" t="s">
        <v>979</v>
      </c>
      <c r="E1573" t="s">
        <v>85</v>
      </c>
      <c r="F1573" t="s">
        <v>124</v>
      </c>
    </row>
    <row r="1574" spans="1:6" x14ac:dyDescent="0.25">
      <c r="A1574" t="s">
        <v>2397</v>
      </c>
      <c r="B1574" t="s">
        <v>764</v>
      </c>
      <c r="C1574" t="s">
        <v>758</v>
      </c>
      <c r="D1574" t="s">
        <v>979</v>
      </c>
      <c r="E1574" t="s">
        <v>85</v>
      </c>
      <c r="F1574" t="s">
        <v>124</v>
      </c>
    </row>
    <row r="1575" spans="1:6" x14ac:dyDescent="0.25">
      <c r="A1575" t="s">
        <v>186</v>
      </c>
      <c r="B1575" t="s">
        <v>692</v>
      </c>
      <c r="E1575" t="s">
        <v>187</v>
      </c>
      <c r="F1575" t="s">
        <v>91</v>
      </c>
    </row>
    <row r="1576" spans="1:5" x14ac:dyDescent="0.25">
      <c r="A1576" t="s">
        <v>2398</v>
      </c>
      <c r="B1576" t="s">
        <v>692</v>
      </c>
      <c r="E1576" t="s">
        <v>246</v>
      </c>
    </row>
    <row r="1577" spans="1:5" x14ac:dyDescent="0.25">
      <c r="A1577" t="s">
        <v>2399</v>
      </c>
      <c r="B1577" t="s">
        <v>692</v>
      </c>
      <c r="E1577" t="s">
        <v>90</v>
      </c>
    </row>
    <row r="1578" spans="1:6" x14ac:dyDescent="0.25">
      <c r="A1578" t="s">
        <v>2400</v>
      </c>
      <c r="B1578" t="s">
        <v>695</v>
      </c>
      <c r="C1578" t="s">
        <v>702</v>
      </c>
      <c r="D1578" t="s">
        <v>2107</v>
      </c>
      <c r="E1578" t="s">
        <v>2401</v>
      </c>
      <c r="F1578" t="s">
        <v>2402</v>
      </c>
    </row>
    <row r="1579" spans="1:6" x14ac:dyDescent="0.25">
      <c r="A1579" t="s">
        <v>2403</v>
      </c>
      <c r="B1579" t="s">
        <v>695</v>
      </c>
      <c r="C1579" t="s">
        <v>702</v>
      </c>
      <c r="D1579" t="s">
        <v>2107</v>
      </c>
      <c r="E1579" t="s">
        <v>2401</v>
      </c>
      <c r="F1579" t="s">
        <v>2404</v>
      </c>
    </row>
    <row r="1580" spans="1:6" x14ac:dyDescent="0.25">
      <c r="A1580" t="s">
        <v>2405</v>
      </c>
      <c r="B1580" t="s">
        <v>692</v>
      </c>
      <c r="E1580" t="s">
        <v>2406</v>
      </c>
      <c r="F1580" t="s">
        <v>91</v>
      </c>
    </row>
    <row r="1581" spans="1:6" x14ac:dyDescent="0.25">
      <c r="A1581" t="s">
        <v>2407</v>
      </c>
      <c r="B1581" t="s">
        <v>695</v>
      </c>
      <c r="C1581" t="s">
        <v>702</v>
      </c>
      <c r="D1581" t="s">
        <v>2107</v>
      </c>
      <c r="E1581" t="s">
        <v>2401</v>
      </c>
      <c r="F1581" t="s">
        <v>2408</v>
      </c>
    </row>
    <row r="1582" spans="1:6" x14ac:dyDescent="0.25">
      <c r="A1582" t="s">
        <v>2409</v>
      </c>
      <c r="B1582" t="s">
        <v>692</v>
      </c>
      <c r="E1582" t="s">
        <v>129</v>
      </c>
      <c r="F1582" t="s">
        <v>130</v>
      </c>
    </row>
    <row r="1583" spans="1:5" x14ac:dyDescent="0.25">
      <c r="A1583" t="s">
        <v>2410</v>
      </c>
      <c r="B1583" t="s">
        <v>692</v>
      </c>
      <c r="E1583" t="s">
        <v>129</v>
      </c>
    </row>
    <row r="1584" spans="1:6" x14ac:dyDescent="0.25">
      <c r="A1584" t="s">
        <v>2411</v>
      </c>
      <c r="B1584" t="s">
        <v>695</v>
      </c>
      <c r="C1584" t="s">
        <v>706</v>
      </c>
      <c r="D1584" t="s">
        <v>707</v>
      </c>
      <c r="E1584" t="s">
        <v>708</v>
      </c>
      <c r="F1584" t="s">
        <v>2412</v>
      </c>
    </row>
    <row r="1585" spans="1:6" x14ac:dyDescent="0.25">
      <c r="A1585" t="s">
        <v>2411</v>
      </c>
      <c r="B1585" t="s">
        <v>705</v>
      </c>
      <c r="C1585" t="s">
        <v>706</v>
      </c>
      <c r="D1585" t="s">
        <v>707</v>
      </c>
      <c r="E1585" t="s">
        <v>708</v>
      </c>
      <c r="F1585" t="s">
        <v>847</v>
      </c>
    </row>
    <row r="1586" spans="1:5" x14ac:dyDescent="0.25">
      <c r="A1586" t="s">
        <v>2413</v>
      </c>
      <c r="B1586" t="s">
        <v>692</v>
      </c>
      <c r="E1586" t="s">
        <v>246</v>
      </c>
    </row>
    <row r="1587" spans="1:5" x14ac:dyDescent="0.25">
      <c r="A1587" t="s">
        <v>2414</v>
      </c>
      <c r="B1587" t="s">
        <v>692</v>
      </c>
      <c r="E1587" t="s">
        <v>97</v>
      </c>
    </row>
    <row r="1588" spans="1:5" x14ac:dyDescent="0.25">
      <c r="A1588" t="s">
        <v>2415</v>
      </c>
      <c r="B1588" t="s">
        <v>692</v>
      </c>
      <c r="E1588" t="s">
        <v>181</v>
      </c>
    </row>
    <row r="1589" spans="1:5" x14ac:dyDescent="0.25">
      <c r="A1589" t="s">
        <v>2416</v>
      </c>
      <c r="B1589" t="s">
        <v>692</v>
      </c>
      <c r="E1589" t="s">
        <v>539</v>
      </c>
    </row>
    <row r="1590" spans="1:5" x14ac:dyDescent="0.25">
      <c r="A1590" t="s">
        <v>2417</v>
      </c>
      <c r="B1590" t="s">
        <v>692</v>
      </c>
      <c r="E1590" t="s">
        <v>539</v>
      </c>
    </row>
    <row r="1591" spans="1:6" x14ac:dyDescent="0.25">
      <c r="A1591" t="s">
        <v>2418</v>
      </c>
      <c r="B1591" t="s">
        <v>695</v>
      </c>
      <c r="C1591" t="s">
        <v>702</v>
      </c>
      <c r="D1591" t="s">
        <v>750</v>
      </c>
      <c r="E1591" t="s">
        <v>539</v>
      </c>
      <c r="F1591" t="s">
        <v>2419</v>
      </c>
    </row>
    <row r="1592" spans="1:5" x14ac:dyDescent="0.25">
      <c r="A1592" t="s">
        <v>2420</v>
      </c>
      <c r="B1592" t="s">
        <v>692</v>
      </c>
      <c r="E1592" t="s">
        <v>327</v>
      </c>
    </row>
    <row r="1593" spans="1:5" x14ac:dyDescent="0.25">
      <c r="A1593" t="s">
        <v>2420</v>
      </c>
      <c r="B1593" t="s">
        <v>692</v>
      </c>
      <c r="E1593" t="s">
        <v>327</v>
      </c>
    </row>
    <row r="1594" spans="1:6" x14ac:dyDescent="0.25">
      <c r="A1594" t="s">
        <v>2421</v>
      </c>
      <c r="B1594" t="s">
        <v>705</v>
      </c>
      <c r="C1594" t="s">
        <v>706</v>
      </c>
      <c r="D1594" t="s">
        <v>1918</v>
      </c>
      <c r="E1594" t="s">
        <v>606</v>
      </c>
      <c r="F1594" t="s">
        <v>2422</v>
      </c>
    </row>
    <row r="1595" spans="1:6" x14ac:dyDescent="0.25">
      <c r="A1595" t="s">
        <v>2423</v>
      </c>
      <c r="B1595" t="s">
        <v>695</v>
      </c>
      <c r="C1595" t="s">
        <v>706</v>
      </c>
      <c r="D1595" t="s">
        <v>1918</v>
      </c>
      <c r="E1595" t="s">
        <v>816</v>
      </c>
      <c r="F1595" t="s">
        <v>2424</v>
      </c>
    </row>
    <row r="1596" spans="1:5" x14ac:dyDescent="0.25">
      <c r="A1596" t="s">
        <v>2425</v>
      </c>
      <c r="B1596" t="s">
        <v>692</v>
      </c>
      <c r="E1596" t="s">
        <v>816</v>
      </c>
    </row>
    <row r="1597" spans="1:6" x14ac:dyDescent="0.25">
      <c r="A1597" t="s">
        <v>2426</v>
      </c>
      <c r="B1597" t="s">
        <v>764</v>
      </c>
      <c r="C1597" t="s">
        <v>758</v>
      </c>
      <c r="D1597" t="s">
        <v>765</v>
      </c>
      <c r="E1597" t="s">
        <v>337</v>
      </c>
      <c r="F1597" t="s">
        <v>337</v>
      </c>
    </row>
    <row r="1598" spans="1:6" x14ac:dyDescent="0.25">
      <c r="A1598" t="s">
        <v>2427</v>
      </c>
      <c r="B1598" t="s">
        <v>764</v>
      </c>
      <c r="C1598" t="s">
        <v>758</v>
      </c>
      <c r="D1598" t="s">
        <v>765</v>
      </c>
      <c r="E1598" t="s">
        <v>337</v>
      </c>
      <c r="F1598" t="s">
        <v>337</v>
      </c>
    </row>
    <row r="1599" spans="1:5" x14ac:dyDescent="0.25">
      <c r="A1599" t="s">
        <v>2428</v>
      </c>
      <c r="B1599" t="s">
        <v>692</v>
      </c>
      <c r="E1599" t="s">
        <v>598</v>
      </c>
    </row>
    <row r="1600" spans="1:6" x14ac:dyDescent="0.25">
      <c r="A1600" t="s">
        <v>2429</v>
      </c>
      <c r="B1600" t="s">
        <v>695</v>
      </c>
      <c r="C1600" t="s">
        <v>790</v>
      </c>
      <c r="D1600" t="s">
        <v>791</v>
      </c>
      <c r="E1600" t="s">
        <v>598</v>
      </c>
      <c r="F1600" t="s">
        <v>2430</v>
      </c>
    </row>
    <row r="1601" spans="1:6" x14ac:dyDescent="0.25">
      <c r="A1601" t="s">
        <v>2431</v>
      </c>
      <c r="B1601" t="s">
        <v>695</v>
      </c>
      <c r="C1601" t="s">
        <v>790</v>
      </c>
      <c r="D1601" t="s">
        <v>791</v>
      </c>
      <c r="E1601" t="s">
        <v>598</v>
      </c>
      <c r="F1601" t="s">
        <v>2432</v>
      </c>
    </row>
    <row r="1602" spans="1:6" x14ac:dyDescent="0.25">
      <c r="A1602" t="s">
        <v>2433</v>
      </c>
      <c r="B1602" t="s">
        <v>695</v>
      </c>
      <c r="C1602" t="s">
        <v>790</v>
      </c>
      <c r="D1602" t="s">
        <v>791</v>
      </c>
      <c r="E1602" t="s">
        <v>598</v>
      </c>
      <c r="F1602" t="s">
        <v>2434</v>
      </c>
    </row>
    <row r="1603" spans="1:6" x14ac:dyDescent="0.25">
      <c r="A1603" t="s">
        <v>2435</v>
      </c>
      <c r="B1603" t="s">
        <v>695</v>
      </c>
      <c r="C1603" t="s">
        <v>790</v>
      </c>
      <c r="D1603" t="s">
        <v>791</v>
      </c>
      <c r="E1603" t="s">
        <v>598</v>
      </c>
      <c r="F1603" t="s">
        <v>2436</v>
      </c>
    </row>
    <row r="1604" spans="1:5" x14ac:dyDescent="0.25">
      <c r="A1604" t="s">
        <v>2437</v>
      </c>
      <c r="B1604" t="s">
        <v>692</v>
      </c>
      <c r="E1604" t="s">
        <v>598</v>
      </c>
    </row>
    <row r="1605" spans="1:5" x14ac:dyDescent="0.25">
      <c r="A1605" t="s">
        <v>2438</v>
      </c>
      <c r="B1605" t="s">
        <v>692</v>
      </c>
      <c r="E1605" t="s">
        <v>598</v>
      </c>
    </row>
    <row r="1606" spans="1:5" x14ac:dyDescent="0.25">
      <c r="A1606" t="s">
        <v>2439</v>
      </c>
      <c r="B1606" t="s">
        <v>692</v>
      </c>
      <c r="E1606" t="s">
        <v>598</v>
      </c>
    </row>
    <row r="1607" spans="1:5" x14ac:dyDescent="0.25">
      <c r="A1607" t="s">
        <v>2440</v>
      </c>
      <c r="B1607" t="s">
        <v>692</v>
      </c>
      <c r="E1607" t="s">
        <v>598</v>
      </c>
    </row>
    <row r="1608" spans="1:5" x14ac:dyDescent="0.25">
      <c r="A1608" t="s">
        <v>2441</v>
      </c>
      <c r="B1608" t="s">
        <v>692</v>
      </c>
      <c r="E1608" t="s">
        <v>598</v>
      </c>
    </row>
    <row r="1609" spans="1:6" x14ac:dyDescent="0.25">
      <c r="A1609" t="s">
        <v>2442</v>
      </c>
      <c r="B1609" t="s">
        <v>695</v>
      </c>
      <c r="C1609" t="s">
        <v>790</v>
      </c>
      <c r="D1609" t="s">
        <v>791</v>
      </c>
      <c r="E1609" t="s">
        <v>598</v>
      </c>
      <c r="F1609" t="s">
        <v>2443</v>
      </c>
    </row>
    <row r="1610" spans="1:5" x14ac:dyDescent="0.25">
      <c r="A1610" t="s">
        <v>2444</v>
      </c>
      <c r="B1610" t="s">
        <v>692</v>
      </c>
      <c r="E1610" t="s">
        <v>1002</v>
      </c>
    </row>
    <row r="1611" spans="1:5" x14ac:dyDescent="0.25">
      <c r="A1611" t="s">
        <v>2445</v>
      </c>
      <c r="B1611" t="s">
        <v>692</v>
      </c>
      <c r="E1611" t="s">
        <v>1002</v>
      </c>
    </row>
    <row r="1612" spans="1:5" x14ac:dyDescent="0.25">
      <c r="A1612" t="s">
        <v>2446</v>
      </c>
      <c r="B1612" t="s">
        <v>692</v>
      </c>
      <c r="E1612" t="s">
        <v>1002</v>
      </c>
    </row>
    <row r="1613" spans="1:5" x14ac:dyDescent="0.25">
      <c r="A1613" t="s">
        <v>2447</v>
      </c>
      <c r="B1613" t="s">
        <v>692</v>
      </c>
      <c r="E1613" t="s">
        <v>1002</v>
      </c>
    </row>
    <row r="1614" spans="1:5" x14ac:dyDescent="0.25">
      <c r="A1614" t="s">
        <v>2448</v>
      </c>
      <c r="B1614" t="s">
        <v>692</v>
      </c>
      <c r="E1614" t="s">
        <v>327</v>
      </c>
    </row>
    <row r="1615" spans="1:6" x14ac:dyDescent="0.25">
      <c r="A1615" t="s">
        <v>2449</v>
      </c>
      <c r="B1615" t="s">
        <v>764</v>
      </c>
      <c r="C1615" t="s">
        <v>758</v>
      </c>
      <c r="D1615" t="s">
        <v>875</v>
      </c>
      <c r="E1615" t="s">
        <v>173</v>
      </c>
      <c r="F1615" t="s">
        <v>206</v>
      </c>
    </row>
    <row r="1616" spans="1:6" x14ac:dyDescent="0.25">
      <c r="A1616" t="s">
        <v>2450</v>
      </c>
      <c r="B1616" t="s">
        <v>764</v>
      </c>
      <c r="C1616" t="s">
        <v>758</v>
      </c>
      <c r="D1616" t="s">
        <v>875</v>
      </c>
      <c r="E1616" t="s">
        <v>173</v>
      </c>
      <c r="F1616" t="s">
        <v>206</v>
      </c>
    </row>
    <row r="1617" spans="1:5" x14ac:dyDescent="0.25">
      <c r="A1617" t="s">
        <v>2451</v>
      </c>
      <c r="B1617" t="s">
        <v>692</v>
      </c>
      <c r="E1617" t="s">
        <v>272</v>
      </c>
    </row>
    <row r="1618" spans="1:6" x14ac:dyDescent="0.25">
      <c r="A1618" t="s">
        <v>2452</v>
      </c>
      <c r="B1618" t="s">
        <v>705</v>
      </c>
      <c r="C1618" t="s">
        <v>706</v>
      </c>
      <c r="D1618" t="s">
        <v>845</v>
      </c>
      <c r="E1618" t="s">
        <v>272</v>
      </c>
      <c r="F1618" t="s">
        <v>381</v>
      </c>
    </row>
    <row r="1619" spans="1:6" x14ac:dyDescent="0.25">
      <c r="A1619" t="s">
        <v>2453</v>
      </c>
      <c r="B1619" t="s">
        <v>705</v>
      </c>
      <c r="C1619" t="s">
        <v>706</v>
      </c>
      <c r="D1619" t="s">
        <v>845</v>
      </c>
      <c r="E1619" t="s">
        <v>272</v>
      </c>
      <c r="F1619" t="s">
        <v>381</v>
      </c>
    </row>
    <row r="1620" spans="1:6" x14ac:dyDescent="0.25">
      <c r="A1620" t="s">
        <v>2454</v>
      </c>
      <c r="B1620" t="s">
        <v>695</v>
      </c>
      <c r="C1620" t="s">
        <v>706</v>
      </c>
      <c r="D1620" t="s">
        <v>845</v>
      </c>
      <c r="E1620" t="s">
        <v>272</v>
      </c>
      <c r="F1620" t="s">
        <v>2455</v>
      </c>
    </row>
    <row r="1621" spans="1:6" x14ac:dyDescent="0.25">
      <c r="A1621" t="s">
        <v>2456</v>
      </c>
      <c r="B1621" t="s">
        <v>695</v>
      </c>
      <c r="C1621" t="s">
        <v>706</v>
      </c>
      <c r="D1621" t="s">
        <v>845</v>
      </c>
      <c r="E1621" t="s">
        <v>272</v>
      </c>
      <c r="F1621" t="s">
        <v>2457</v>
      </c>
    </row>
    <row r="1622" spans="1:6" x14ac:dyDescent="0.25">
      <c r="A1622" t="s">
        <v>2458</v>
      </c>
      <c r="B1622" t="s">
        <v>695</v>
      </c>
      <c r="C1622" t="s">
        <v>706</v>
      </c>
      <c r="D1622" t="s">
        <v>845</v>
      </c>
      <c r="E1622" t="s">
        <v>272</v>
      </c>
      <c r="F1622" t="s">
        <v>2459</v>
      </c>
    </row>
    <row r="1623" spans="1:5" x14ac:dyDescent="0.25">
      <c r="A1623" t="s">
        <v>2460</v>
      </c>
      <c r="B1623" t="s">
        <v>692</v>
      </c>
      <c r="E1623" t="s">
        <v>2461</v>
      </c>
    </row>
    <row r="1624" spans="1:6" x14ac:dyDescent="0.25">
      <c r="A1624" t="s">
        <v>2462</v>
      </c>
      <c r="B1624" t="s">
        <v>764</v>
      </c>
      <c r="C1624" t="s">
        <v>758</v>
      </c>
      <c r="D1624" t="s">
        <v>979</v>
      </c>
      <c r="E1624" t="s">
        <v>85</v>
      </c>
      <c r="F1624" t="s">
        <v>124</v>
      </c>
    </row>
    <row r="1625" spans="1:6" x14ac:dyDescent="0.25">
      <c r="A1625" t="s">
        <v>2463</v>
      </c>
      <c r="B1625" t="s">
        <v>692</v>
      </c>
      <c r="E1625" t="s">
        <v>1387</v>
      </c>
      <c r="F1625" t="s">
        <v>91</v>
      </c>
    </row>
    <row r="1626" spans="1:5" x14ac:dyDescent="0.25">
      <c r="A1626" t="s">
        <v>2464</v>
      </c>
      <c r="B1626" t="s">
        <v>692</v>
      </c>
      <c r="E1626" t="s">
        <v>1387</v>
      </c>
    </row>
    <row r="1627" spans="1:5" x14ac:dyDescent="0.25">
      <c r="A1627" t="s">
        <v>2465</v>
      </c>
      <c r="B1627" t="s">
        <v>692</v>
      </c>
      <c r="E1627" t="s">
        <v>1387</v>
      </c>
    </row>
    <row r="1628" spans="1:5" x14ac:dyDescent="0.25">
      <c r="A1628" t="s">
        <v>2466</v>
      </c>
      <c r="B1628" t="s">
        <v>692</v>
      </c>
      <c r="E1628" t="s">
        <v>181</v>
      </c>
    </row>
    <row r="1629" spans="1:6" x14ac:dyDescent="0.25">
      <c r="A1629" t="s">
        <v>2467</v>
      </c>
      <c r="B1629" t="s">
        <v>695</v>
      </c>
      <c r="C1629" t="s">
        <v>1138</v>
      </c>
      <c r="D1629" t="s">
        <v>1139</v>
      </c>
      <c r="E1629" t="s">
        <v>181</v>
      </c>
      <c r="F1629" t="s">
        <v>2468</v>
      </c>
    </row>
    <row r="1630" spans="1:5" x14ac:dyDescent="0.25">
      <c r="A1630" t="s">
        <v>2467</v>
      </c>
      <c r="B1630" t="s">
        <v>692</v>
      </c>
      <c r="E1630" t="s">
        <v>181</v>
      </c>
    </row>
    <row r="1631" spans="1:6" x14ac:dyDescent="0.25">
      <c r="A1631" t="s">
        <v>180</v>
      </c>
      <c r="B1631" t="s">
        <v>692</v>
      </c>
      <c r="E1631" t="s">
        <v>181</v>
      </c>
      <c r="F1631" t="s">
        <v>2469</v>
      </c>
    </row>
    <row r="1632" spans="1:6" x14ac:dyDescent="0.25">
      <c r="A1632" t="s">
        <v>2470</v>
      </c>
      <c r="B1632" t="s">
        <v>794</v>
      </c>
      <c r="C1632" t="s">
        <v>706</v>
      </c>
      <c r="D1632" t="s">
        <v>1123</v>
      </c>
      <c r="E1632" t="s">
        <v>181</v>
      </c>
      <c r="F1632" t="s">
        <v>2471</v>
      </c>
    </row>
    <row r="1633" spans="1:6" x14ac:dyDescent="0.25">
      <c r="A1633" t="s">
        <v>2472</v>
      </c>
      <c r="B1633" t="s">
        <v>705</v>
      </c>
      <c r="C1633" t="s">
        <v>1138</v>
      </c>
      <c r="D1633" t="s">
        <v>1139</v>
      </c>
      <c r="E1633" t="s">
        <v>181</v>
      </c>
      <c r="F1633" t="s">
        <v>2473</v>
      </c>
    </row>
    <row r="1634" spans="1:6" x14ac:dyDescent="0.25">
      <c r="A1634" t="s">
        <v>271</v>
      </c>
      <c r="B1634" t="s">
        <v>794</v>
      </c>
      <c r="C1634" t="s">
        <v>706</v>
      </c>
      <c r="D1634" t="s">
        <v>845</v>
      </c>
      <c r="E1634" t="s">
        <v>272</v>
      </c>
      <c r="F1634" t="s">
        <v>272</v>
      </c>
    </row>
    <row r="1635" spans="1:6" x14ac:dyDescent="0.25">
      <c r="A1635" t="s">
        <v>2474</v>
      </c>
      <c r="B1635" t="s">
        <v>705</v>
      </c>
      <c r="C1635" t="s">
        <v>706</v>
      </c>
      <c r="D1635" t="s">
        <v>845</v>
      </c>
      <c r="E1635" t="s">
        <v>272</v>
      </c>
      <c r="F1635" t="s">
        <v>381</v>
      </c>
    </row>
    <row r="1636" spans="1:6" x14ac:dyDescent="0.25">
      <c r="A1636" t="s">
        <v>2475</v>
      </c>
      <c r="B1636" t="s">
        <v>705</v>
      </c>
      <c r="C1636" t="s">
        <v>706</v>
      </c>
      <c r="D1636" t="s">
        <v>845</v>
      </c>
      <c r="E1636" t="s">
        <v>272</v>
      </c>
      <c r="F1636" t="s">
        <v>381</v>
      </c>
    </row>
    <row r="1637" spans="1:6" x14ac:dyDescent="0.25">
      <c r="A1637" t="s">
        <v>2476</v>
      </c>
      <c r="B1637" t="s">
        <v>705</v>
      </c>
      <c r="C1637" t="s">
        <v>706</v>
      </c>
      <c r="D1637" t="s">
        <v>845</v>
      </c>
      <c r="E1637" t="s">
        <v>272</v>
      </c>
      <c r="F1637" t="s">
        <v>381</v>
      </c>
    </row>
    <row r="1638" spans="1:6" x14ac:dyDescent="0.25">
      <c r="A1638" t="s">
        <v>2477</v>
      </c>
      <c r="B1638" t="s">
        <v>692</v>
      </c>
      <c r="E1638" t="s">
        <v>90</v>
      </c>
      <c r="F1638" t="s">
        <v>91</v>
      </c>
    </row>
    <row r="1639" spans="1:5" x14ac:dyDescent="0.25">
      <c r="A1639" t="s">
        <v>2478</v>
      </c>
      <c r="B1639" t="s">
        <v>692</v>
      </c>
      <c r="E1639" t="s">
        <v>288</v>
      </c>
    </row>
    <row r="1640" spans="1:5" x14ac:dyDescent="0.25">
      <c r="A1640" t="s">
        <v>2479</v>
      </c>
      <c r="B1640" t="s">
        <v>692</v>
      </c>
      <c r="E1640" t="s">
        <v>1527</v>
      </c>
    </row>
    <row r="1641" spans="1:5" x14ac:dyDescent="0.25">
      <c r="A1641" t="s">
        <v>2480</v>
      </c>
      <c r="B1641" t="s">
        <v>692</v>
      </c>
      <c r="E1641" t="s">
        <v>828</v>
      </c>
    </row>
    <row r="1642" spans="1:5" x14ac:dyDescent="0.25">
      <c r="A1642" t="s">
        <v>2481</v>
      </c>
      <c r="B1642" t="s">
        <v>692</v>
      </c>
      <c r="E1642" t="s">
        <v>828</v>
      </c>
    </row>
    <row r="1643" spans="1:5" x14ac:dyDescent="0.25">
      <c r="A1643" t="s">
        <v>2482</v>
      </c>
      <c r="B1643" t="s">
        <v>692</v>
      </c>
      <c r="E1643" t="s">
        <v>1630</v>
      </c>
    </row>
    <row r="1644" spans="1:6" x14ac:dyDescent="0.25">
      <c r="A1644" t="s">
        <v>2483</v>
      </c>
      <c r="B1644" t="s">
        <v>695</v>
      </c>
      <c r="C1644" t="s">
        <v>696</v>
      </c>
      <c r="D1644" t="s">
        <v>2219</v>
      </c>
      <c r="E1644" t="s">
        <v>2484</v>
      </c>
      <c r="F1644" t="s">
        <v>2485</v>
      </c>
    </row>
    <row r="1645" spans="1:6" x14ac:dyDescent="0.25">
      <c r="A1645" t="s">
        <v>2486</v>
      </c>
      <c r="B1645" t="s">
        <v>695</v>
      </c>
      <c r="C1645" t="s">
        <v>706</v>
      </c>
      <c r="D1645" t="s">
        <v>1918</v>
      </c>
      <c r="E1645" t="s">
        <v>816</v>
      </c>
      <c r="F1645" t="s">
        <v>2487</v>
      </c>
    </row>
    <row r="1646" spans="1:6" x14ac:dyDescent="0.25">
      <c r="A1646" t="s">
        <v>2488</v>
      </c>
      <c r="B1646" t="s">
        <v>705</v>
      </c>
      <c r="C1646" t="s">
        <v>1138</v>
      </c>
      <c r="D1646" t="s">
        <v>1139</v>
      </c>
      <c r="E1646" t="s">
        <v>1002</v>
      </c>
      <c r="F1646" t="s">
        <v>1140</v>
      </c>
    </row>
    <row r="1647" spans="1:5" x14ac:dyDescent="0.25">
      <c r="A1647" t="s">
        <v>2488</v>
      </c>
      <c r="B1647" t="s">
        <v>692</v>
      </c>
      <c r="E1647" t="s">
        <v>1002</v>
      </c>
    </row>
    <row r="1648" spans="1:6" x14ac:dyDescent="0.25">
      <c r="A1648" t="s">
        <v>2489</v>
      </c>
      <c r="B1648" t="s">
        <v>695</v>
      </c>
      <c r="C1648" t="s">
        <v>696</v>
      </c>
      <c r="D1648" t="s">
        <v>2134</v>
      </c>
      <c r="E1648" t="s">
        <v>1609</v>
      </c>
      <c r="F1648" t="s">
        <v>2490</v>
      </c>
    </row>
    <row r="1649" spans="1:5" x14ac:dyDescent="0.25">
      <c r="A1649" t="s">
        <v>2491</v>
      </c>
      <c r="B1649" t="s">
        <v>692</v>
      </c>
      <c r="E1649" t="s">
        <v>2492</v>
      </c>
    </row>
    <row r="1650" spans="1:5" x14ac:dyDescent="0.25">
      <c r="A1650" t="s">
        <v>2493</v>
      </c>
      <c r="B1650" t="s">
        <v>692</v>
      </c>
      <c r="E1650" t="s">
        <v>90</v>
      </c>
    </row>
    <row r="1651" spans="1:5" x14ac:dyDescent="0.25">
      <c r="A1651" t="s">
        <v>2494</v>
      </c>
      <c r="B1651" t="s">
        <v>692</v>
      </c>
      <c r="E1651" t="s">
        <v>370</v>
      </c>
    </row>
    <row r="1652" spans="1:6" x14ac:dyDescent="0.25">
      <c r="A1652" t="s">
        <v>2495</v>
      </c>
      <c r="B1652" t="s">
        <v>695</v>
      </c>
      <c r="C1652" t="s">
        <v>1138</v>
      </c>
      <c r="D1652" t="s">
        <v>1139</v>
      </c>
      <c r="E1652" t="s">
        <v>1002</v>
      </c>
      <c r="F1652" t="s">
        <v>2495</v>
      </c>
    </row>
    <row r="1653" spans="1:6" x14ac:dyDescent="0.25">
      <c r="A1653" t="s">
        <v>2496</v>
      </c>
      <c r="B1653" t="s">
        <v>695</v>
      </c>
      <c r="C1653" t="s">
        <v>1138</v>
      </c>
      <c r="D1653" t="s">
        <v>1139</v>
      </c>
      <c r="E1653" t="s">
        <v>1002</v>
      </c>
      <c r="F1653" t="s">
        <v>2496</v>
      </c>
    </row>
    <row r="1654" spans="1:5" x14ac:dyDescent="0.25">
      <c r="A1654" t="s">
        <v>2497</v>
      </c>
      <c r="B1654" t="s">
        <v>692</v>
      </c>
      <c r="E1654" t="s">
        <v>1527</v>
      </c>
    </row>
    <row r="1655" spans="1:5" x14ac:dyDescent="0.25">
      <c r="A1655" t="s">
        <v>2498</v>
      </c>
      <c r="B1655" t="s">
        <v>692</v>
      </c>
      <c r="E1655" t="s">
        <v>1527</v>
      </c>
    </row>
    <row r="1656" spans="1:6" x14ac:dyDescent="0.25">
      <c r="A1656" t="s">
        <v>2499</v>
      </c>
      <c r="B1656" t="s">
        <v>695</v>
      </c>
      <c r="C1656" t="s">
        <v>706</v>
      </c>
      <c r="D1656" t="s">
        <v>2184</v>
      </c>
      <c r="E1656" t="s">
        <v>288</v>
      </c>
      <c r="F1656" t="s">
        <v>2500</v>
      </c>
    </row>
    <row r="1657" spans="1:6" x14ac:dyDescent="0.25">
      <c r="A1657" t="s">
        <v>2499</v>
      </c>
      <c r="B1657" t="s">
        <v>705</v>
      </c>
      <c r="C1657" t="s">
        <v>706</v>
      </c>
      <c r="D1657" t="s">
        <v>2184</v>
      </c>
      <c r="E1657" t="s">
        <v>288</v>
      </c>
      <c r="F1657" t="s">
        <v>2370</v>
      </c>
    </row>
    <row r="1658" spans="1:5" x14ac:dyDescent="0.25">
      <c r="A1658" t="s">
        <v>2501</v>
      </c>
      <c r="B1658" t="s">
        <v>692</v>
      </c>
      <c r="E1658" t="s">
        <v>288</v>
      </c>
    </row>
    <row r="1659" spans="1:5" x14ac:dyDescent="0.25">
      <c r="A1659" t="s">
        <v>2502</v>
      </c>
      <c r="B1659" t="s">
        <v>692</v>
      </c>
      <c r="E1659" t="s">
        <v>288</v>
      </c>
    </row>
    <row r="1660" spans="1:6" x14ac:dyDescent="0.25">
      <c r="A1660" t="s">
        <v>2503</v>
      </c>
      <c r="B1660" t="s">
        <v>705</v>
      </c>
      <c r="C1660" t="s">
        <v>706</v>
      </c>
      <c r="D1660" t="s">
        <v>2184</v>
      </c>
      <c r="E1660" t="s">
        <v>288</v>
      </c>
      <c r="F1660" t="s">
        <v>2370</v>
      </c>
    </row>
    <row r="1661" spans="1:5" x14ac:dyDescent="0.25">
      <c r="A1661" t="s">
        <v>2504</v>
      </c>
      <c r="B1661" t="s">
        <v>692</v>
      </c>
      <c r="E1661" t="s">
        <v>288</v>
      </c>
    </row>
    <row r="1662" spans="1:5" x14ac:dyDescent="0.25">
      <c r="A1662" t="s">
        <v>2505</v>
      </c>
      <c r="B1662" t="s">
        <v>692</v>
      </c>
      <c r="E1662" t="s">
        <v>90</v>
      </c>
    </row>
    <row r="1663" spans="1:6" x14ac:dyDescent="0.25">
      <c r="A1663" t="s">
        <v>2506</v>
      </c>
      <c r="B1663" t="s">
        <v>695</v>
      </c>
      <c r="C1663" t="s">
        <v>1138</v>
      </c>
      <c r="D1663" t="s">
        <v>2289</v>
      </c>
      <c r="E1663" t="s">
        <v>1170</v>
      </c>
      <c r="F1663" t="s">
        <v>2507</v>
      </c>
    </row>
    <row r="1664" spans="1:6" x14ac:dyDescent="0.25">
      <c r="A1664" t="s">
        <v>2508</v>
      </c>
      <c r="B1664" t="s">
        <v>701</v>
      </c>
      <c r="C1664" t="s">
        <v>706</v>
      </c>
      <c r="D1664" t="s">
        <v>845</v>
      </c>
      <c r="E1664" t="s">
        <v>2508</v>
      </c>
      <c r="F1664" t="s">
        <v>2508</v>
      </c>
    </row>
    <row r="1665" spans="1:6" x14ac:dyDescent="0.25">
      <c r="A1665" t="s">
        <v>2509</v>
      </c>
      <c r="B1665" t="s">
        <v>2148</v>
      </c>
      <c r="C1665" t="s">
        <v>746</v>
      </c>
      <c r="D1665" t="s">
        <v>2195</v>
      </c>
      <c r="E1665" t="s">
        <v>2510</v>
      </c>
      <c r="F1665" t="s">
        <v>2511</v>
      </c>
    </row>
    <row r="1666" spans="1:6" x14ac:dyDescent="0.25">
      <c r="A1666" t="s">
        <v>2509</v>
      </c>
      <c r="B1666" t="s">
        <v>701</v>
      </c>
      <c r="C1666" t="s">
        <v>746</v>
      </c>
      <c r="D1666" t="s">
        <v>2195</v>
      </c>
      <c r="E1666" t="s">
        <v>2510</v>
      </c>
      <c r="F1666" t="s">
        <v>2512</v>
      </c>
    </row>
    <row r="1667" spans="1:6" x14ac:dyDescent="0.25">
      <c r="A1667" t="s">
        <v>2509</v>
      </c>
      <c r="B1667" t="s">
        <v>2105</v>
      </c>
      <c r="C1667" t="s">
        <v>746</v>
      </c>
      <c r="D1667" t="s">
        <v>2195</v>
      </c>
      <c r="E1667" t="s">
        <v>2510</v>
      </c>
      <c r="F1667" t="s">
        <v>2513</v>
      </c>
    </row>
    <row r="1668" spans="1:6" x14ac:dyDescent="0.25">
      <c r="A1668" t="s">
        <v>2514</v>
      </c>
      <c r="B1668" t="s">
        <v>695</v>
      </c>
      <c r="C1668" t="s">
        <v>696</v>
      </c>
      <c r="D1668" t="s">
        <v>697</v>
      </c>
      <c r="E1668" t="s">
        <v>698</v>
      </c>
      <c r="F1668" t="s">
        <v>2514</v>
      </c>
    </row>
    <row r="1669" spans="1:5" x14ac:dyDescent="0.25">
      <c r="A1669" t="s">
        <v>2515</v>
      </c>
      <c r="B1669" t="s">
        <v>692</v>
      </c>
      <c r="E1669" t="s">
        <v>246</v>
      </c>
    </row>
    <row r="1670" spans="1:5" x14ac:dyDescent="0.25">
      <c r="A1670" t="s">
        <v>2516</v>
      </c>
      <c r="B1670" t="s">
        <v>692</v>
      </c>
      <c r="E1670" t="s">
        <v>129</v>
      </c>
    </row>
    <row r="1671" spans="1:6" x14ac:dyDescent="0.25">
      <c r="A1671" t="s">
        <v>2517</v>
      </c>
      <c r="B1671" t="s">
        <v>695</v>
      </c>
      <c r="C1671" t="s">
        <v>706</v>
      </c>
      <c r="D1671" t="s">
        <v>845</v>
      </c>
      <c r="E1671" t="s">
        <v>272</v>
      </c>
      <c r="F1671" t="s">
        <v>2518</v>
      </c>
    </row>
    <row r="1672" spans="1:6" x14ac:dyDescent="0.25">
      <c r="A1672" t="s">
        <v>2517</v>
      </c>
      <c r="B1672" t="s">
        <v>705</v>
      </c>
      <c r="C1672" t="s">
        <v>706</v>
      </c>
      <c r="D1672" t="s">
        <v>845</v>
      </c>
      <c r="E1672" t="s">
        <v>272</v>
      </c>
      <c r="F1672" t="s">
        <v>381</v>
      </c>
    </row>
    <row r="1673" spans="1:6" x14ac:dyDescent="0.25">
      <c r="A1673" t="s">
        <v>2519</v>
      </c>
      <c r="B1673" t="s">
        <v>692</v>
      </c>
      <c r="E1673" t="s">
        <v>97</v>
      </c>
      <c r="F1673" t="s">
        <v>1028</v>
      </c>
    </row>
    <row r="1674" spans="1:5" x14ac:dyDescent="0.25">
      <c r="A1674" t="s">
        <v>2519</v>
      </c>
      <c r="B1674" t="s">
        <v>692</v>
      </c>
      <c r="E1674" t="s">
        <v>97</v>
      </c>
    </row>
    <row r="1675" spans="1:6" x14ac:dyDescent="0.25">
      <c r="A1675" t="s">
        <v>2520</v>
      </c>
      <c r="B1675" t="s">
        <v>692</v>
      </c>
      <c r="E1675" t="s">
        <v>97</v>
      </c>
      <c r="F1675" t="s">
        <v>2521</v>
      </c>
    </row>
    <row r="1676" spans="1:5" x14ac:dyDescent="0.25">
      <c r="A1676" t="s">
        <v>2522</v>
      </c>
      <c r="B1676" t="s">
        <v>692</v>
      </c>
      <c r="E1676" t="s">
        <v>97</v>
      </c>
    </row>
    <row r="1677" spans="1:5" x14ac:dyDescent="0.25">
      <c r="A1677" t="s">
        <v>2523</v>
      </c>
      <c r="B1677" t="s">
        <v>692</v>
      </c>
      <c r="E1677" t="s">
        <v>97</v>
      </c>
    </row>
    <row r="1678" spans="1:5" x14ac:dyDescent="0.25">
      <c r="A1678" t="s">
        <v>2524</v>
      </c>
      <c r="B1678" t="s">
        <v>692</v>
      </c>
      <c r="E1678" t="s">
        <v>97</v>
      </c>
    </row>
    <row r="1679" spans="1:6" x14ac:dyDescent="0.25">
      <c r="A1679" t="s">
        <v>2525</v>
      </c>
      <c r="B1679" t="s">
        <v>695</v>
      </c>
      <c r="C1679" t="s">
        <v>696</v>
      </c>
      <c r="D1679" t="s">
        <v>697</v>
      </c>
      <c r="E1679" t="s">
        <v>2526</v>
      </c>
      <c r="F1679" t="s">
        <v>2525</v>
      </c>
    </row>
    <row r="1680" spans="1:6" x14ac:dyDescent="0.25">
      <c r="A1680" t="s">
        <v>2527</v>
      </c>
      <c r="B1680" t="s">
        <v>764</v>
      </c>
      <c r="C1680" t="s">
        <v>782</v>
      </c>
      <c r="D1680" t="s">
        <v>849</v>
      </c>
      <c r="E1680" t="s">
        <v>850</v>
      </c>
      <c r="F1680" t="s">
        <v>851</v>
      </c>
    </row>
    <row r="1681" spans="1:5" x14ac:dyDescent="0.25">
      <c r="A1681" t="s">
        <v>2528</v>
      </c>
      <c r="B1681" t="s">
        <v>692</v>
      </c>
      <c r="E1681" t="s">
        <v>90</v>
      </c>
    </row>
    <row r="1682" spans="1:6" x14ac:dyDescent="0.25">
      <c r="A1682" t="s">
        <v>2529</v>
      </c>
      <c r="B1682" t="s">
        <v>794</v>
      </c>
      <c r="C1682" t="s">
        <v>2530</v>
      </c>
      <c r="D1682" t="s">
        <v>2531</v>
      </c>
      <c r="E1682" t="s">
        <v>394</v>
      </c>
      <c r="F1682" t="s">
        <v>394</v>
      </c>
    </row>
    <row r="1683" spans="1:6" x14ac:dyDescent="0.25">
      <c r="A1683" t="s">
        <v>2532</v>
      </c>
      <c r="B1683" t="s">
        <v>695</v>
      </c>
      <c r="C1683" t="s">
        <v>706</v>
      </c>
      <c r="D1683" t="s">
        <v>845</v>
      </c>
      <c r="E1683" t="s">
        <v>272</v>
      </c>
      <c r="F1683" t="s">
        <v>2533</v>
      </c>
    </row>
    <row r="1684" spans="1:6" x14ac:dyDescent="0.25">
      <c r="A1684" t="s">
        <v>2532</v>
      </c>
      <c r="B1684" t="s">
        <v>705</v>
      </c>
      <c r="C1684" t="s">
        <v>706</v>
      </c>
      <c r="D1684" t="s">
        <v>845</v>
      </c>
      <c r="E1684" t="s">
        <v>272</v>
      </c>
      <c r="F1684" t="s">
        <v>381</v>
      </c>
    </row>
    <row r="1685" spans="1:6" x14ac:dyDescent="0.25">
      <c r="A1685" t="s">
        <v>2534</v>
      </c>
      <c r="B1685" t="s">
        <v>695</v>
      </c>
      <c r="C1685" t="s">
        <v>706</v>
      </c>
      <c r="D1685" t="s">
        <v>845</v>
      </c>
      <c r="E1685" t="s">
        <v>272</v>
      </c>
      <c r="F1685" t="s">
        <v>2535</v>
      </c>
    </row>
    <row r="1686" spans="1:5" x14ac:dyDescent="0.25">
      <c r="A1686" t="s">
        <v>2536</v>
      </c>
      <c r="B1686" t="s">
        <v>692</v>
      </c>
      <c r="E1686" t="s">
        <v>272</v>
      </c>
    </row>
    <row r="1687" spans="1:5" x14ac:dyDescent="0.25">
      <c r="A1687" t="s">
        <v>2537</v>
      </c>
      <c r="B1687" t="s">
        <v>692</v>
      </c>
      <c r="E1687" t="s">
        <v>246</v>
      </c>
    </row>
    <row r="1688" spans="1:5" x14ac:dyDescent="0.25">
      <c r="A1688" t="s">
        <v>2538</v>
      </c>
      <c r="B1688" t="s">
        <v>692</v>
      </c>
      <c r="E1688" t="s">
        <v>246</v>
      </c>
    </row>
    <row r="1689" spans="1:5" x14ac:dyDescent="0.25">
      <c r="A1689" t="s">
        <v>2539</v>
      </c>
      <c r="B1689" t="s">
        <v>692</v>
      </c>
      <c r="E1689" t="s">
        <v>246</v>
      </c>
    </row>
    <row r="1690" spans="1:5" x14ac:dyDescent="0.25">
      <c r="A1690" t="s">
        <v>2540</v>
      </c>
      <c r="B1690" t="s">
        <v>692</v>
      </c>
      <c r="E1690" t="s">
        <v>246</v>
      </c>
    </row>
    <row r="1691" spans="1:6" x14ac:dyDescent="0.25">
      <c r="A1691" t="s">
        <v>2541</v>
      </c>
      <c r="B1691" t="s">
        <v>764</v>
      </c>
      <c r="C1691" t="s">
        <v>758</v>
      </c>
      <c r="D1691" t="s">
        <v>979</v>
      </c>
      <c r="E1691" t="s">
        <v>85</v>
      </c>
      <c r="F1691" t="s">
        <v>124</v>
      </c>
    </row>
    <row r="1692" spans="1:6" x14ac:dyDescent="0.25">
      <c r="A1692" t="s">
        <v>2542</v>
      </c>
      <c r="B1692" t="s">
        <v>701</v>
      </c>
      <c r="C1692" t="s">
        <v>702</v>
      </c>
      <c r="D1692" t="s">
        <v>750</v>
      </c>
      <c r="E1692" t="s">
        <v>539</v>
      </c>
      <c r="F1692" t="s">
        <v>751</v>
      </c>
    </row>
    <row r="1693" spans="1:6" x14ac:dyDescent="0.25">
      <c r="A1693" t="s">
        <v>2543</v>
      </c>
      <c r="B1693" t="s">
        <v>695</v>
      </c>
      <c r="C1693" t="s">
        <v>706</v>
      </c>
      <c r="D1693" t="s">
        <v>2184</v>
      </c>
      <c r="E1693" t="s">
        <v>288</v>
      </c>
      <c r="F1693" t="s">
        <v>2544</v>
      </c>
    </row>
    <row r="1694" spans="1:6" x14ac:dyDescent="0.25">
      <c r="A1694" t="s">
        <v>2545</v>
      </c>
      <c r="B1694" t="s">
        <v>695</v>
      </c>
      <c r="C1694" t="s">
        <v>706</v>
      </c>
      <c r="D1694" t="s">
        <v>2184</v>
      </c>
      <c r="E1694" t="s">
        <v>288</v>
      </c>
      <c r="F1694" t="s">
        <v>2545</v>
      </c>
    </row>
    <row r="1695" spans="1:6" x14ac:dyDescent="0.25">
      <c r="A1695" t="s">
        <v>2546</v>
      </c>
      <c r="B1695" t="s">
        <v>705</v>
      </c>
      <c r="C1695" t="s">
        <v>706</v>
      </c>
      <c r="D1695" t="s">
        <v>2184</v>
      </c>
      <c r="E1695" t="s">
        <v>288</v>
      </c>
      <c r="F1695" t="s">
        <v>2370</v>
      </c>
    </row>
    <row r="1696" spans="1:5" x14ac:dyDescent="0.25">
      <c r="A1696" t="s">
        <v>2547</v>
      </c>
      <c r="B1696" t="s">
        <v>692</v>
      </c>
      <c r="E1696" t="s">
        <v>327</v>
      </c>
    </row>
    <row r="1697" spans="1:5" x14ac:dyDescent="0.25">
      <c r="A1697" t="s">
        <v>2548</v>
      </c>
      <c r="B1697" t="s">
        <v>692</v>
      </c>
      <c r="E1697" t="s">
        <v>327</v>
      </c>
    </row>
    <row r="1698" spans="1:5" x14ac:dyDescent="0.25">
      <c r="A1698" t="s">
        <v>2549</v>
      </c>
      <c r="B1698" t="s">
        <v>692</v>
      </c>
      <c r="E1698" t="s">
        <v>90</v>
      </c>
    </row>
    <row r="1699" spans="1:6" x14ac:dyDescent="0.25">
      <c r="A1699" t="s">
        <v>2550</v>
      </c>
      <c r="B1699" t="s">
        <v>705</v>
      </c>
      <c r="C1699" t="s">
        <v>706</v>
      </c>
      <c r="D1699" t="s">
        <v>845</v>
      </c>
      <c r="E1699" t="s">
        <v>272</v>
      </c>
      <c r="F1699" t="s">
        <v>381</v>
      </c>
    </row>
    <row r="1700" spans="1:5" x14ac:dyDescent="0.25">
      <c r="A1700" t="s">
        <v>2551</v>
      </c>
      <c r="B1700" t="s">
        <v>692</v>
      </c>
      <c r="E1700" t="s">
        <v>90</v>
      </c>
    </row>
    <row r="1701" spans="1:6" x14ac:dyDescent="0.25">
      <c r="A1701" t="s">
        <v>2552</v>
      </c>
      <c r="B1701" t="s">
        <v>794</v>
      </c>
      <c r="C1701" t="s">
        <v>706</v>
      </c>
      <c r="D1701" t="s">
        <v>2184</v>
      </c>
      <c r="E1701" t="s">
        <v>288</v>
      </c>
      <c r="F1701" t="s">
        <v>2553</v>
      </c>
    </row>
    <row r="1702" spans="1:6" x14ac:dyDescent="0.25">
      <c r="A1702" t="s">
        <v>2554</v>
      </c>
      <c r="B1702" t="s">
        <v>705</v>
      </c>
      <c r="C1702" t="s">
        <v>706</v>
      </c>
      <c r="D1702" t="s">
        <v>2184</v>
      </c>
      <c r="E1702" t="s">
        <v>2555</v>
      </c>
      <c r="F1702" t="s">
        <v>2556</v>
      </c>
    </row>
    <row r="1703" spans="1:5" x14ac:dyDescent="0.25">
      <c r="A1703" t="s">
        <v>2557</v>
      </c>
      <c r="B1703" t="s">
        <v>692</v>
      </c>
      <c r="E1703" t="s">
        <v>2558</v>
      </c>
    </row>
    <row r="1704" spans="1:6" x14ac:dyDescent="0.25">
      <c r="A1704" t="s">
        <v>2559</v>
      </c>
      <c r="B1704" t="s">
        <v>692</v>
      </c>
      <c r="E1704" t="s">
        <v>322</v>
      </c>
      <c r="F1704" t="s">
        <v>2560</v>
      </c>
    </row>
    <row r="1705" spans="1:5" x14ac:dyDescent="0.25">
      <c r="A1705" t="s">
        <v>2561</v>
      </c>
      <c r="B1705" t="s">
        <v>692</v>
      </c>
      <c r="E1705" t="s">
        <v>85</v>
      </c>
    </row>
    <row r="1706" spans="1:5" x14ac:dyDescent="0.25">
      <c r="A1706" t="s">
        <v>2562</v>
      </c>
      <c r="B1706" t="s">
        <v>692</v>
      </c>
      <c r="E1706" t="s">
        <v>85</v>
      </c>
    </row>
    <row r="1707" spans="1:6" x14ac:dyDescent="0.25">
      <c r="A1707" t="s">
        <v>2563</v>
      </c>
      <c r="B1707" t="s">
        <v>2148</v>
      </c>
      <c r="C1707" t="s">
        <v>702</v>
      </c>
      <c r="D1707" t="s">
        <v>962</v>
      </c>
      <c r="E1707" t="s">
        <v>2563</v>
      </c>
      <c r="F1707" t="s">
        <v>2563</v>
      </c>
    </row>
    <row r="1708" spans="1:6" x14ac:dyDescent="0.25">
      <c r="A1708" t="s">
        <v>2563</v>
      </c>
      <c r="B1708" t="s">
        <v>701</v>
      </c>
      <c r="C1708" t="s">
        <v>702</v>
      </c>
      <c r="D1708" t="s">
        <v>962</v>
      </c>
      <c r="E1708" t="s">
        <v>2563</v>
      </c>
      <c r="F1708" t="s">
        <v>2563</v>
      </c>
    </row>
    <row r="1709" spans="1:6" x14ac:dyDescent="0.25">
      <c r="A1709" t="s">
        <v>2563</v>
      </c>
      <c r="B1709" t="s">
        <v>2105</v>
      </c>
      <c r="C1709" t="s">
        <v>702</v>
      </c>
      <c r="D1709" t="s">
        <v>962</v>
      </c>
      <c r="E1709" t="s">
        <v>2563</v>
      </c>
      <c r="F1709" t="s">
        <v>2563</v>
      </c>
    </row>
    <row r="1710" spans="1:6" x14ac:dyDescent="0.25">
      <c r="A1710" t="s">
        <v>2564</v>
      </c>
      <c r="B1710" t="s">
        <v>701</v>
      </c>
      <c r="C1710" t="s">
        <v>746</v>
      </c>
      <c r="D1710" t="s">
        <v>2374</v>
      </c>
      <c r="E1710" t="s">
        <v>2565</v>
      </c>
      <c r="F1710" t="s">
        <v>2564</v>
      </c>
    </row>
    <row r="1711" spans="1:6" x14ac:dyDescent="0.25">
      <c r="A1711" t="s">
        <v>2566</v>
      </c>
      <c r="B1711" t="s">
        <v>701</v>
      </c>
      <c r="C1711" t="s">
        <v>746</v>
      </c>
      <c r="D1711" t="s">
        <v>2374</v>
      </c>
      <c r="E1711" t="s">
        <v>2565</v>
      </c>
      <c r="F1711" t="s">
        <v>2567</v>
      </c>
    </row>
    <row r="1712" spans="1:6" x14ac:dyDescent="0.25">
      <c r="A1712" t="s">
        <v>2568</v>
      </c>
      <c r="B1712" t="s">
        <v>701</v>
      </c>
      <c r="C1712" t="s">
        <v>746</v>
      </c>
      <c r="D1712" t="s">
        <v>2374</v>
      </c>
      <c r="E1712" t="s">
        <v>2565</v>
      </c>
      <c r="F1712" t="s">
        <v>2568</v>
      </c>
    </row>
    <row r="1713" spans="1:6" x14ac:dyDescent="0.25">
      <c r="A1713" t="s">
        <v>2569</v>
      </c>
      <c r="B1713" t="s">
        <v>2105</v>
      </c>
      <c r="C1713" t="s">
        <v>746</v>
      </c>
      <c r="D1713" t="s">
        <v>2374</v>
      </c>
      <c r="E1713" t="s">
        <v>2565</v>
      </c>
      <c r="F1713" t="s">
        <v>2569</v>
      </c>
    </row>
    <row r="1714" spans="1:6" x14ac:dyDescent="0.25">
      <c r="A1714" t="s">
        <v>2570</v>
      </c>
      <c r="B1714" t="s">
        <v>2105</v>
      </c>
      <c r="C1714" t="s">
        <v>746</v>
      </c>
      <c r="D1714" t="s">
        <v>2374</v>
      </c>
      <c r="E1714" t="s">
        <v>2565</v>
      </c>
      <c r="F1714" t="s">
        <v>2570</v>
      </c>
    </row>
    <row r="1715" spans="1:6" x14ac:dyDescent="0.25">
      <c r="A1715" t="s">
        <v>2571</v>
      </c>
      <c r="B1715" t="s">
        <v>2105</v>
      </c>
      <c r="C1715" t="s">
        <v>746</v>
      </c>
      <c r="D1715" t="s">
        <v>2374</v>
      </c>
      <c r="E1715" t="s">
        <v>2565</v>
      </c>
      <c r="F1715" t="s">
        <v>2571</v>
      </c>
    </row>
    <row r="1716" spans="1:6" x14ac:dyDescent="0.25">
      <c r="A1716" t="s">
        <v>2572</v>
      </c>
      <c r="B1716" t="s">
        <v>2105</v>
      </c>
      <c r="C1716" t="s">
        <v>746</v>
      </c>
      <c r="D1716" t="s">
        <v>2374</v>
      </c>
      <c r="E1716" t="s">
        <v>2565</v>
      </c>
      <c r="F1716" t="s">
        <v>2572</v>
      </c>
    </row>
    <row r="1717" spans="1:5" x14ac:dyDescent="0.25">
      <c r="A1717" t="s">
        <v>2573</v>
      </c>
      <c r="B1717" t="s">
        <v>692</v>
      </c>
      <c r="E1717" t="s">
        <v>129</v>
      </c>
    </row>
    <row r="1718" spans="1:5" x14ac:dyDescent="0.25">
      <c r="A1718" t="s">
        <v>2574</v>
      </c>
      <c r="B1718" t="s">
        <v>692</v>
      </c>
      <c r="E1718" t="s">
        <v>394</v>
      </c>
    </row>
    <row r="1719" spans="1:5" x14ac:dyDescent="0.25">
      <c r="A1719" t="s">
        <v>2575</v>
      </c>
      <c r="B1719" t="s">
        <v>692</v>
      </c>
      <c r="E1719" t="s">
        <v>394</v>
      </c>
    </row>
    <row r="1720" spans="1:6" x14ac:dyDescent="0.25">
      <c r="A1720" t="s">
        <v>2576</v>
      </c>
      <c r="B1720" t="s">
        <v>701</v>
      </c>
      <c r="C1720" t="s">
        <v>746</v>
      </c>
      <c r="D1720" t="s">
        <v>2198</v>
      </c>
      <c r="E1720" t="s">
        <v>2268</v>
      </c>
      <c r="F1720" t="s">
        <v>2577</v>
      </c>
    </row>
    <row r="1721" spans="1:6" x14ac:dyDescent="0.25">
      <c r="A1721" t="s">
        <v>2578</v>
      </c>
      <c r="B1721" t="s">
        <v>701</v>
      </c>
      <c r="C1721" t="s">
        <v>746</v>
      </c>
      <c r="D1721" t="s">
        <v>2198</v>
      </c>
      <c r="E1721" t="s">
        <v>2268</v>
      </c>
      <c r="F1721" t="s">
        <v>2579</v>
      </c>
    </row>
    <row r="1722" spans="1:6" x14ac:dyDescent="0.25">
      <c r="A1722" t="s">
        <v>2580</v>
      </c>
      <c r="B1722" t="s">
        <v>701</v>
      </c>
      <c r="C1722" t="s">
        <v>746</v>
      </c>
      <c r="D1722" t="s">
        <v>2198</v>
      </c>
      <c r="E1722" t="s">
        <v>2273</v>
      </c>
      <c r="F1722" t="s">
        <v>2581</v>
      </c>
    </row>
    <row r="1723" spans="1:6" x14ac:dyDescent="0.25">
      <c r="A1723" t="s">
        <v>2582</v>
      </c>
      <c r="B1723" t="s">
        <v>2105</v>
      </c>
      <c r="C1723" t="s">
        <v>746</v>
      </c>
      <c r="D1723" t="s">
        <v>2195</v>
      </c>
      <c r="E1723" t="s">
        <v>2583</v>
      </c>
      <c r="F1723" t="s">
        <v>2584</v>
      </c>
    </row>
    <row r="1724" spans="1:6" x14ac:dyDescent="0.25">
      <c r="A1724" t="s">
        <v>2585</v>
      </c>
      <c r="B1724" t="s">
        <v>2148</v>
      </c>
      <c r="C1724" t="s">
        <v>746</v>
      </c>
      <c r="D1724" t="s">
        <v>2198</v>
      </c>
      <c r="E1724" t="s">
        <v>2586</v>
      </c>
      <c r="F1724" t="s">
        <v>2585</v>
      </c>
    </row>
    <row r="1725" spans="1:6" x14ac:dyDescent="0.25">
      <c r="A1725" t="s">
        <v>2587</v>
      </c>
      <c r="B1725" t="s">
        <v>701</v>
      </c>
      <c r="C1725" t="s">
        <v>746</v>
      </c>
      <c r="D1725" t="s">
        <v>2198</v>
      </c>
      <c r="E1725" t="s">
        <v>2586</v>
      </c>
      <c r="F1725" t="s">
        <v>2588</v>
      </c>
    </row>
    <row r="1726" spans="1:6" x14ac:dyDescent="0.25">
      <c r="A1726" t="s">
        <v>2587</v>
      </c>
      <c r="B1726" t="s">
        <v>2105</v>
      </c>
      <c r="C1726" t="s">
        <v>746</v>
      </c>
      <c r="D1726" t="s">
        <v>2198</v>
      </c>
      <c r="E1726" t="s">
        <v>2586</v>
      </c>
      <c r="F1726" t="s">
        <v>2589</v>
      </c>
    </row>
    <row r="1727" spans="1:6" x14ac:dyDescent="0.25">
      <c r="A1727" t="s">
        <v>2590</v>
      </c>
      <c r="B1727" t="s">
        <v>701</v>
      </c>
      <c r="C1727" t="s">
        <v>746</v>
      </c>
      <c r="D1727" t="s">
        <v>2198</v>
      </c>
      <c r="E1727" t="s">
        <v>2586</v>
      </c>
      <c r="F1727" t="s">
        <v>2591</v>
      </c>
    </row>
    <row r="1728" spans="1:6" x14ac:dyDescent="0.25">
      <c r="A1728" t="s">
        <v>2590</v>
      </c>
      <c r="B1728" t="s">
        <v>2105</v>
      </c>
      <c r="C1728" t="s">
        <v>746</v>
      </c>
      <c r="D1728" t="s">
        <v>2198</v>
      </c>
      <c r="E1728" t="s">
        <v>2586</v>
      </c>
      <c r="F1728" t="s">
        <v>2592</v>
      </c>
    </row>
    <row r="1729" spans="1:6" x14ac:dyDescent="0.25">
      <c r="A1729" t="s">
        <v>2593</v>
      </c>
      <c r="B1729" t="s">
        <v>701</v>
      </c>
      <c r="C1729" t="s">
        <v>746</v>
      </c>
      <c r="D1729" t="s">
        <v>2195</v>
      </c>
      <c r="E1729" t="s">
        <v>2594</v>
      </c>
      <c r="F1729" t="s">
        <v>2593</v>
      </c>
    </row>
    <row r="1730" spans="1:6" x14ac:dyDescent="0.25">
      <c r="A1730" t="s">
        <v>2595</v>
      </c>
      <c r="B1730" t="s">
        <v>2105</v>
      </c>
      <c r="C1730" t="s">
        <v>746</v>
      </c>
      <c r="D1730" t="s">
        <v>2195</v>
      </c>
      <c r="E1730" t="s">
        <v>2594</v>
      </c>
      <c r="F1730" t="s">
        <v>2596</v>
      </c>
    </row>
    <row r="1731" spans="1:6" x14ac:dyDescent="0.25">
      <c r="A1731" t="s">
        <v>2597</v>
      </c>
      <c r="B1731" t="s">
        <v>701</v>
      </c>
      <c r="C1731" t="s">
        <v>746</v>
      </c>
      <c r="D1731" t="s">
        <v>2195</v>
      </c>
      <c r="E1731" t="s">
        <v>2583</v>
      </c>
      <c r="F1731" t="s">
        <v>2597</v>
      </c>
    </row>
    <row r="1732" spans="1:6" x14ac:dyDescent="0.25">
      <c r="A1732" t="s">
        <v>2597</v>
      </c>
      <c r="B1732" t="s">
        <v>2105</v>
      </c>
      <c r="C1732" t="s">
        <v>746</v>
      </c>
      <c r="D1732" t="s">
        <v>2195</v>
      </c>
      <c r="E1732" t="s">
        <v>2583</v>
      </c>
      <c r="F1732" t="s">
        <v>2598</v>
      </c>
    </row>
    <row r="1733" spans="1:6" x14ac:dyDescent="0.25">
      <c r="A1733" t="s">
        <v>2599</v>
      </c>
      <c r="B1733" t="s">
        <v>701</v>
      </c>
      <c r="C1733" t="s">
        <v>746</v>
      </c>
      <c r="D1733" t="s">
        <v>2195</v>
      </c>
      <c r="E1733" t="s">
        <v>2583</v>
      </c>
      <c r="F1733" t="s">
        <v>2599</v>
      </c>
    </row>
    <row r="1734" spans="1:6" x14ac:dyDescent="0.25">
      <c r="A1734" t="s">
        <v>2599</v>
      </c>
      <c r="B1734" t="s">
        <v>2105</v>
      </c>
      <c r="C1734" t="s">
        <v>746</v>
      </c>
      <c r="D1734" t="s">
        <v>2195</v>
      </c>
      <c r="E1734" t="s">
        <v>2583</v>
      </c>
      <c r="F1734" t="s">
        <v>2600</v>
      </c>
    </row>
    <row r="1735" spans="1:6" x14ac:dyDescent="0.25">
      <c r="A1735" t="s">
        <v>2601</v>
      </c>
      <c r="B1735" t="s">
        <v>701</v>
      </c>
      <c r="C1735" t="s">
        <v>746</v>
      </c>
      <c r="D1735" t="s">
        <v>2195</v>
      </c>
      <c r="E1735" t="s">
        <v>2583</v>
      </c>
      <c r="F1735" t="s">
        <v>2602</v>
      </c>
    </row>
    <row r="1736" spans="1:6" x14ac:dyDescent="0.25">
      <c r="A1736" t="s">
        <v>2601</v>
      </c>
      <c r="B1736" t="s">
        <v>2105</v>
      </c>
      <c r="C1736" t="s">
        <v>746</v>
      </c>
      <c r="D1736" t="s">
        <v>2195</v>
      </c>
      <c r="E1736" t="s">
        <v>2583</v>
      </c>
      <c r="F1736" t="s">
        <v>2603</v>
      </c>
    </row>
    <row r="1737" spans="1:6" x14ac:dyDescent="0.25">
      <c r="A1737" t="s">
        <v>2604</v>
      </c>
      <c r="B1737" t="s">
        <v>695</v>
      </c>
      <c r="C1737" t="s">
        <v>696</v>
      </c>
      <c r="D1737" t="s">
        <v>2134</v>
      </c>
      <c r="E1737" t="s">
        <v>1609</v>
      </c>
      <c r="F1737" t="s">
        <v>2604</v>
      </c>
    </row>
    <row r="1738" spans="1:6" x14ac:dyDescent="0.25">
      <c r="A1738" t="s">
        <v>2605</v>
      </c>
      <c r="B1738" t="s">
        <v>695</v>
      </c>
      <c r="C1738" t="s">
        <v>702</v>
      </c>
      <c r="D1738" t="s">
        <v>2606</v>
      </c>
      <c r="E1738" t="s">
        <v>2607</v>
      </c>
      <c r="F1738" t="s">
        <v>2608</v>
      </c>
    </row>
    <row r="1739" spans="1:5" x14ac:dyDescent="0.25">
      <c r="A1739" t="s">
        <v>2609</v>
      </c>
      <c r="B1739" t="s">
        <v>692</v>
      </c>
      <c r="E1739" t="s">
        <v>2610</v>
      </c>
    </row>
    <row r="1740" spans="1:5" x14ac:dyDescent="0.25">
      <c r="A1740" t="s">
        <v>2611</v>
      </c>
      <c r="B1740" t="s">
        <v>692</v>
      </c>
      <c r="E1740" t="s">
        <v>981</v>
      </c>
    </row>
    <row r="1741" spans="1:5" x14ac:dyDescent="0.25">
      <c r="A1741" t="s">
        <v>2612</v>
      </c>
      <c r="B1741" t="s">
        <v>692</v>
      </c>
      <c r="E1741" t="s">
        <v>1229</v>
      </c>
    </row>
    <row r="1742" spans="1:6" x14ac:dyDescent="0.25">
      <c r="A1742" t="s">
        <v>2613</v>
      </c>
      <c r="B1742" t="s">
        <v>692</v>
      </c>
      <c r="E1742" t="s">
        <v>1229</v>
      </c>
      <c r="F1742" t="s">
        <v>267</v>
      </c>
    </row>
    <row r="1743" spans="1:6" x14ac:dyDescent="0.25">
      <c r="A1743" t="s">
        <v>2614</v>
      </c>
      <c r="B1743" t="s">
        <v>695</v>
      </c>
      <c r="C1743" t="s">
        <v>706</v>
      </c>
      <c r="D1743" t="s">
        <v>1043</v>
      </c>
      <c r="E1743" t="s">
        <v>981</v>
      </c>
      <c r="F1743" t="s">
        <v>2615</v>
      </c>
    </row>
    <row r="1744" spans="1:6" x14ac:dyDescent="0.25">
      <c r="A1744" t="s">
        <v>2614</v>
      </c>
      <c r="B1744" t="s">
        <v>705</v>
      </c>
      <c r="C1744" t="s">
        <v>706</v>
      </c>
      <c r="D1744" t="s">
        <v>1043</v>
      </c>
      <c r="E1744" t="s">
        <v>981</v>
      </c>
      <c r="F1744" t="s">
        <v>2142</v>
      </c>
    </row>
    <row r="1745" spans="1:5" x14ac:dyDescent="0.25">
      <c r="A1745" t="s">
        <v>2616</v>
      </c>
      <c r="B1745" t="s">
        <v>692</v>
      </c>
      <c r="E1745" t="s">
        <v>90</v>
      </c>
    </row>
    <row r="1746" spans="1:5" x14ac:dyDescent="0.25">
      <c r="A1746" t="s">
        <v>2617</v>
      </c>
      <c r="B1746" t="s">
        <v>692</v>
      </c>
      <c r="E1746" t="s">
        <v>211</v>
      </c>
    </row>
    <row r="1747" spans="1:5" x14ac:dyDescent="0.25">
      <c r="A1747" t="s">
        <v>2618</v>
      </c>
      <c r="B1747" t="s">
        <v>692</v>
      </c>
      <c r="E1747" t="s">
        <v>90</v>
      </c>
    </row>
    <row r="1748" spans="1:5" x14ac:dyDescent="0.25">
      <c r="A1748" t="s">
        <v>2619</v>
      </c>
      <c r="B1748" t="s">
        <v>692</v>
      </c>
      <c r="E1748" t="s">
        <v>90</v>
      </c>
    </row>
    <row r="1749" spans="1:5" x14ac:dyDescent="0.25">
      <c r="A1749" t="s">
        <v>2620</v>
      </c>
      <c r="B1749" t="s">
        <v>692</v>
      </c>
      <c r="E1749" t="s">
        <v>633</v>
      </c>
    </row>
    <row r="1750" spans="1:5" x14ac:dyDescent="0.25">
      <c r="A1750" t="s">
        <v>2621</v>
      </c>
      <c r="B1750" t="s">
        <v>692</v>
      </c>
      <c r="E1750" t="s">
        <v>181</v>
      </c>
    </row>
    <row r="1751" spans="1:5" x14ac:dyDescent="0.25">
      <c r="A1751" t="s">
        <v>2622</v>
      </c>
      <c r="B1751" t="s">
        <v>692</v>
      </c>
      <c r="E1751" t="s">
        <v>118</v>
      </c>
    </row>
    <row r="1752" spans="1:5" x14ac:dyDescent="0.25">
      <c r="A1752" t="s">
        <v>2623</v>
      </c>
      <c r="B1752" t="s">
        <v>692</v>
      </c>
      <c r="E1752" t="s">
        <v>254</v>
      </c>
    </row>
    <row r="1753" spans="1:6" x14ac:dyDescent="0.25">
      <c r="A1753" t="s">
        <v>2624</v>
      </c>
      <c r="B1753" t="s">
        <v>692</v>
      </c>
      <c r="E1753" t="s">
        <v>254</v>
      </c>
      <c r="F1753" t="s">
        <v>189</v>
      </c>
    </row>
    <row r="1754" spans="1:6" x14ac:dyDescent="0.25">
      <c r="A1754" t="s">
        <v>2625</v>
      </c>
      <c r="B1754" t="s">
        <v>764</v>
      </c>
      <c r="C1754" t="s">
        <v>758</v>
      </c>
      <c r="D1754" t="s">
        <v>979</v>
      </c>
      <c r="E1754" t="s">
        <v>85</v>
      </c>
      <c r="F1754" t="s">
        <v>124</v>
      </c>
    </row>
    <row r="1755" spans="1:6" x14ac:dyDescent="0.25">
      <c r="A1755" t="s">
        <v>2625</v>
      </c>
      <c r="B1755" t="s">
        <v>794</v>
      </c>
      <c r="C1755" t="s">
        <v>758</v>
      </c>
      <c r="D1755" t="s">
        <v>979</v>
      </c>
      <c r="E1755" t="s">
        <v>85</v>
      </c>
      <c r="F1755" t="s">
        <v>1789</v>
      </c>
    </row>
    <row r="1756" spans="1:6" x14ac:dyDescent="0.25">
      <c r="A1756" t="s">
        <v>2626</v>
      </c>
      <c r="B1756" t="s">
        <v>794</v>
      </c>
      <c r="C1756" t="s">
        <v>758</v>
      </c>
      <c r="D1756" t="s">
        <v>759</v>
      </c>
      <c r="E1756" t="s">
        <v>322</v>
      </c>
      <c r="F1756" t="s">
        <v>322</v>
      </c>
    </row>
    <row r="1757" spans="1:5" x14ac:dyDescent="0.25">
      <c r="A1757" t="s">
        <v>2627</v>
      </c>
      <c r="B1757" t="s">
        <v>692</v>
      </c>
      <c r="E1757" t="s">
        <v>110</v>
      </c>
    </row>
    <row r="1758" spans="1:6" x14ac:dyDescent="0.25">
      <c r="A1758" t="s">
        <v>2628</v>
      </c>
      <c r="B1758" t="s">
        <v>692</v>
      </c>
      <c r="E1758" t="s">
        <v>2111</v>
      </c>
      <c r="F1758" t="s">
        <v>2629</v>
      </c>
    </row>
    <row r="1759" spans="1:6" x14ac:dyDescent="0.25">
      <c r="A1759" t="s">
        <v>2630</v>
      </c>
      <c r="B1759" t="s">
        <v>794</v>
      </c>
      <c r="C1759" t="s">
        <v>702</v>
      </c>
      <c r="D1759" t="s">
        <v>2606</v>
      </c>
      <c r="E1759" t="s">
        <v>110</v>
      </c>
      <c r="F1759" t="s">
        <v>110</v>
      </c>
    </row>
    <row r="1760" spans="1:6" x14ac:dyDescent="0.25">
      <c r="A1760" t="s">
        <v>2631</v>
      </c>
      <c r="B1760" t="s">
        <v>794</v>
      </c>
      <c r="C1760" t="s">
        <v>702</v>
      </c>
      <c r="D1760" t="s">
        <v>2606</v>
      </c>
      <c r="E1760" t="s">
        <v>110</v>
      </c>
      <c r="F1760" t="s">
        <v>110</v>
      </c>
    </row>
    <row r="1761" spans="1:6" x14ac:dyDescent="0.25">
      <c r="A1761" t="s">
        <v>2632</v>
      </c>
      <c r="B1761" t="s">
        <v>794</v>
      </c>
      <c r="C1761" t="s">
        <v>702</v>
      </c>
      <c r="D1761" t="s">
        <v>2606</v>
      </c>
      <c r="E1761" t="s">
        <v>110</v>
      </c>
      <c r="F1761" t="s">
        <v>110</v>
      </c>
    </row>
    <row r="1762" spans="1:5" x14ac:dyDescent="0.25">
      <c r="A1762" t="s">
        <v>2633</v>
      </c>
      <c r="B1762" t="s">
        <v>692</v>
      </c>
      <c r="E1762" t="s">
        <v>911</v>
      </c>
    </row>
    <row r="1763" spans="1:6" x14ac:dyDescent="0.25">
      <c r="A1763" t="s">
        <v>2634</v>
      </c>
      <c r="B1763" t="s">
        <v>764</v>
      </c>
      <c r="C1763" t="s">
        <v>758</v>
      </c>
      <c r="D1763" t="s">
        <v>765</v>
      </c>
      <c r="E1763" t="s">
        <v>337</v>
      </c>
      <c r="F1763" t="s">
        <v>337</v>
      </c>
    </row>
    <row r="1764" spans="1:6" x14ac:dyDescent="0.25">
      <c r="A1764" t="s">
        <v>2635</v>
      </c>
      <c r="B1764" t="s">
        <v>764</v>
      </c>
      <c r="C1764" t="s">
        <v>758</v>
      </c>
      <c r="D1764" t="s">
        <v>765</v>
      </c>
      <c r="E1764" t="s">
        <v>337</v>
      </c>
      <c r="F1764" t="s">
        <v>337</v>
      </c>
    </row>
    <row r="1765" spans="1:6" x14ac:dyDescent="0.25">
      <c r="A1765" t="s">
        <v>2636</v>
      </c>
      <c r="B1765" t="s">
        <v>692</v>
      </c>
      <c r="E1765" t="s">
        <v>322</v>
      </c>
      <c r="F1765" t="s">
        <v>2560</v>
      </c>
    </row>
    <row r="1766" spans="1:6" x14ac:dyDescent="0.25">
      <c r="A1766" t="s">
        <v>2637</v>
      </c>
      <c r="B1766" t="s">
        <v>701</v>
      </c>
      <c r="C1766" t="s">
        <v>702</v>
      </c>
      <c r="D1766" t="s">
        <v>761</v>
      </c>
      <c r="E1766" t="s">
        <v>389</v>
      </c>
      <c r="F1766" t="s">
        <v>762</v>
      </c>
    </row>
    <row r="1767" spans="1:6" x14ac:dyDescent="0.25">
      <c r="A1767" t="s">
        <v>2638</v>
      </c>
      <c r="B1767" t="s">
        <v>794</v>
      </c>
      <c r="C1767" t="s">
        <v>782</v>
      </c>
      <c r="D1767" t="s">
        <v>2164</v>
      </c>
      <c r="E1767" t="s">
        <v>693</v>
      </c>
      <c r="F1767" t="s">
        <v>693</v>
      </c>
    </row>
    <row r="1768" spans="1:6" x14ac:dyDescent="0.25">
      <c r="A1768" t="s">
        <v>2639</v>
      </c>
      <c r="B1768" t="s">
        <v>695</v>
      </c>
      <c r="C1768" t="s">
        <v>1138</v>
      </c>
      <c r="D1768" t="s">
        <v>2155</v>
      </c>
      <c r="E1768" t="s">
        <v>2156</v>
      </c>
      <c r="F1768" t="s">
        <v>2639</v>
      </c>
    </row>
    <row r="1769" spans="1:6" x14ac:dyDescent="0.25">
      <c r="A1769" t="s">
        <v>2640</v>
      </c>
      <c r="B1769" t="s">
        <v>2148</v>
      </c>
      <c r="C1769" t="s">
        <v>746</v>
      </c>
      <c r="D1769" t="s">
        <v>2198</v>
      </c>
      <c r="E1769" t="s">
        <v>2641</v>
      </c>
      <c r="F1769" t="s">
        <v>2640</v>
      </c>
    </row>
    <row r="1770" spans="1:6" x14ac:dyDescent="0.25">
      <c r="A1770" t="s">
        <v>2642</v>
      </c>
      <c r="B1770" t="s">
        <v>701</v>
      </c>
      <c r="C1770" t="s">
        <v>746</v>
      </c>
      <c r="D1770" t="s">
        <v>2195</v>
      </c>
      <c r="E1770" t="s">
        <v>2643</v>
      </c>
      <c r="F1770" t="s">
        <v>2642</v>
      </c>
    </row>
    <row r="1771" spans="1:6" x14ac:dyDescent="0.25">
      <c r="A1771" t="s">
        <v>2642</v>
      </c>
      <c r="B1771" t="s">
        <v>2105</v>
      </c>
      <c r="C1771" t="s">
        <v>746</v>
      </c>
      <c r="D1771" t="s">
        <v>2195</v>
      </c>
      <c r="E1771" t="s">
        <v>2643</v>
      </c>
      <c r="F1771" t="s">
        <v>2644</v>
      </c>
    </row>
    <row r="1772" spans="1:6" x14ac:dyDescent="0.25">
      <c r="A1772" t="s">
        <v>2645</v>
      </c>
      <c r="B1772" t="s">
        <v>701</v>
      </c>
      <c r="C1772" t="s">
        <v>746</v>
      </c>
      <c r="D1772" t="s">
        <v>2195</v>
      </c>
      <c r="E1772" t="s">
        <v>2643</v>
      </c>
      <c r="F1772" t="s">
        <v>2645</v>
      </c>
    </row>
    <row r="1773" spans="1:6" x14ac:dyDescent="0.25">
      <c r="A1773" t="s">
        <v>2645</v>
      </c>
      <c r="B1773" t="s">
        <v>2105</v>
      </c>
      <c r="C1773" t="s">
        <v>746</v>
      </c>
      <c r="D1773" t="s">
        <v>2195</v>
      </c>
      <c r="E1773" t="s">
        <v>2643</v>
      </c>
      <c r="F1773" t="s">
        <v>2646</v>
      </c>
    </row>
    <row r="1774" spans="1:6" x14ac:dyDescent="0.25">
      <c r="A1774" t="s">
        <v>2647</v>
      </c>
      <c r="B1774" t="s">
        <v>701</v>
      </c>
      <c r="C1774" t="s">
        <v>746</v>
      </c>
      <c r="D1774" t="s">
        <v>2195</v>
      </c>
      <c r="E1774" t="s">
        <v>2643</v>
      </c>
      <c r="F1774" t="s">
        <v>2647</v>
      </c>
    </row>
    <row r="1775" spans="1:6" x14ac:dyDescent="0.25">
      <c r="A1775" t="s">
        <v>2647</v>
      </c>
      <c r="B1775" t="s">
        <v>2105</v>
      </c>
      <c r="C1775" t="s">
        <v>746</v>
      </c>
      <c r="D1775" t="s">
        <v>2195</v>
      </c>
      <c r="E1775" t="s">
        <v>2643</v>
      </c>
      <c r="F1775" t="s">
        <v>2648</v>
      </c>
    </row>
    <row r="1776" spans="1:6" x14ac:dyDescent="0.25">
      <c r="A1776" t="s">
        <v>2649</v>
      </c>
      <c r="B1776" t="s">
        <v>701</v>
      </c>
      <c r="C1776" t="s">
        <v>746</v>
      </c>
      <c r="D1776" t="s">
        <v>2195</v>
      </c>
      <c r="E1776" t="s">
        <v>2643</v>
      </c>
      <c r="F1776" t="s">
        <v>2649</v>
      </c>
    </row>
    <row r="1777" spans="1:6" x14ac:dyDescent="0.25">
      <c r="A1777" t="s">
        <v>2649</v>
      </c>
      <c r="B1777" t="s">
        <v>2105</v>
      </c>
      <c r="C1777" t="s">
        <v>746</v>
      </c>
      <c r="D1777" t="s">
        <v>2195</v>
      </c>
      <c r="E1777" t="s">
        <v>2643</v>
      </c>
      <c r="F1777" t="s">
        <v>2650</v>
      </c>
    </row>
    <row r="1778" spans="1:6" x14ac:dyDescent="0.25">
      <c r="A1778" t="s">
        <v>2651</v>
      </c>
      <c r="B1778" t="s">
        <v>701</v>
      </c>
      <c r="C1778" t="s">
        <v>746</v>
      </c>
      <c r="D1778" t="s">
        <v>2195</v>
      </c>
      <c r="E1778" t="s">
        <v>2643</v>
      </c>
      <c r="F1778" t="s">
        <v>2651</v>
      </c>
    </row>
    <row r="1779" spans="1:6" x14ac:dyDescent="0.25">
      <c r="A1779" t="s">
        <v>2651</v>
      </c>
      <c r="B1779" t="s">
        <v>2105</v>
      </c>
      <c r="C1779" t="s">
        <v>746</v>
      </c>
      <c r="D1779" t="s">
        <v>2195</v>
      </c>
      <c r="E1779" t="s">
        <v>2643</v>
      </c>
      <c r="F1779" t="s">
        <v>2652</v>
      </c>
    </row>
    <row r="1780" spans="1:6" x14ac:dyDescent="0.25">
      <c r="A1780" t="s">
        <v>2653</v>
      </c>
      <c r="B1780" t="s">
        <v>701</v>
      </c>
      <c r="C1780" t="s">
        <v>746</v>
      </c>
      <c r="D1780" t="s">
        <v>2195</v>
      </c>
      <c r="E1780" t="s">
        <v>2643</v>
      </c>
      <c r="F1780" t="s">
        <v>2653</v>
      </c>
    </row>
    <row r="1781" spans="1:6" x14ac:dyDescent="0.25">
      <c r="A1781" t="s">
        <v>2653</v>
      </c>
      <c r="B1781" t="s">
        <v>2105</v>
      </c>
      <c r="C1781" t="s">
        <v>746</v>
      </c>
      <c r="D1781" t="s">
        <v>2195</v>
      </c>
      <c r="E1781" t="s">
        <v>2643</v>
      </c>
      <c r="F1781" t="s">
        <v>2654</v>
      </c>
    </row>
    <row r="1782" spans="1:6" x14ac:dyDescent="0.25">
      <c r="A1782" t="s">
        <v>2655</v>
      </c>
      <c r="B1782" t="s">
        <v>701</v>
      </c>
      <c r="C1782" t="s">
        <v>746</v>
      </c>
      <c r="D1782" t="s">
        <v>2198</v>
      </c>
      <c r="E1782" t="s">
        <v>2268</v>
      </c>
      <c r="F1782" t="s">
        <v>2656</v>
      </c>
    </row>
    <row r="1783" spans="1:6" x14ac:dyDescent="0.25">
      <c r="A1783" t="s">
        <v>2657</v>
      </c>
      <c r="B1783" t="s">
        <v>701</v>
      </c>
      <c r="C1783" t="s">
        <v>746</v>
      </c>
      <c r="D1783" t="s">
        <v>2198</v>
      </c>
      <c r="E1783" t="s">
        <v>2273</v>
      </c>
      <c r="F1783" t="s">
        <v>2657</v>
      </c>
    </row>
    <row r="1784" spans="1:6" x14ac:dyDescent="0.25">
      <c r="A1784" t="s">
        <v>2658</v>
      </c>
      <c r="B1784" t="s">
        <v>701</v>
      </c>
      <c r="C1784" t="s">
        <v>746</v>
      </c>
      <c r="D1784" t="s">
        <v>2198</v>
      </c>
      <c r="E1784" t="s">
        <v>2659</v>
      </c>
      <c r="F1784" t="s">
        <v>2658</v>
      </c>
    </row>
    <row r="1785" spans="1:6" x14ac:dyDescent="0.25">
      <c r="A1785" t="s">
        <v>2658</v>
      </c>
      <c r="B1785" t="s">
        <v>2105</v>
      </c>
      <c r="C1785" t="s">
        <v>746</v>
      </c>
      <c r="D1785" t="s">
        <v>2198</v>
      </c>
      <c r="E1785" t="s">
        <v>2659</v>
      </c>
      <c r="F1785" t="s">
        <v>2660</v>
      </c>
    </row>
    <row r="1786" spans="1:6" x14ac:dyDescent="0.25">
      <c r="A1786" t="s">
        <v>2661</v>
      </c>
      <c r="B1786" t="s">
        <v>701</v>
      </c>
      <c r="C1786" t="s">
        <v>746</v>
      </c>
      <c r="D1786" t="s">
        <v>2198</v>
      </c>
      <c r="E1786" t="s">
        <v>2659</v>
      </c>
      <c r="F1786" t="s">
        <v>2661</v>
      </c>
    </row>
    <row r="1787" spans="1:6" x14ac:dyDescent="0.25">
      <c r="A1787" t="s">
        <v>2661</v>
      </c>
      <c r="B1787" t="s">
        <v>2105</v>
      </c>
      <c r="C1787" t="s">
        <v>746</v>
      </c>
      <c r="D1787" t="s">
        <v>2198</v>
      </c>
      <c r="E1787" t="s">
        <v>2659</v>
      </c>
      <c r="F1787" t="s">
        <v>2662</v>
      </c>
    </row>
    <row r="1788" spans="1:6" x14ac:dyDescent="0.25">
      <c r="A1788" t="s">
        <v>2663</v>
      </c>
      <c r="B1788" t="s">
        <v>701</v>
      </c>
      <c r="C1788" t="s">
        <v>746</v>
      </c>
      <c r="D1788" t="s">
        <v>2195</v>
      </c>
      <c r="E1788" t="s">
        <v>2664</v>
      </c>
      <c r="F1788" t="s">
        <v>2665</v>
      </c>
    </row>
    <row r="1789" spans="1:6" x14ac:dyDescent="0.25">
      <c r="A1789" t="s">
        <v>2666</v>
      </c>
      <c r="B1789" t="s">
        <v>794</v>
      </c>
      <c r="C1789" t="s">
        <v>782</v>
      </c>
      <c r="D1789" t="s">
        <v>2164</v>
      </c>
      <c r="E1789" t="s">
        <v>693</v>
      </c>
      <c r="F1789" t="s">
        <v>693</v>
      </c>
    </row>
    <row r="1790" spans="1:5" x14ac:dyDescent="0.25">
      <c r="A1790" t="s">
        <v>2666</v>
      </c>
      <c r="B1790" t="s">
        <v>692</v>
      </c>
      <c r="E1790" t="s">
        <v>693</v>
      </c>
    </row>
    <row r="1791" spans="1:6" x14ac:dyDescent="0.25">
      <c r="A1791" t="s">
        <v>2667</v>
      </c>
      <c r="B1791" t="s">
        <v>2148</v>
      </c>
      <c r="C1791" t="s">
        <v>746</v>
      </c>
      <c r="D1791" t="s">
        <v>2198</v>
      </c>
      <c r="E1791" t="s">
        <v>2641</v>
      </c>
      <c r="F1791" t="s">
        <v>2667</v>
      </c>
    </row>
    <row r="1792" spans="1:6" x14ac:dyDescent="0.25">
      <c r="A1792" t="s">
        <v>2668</v>
      </c>
      <c r="B1792" t="s">
        <v>701</v>
      </c>
      <c r="C1792" t="s">
        <v>746</v>
      </c>
      <c r="D1792" t="s">
        <v>2198</v>
      </c>
      <c r="E1792" t="s">
        <v>2641</v>
      </c>
      <c r="F1792" t="s">
        <v>2668</v>
      </c>
    </row>
    <row r="1793" spans="1:6" x14ac:dyDescent="0.25">
      <c r="A1793" t="s">
        <v>2668</v>
      </c>
      <c r="B1793" t="s">
        <v>2105</v>
      </c>
      <c r="C1793" t="s">
        <v>746</v>
      </c>
      <c r="D1793" t="s">
        <v>2198</v>
      </c>
      <c r="E1793" t="s">
        <v>2641</v>
      </c>
      <c r="F1793" t="s">
        <v>2669</v>
      </c>
    </row>
    <row r="1794" spans="1:6" x14ac:dyDescent="0.25">
      <c r="A1794" t="s">
        <v>2670</v>
      </c>
      <c r="B1794" t="s">
        <v>701</v>
      </c>
      <c r="C1794" t="s">
        <v>746</v>
      </c>
      <c r="D1794" t="s">
        <v>2198</v>
      </c>
      <c r="E1794" t="s">
        <v>2641</v>
      </c>
      <c r="F1794" t="s">
        <v>2670</v>
      </c>
    </row>
    <row r="1795" spans="1:6" x14ac:dyDescent="0.25">
      <c r="A1795" t="s">
        <v>2670</v>
      </c>
      <c r="B1795" t="s">
        <v>2105</v>
      </c>
      <c r="C1795" t="s">
        <v>746</v>
      </c>
      <c r="D1795" t="s">
        <v>2198</v>
      </c>
      <c r="E1795" t="s">
        <v>2641</v>
      </c>
      <c r="F1795" t="s">
        <v>2671</v>
      </c>
    </row>
    <row r="1796" spans="1:6" x14ac:dyDescent="0.25">
      <c r="A1796" t="s">
        <v>2672</v>
      </c>
      <c r="B1796" t="s">
        <v>695</v>
      </c>
      <c r="C1796" t="s">
        <v>696</v>
      </c>
      <c r="D1796" t="s">
        <v>2127</v>
      </c>
      <c r="E1796" t="s">
        <v>2128</v>
      </c>
      <c r="F1796" t="s">
        <v>2672</v>
      </c>
    </row>
    <row r="1797" spans="1:6" x14ac:dyDescent="0.25">
      <c r="A1797" t="s">
        <v>2673</v>
      </c>
      <c r="B1797" t="s">
        <v>695</v>
      </c>
      <c r="C1797" t="s">
        <v>790</v>
      </c>
      <c r="D1797" t="s">
        <v>791</v>
      </c>
      <c r="E1797" t="s">
        <v>598</v>
      </c>
      <c r="F1797" t="s">
        <v>2673</v>
      </c>
    </row>
    <row r="1798" spans="1:5" x14ac:dyDescent="0.25">
      <c r="A1798" t="s">
        <v>2674</v>
      </c>
      <c r="B1798" t="s">
        <v>692</v>
      </c>
      <c r="E1798" t="s">
        <v>2675</v>
      </c>
    </row>
    <row r="1799" spans="1:6" x14ac:dyDescent="0.25">
      <c r="A1799" t="s">
        <v>2676</v>
      </c>
      <c r="B1799" t="s">
        <v>764</v>
      </c>
      <c r="C1799" t="s">
        <v>702</v>
      </c>
      <c r="D1799" t="s">
        <v>962</v>
      </c>
      <c r="E1799" t="s">
        <v>103</v>
      </c>
      <c r="F1799" t="s">
        <v>103</v>
      </c>
    </row>
    <row r="1800" spans="1:6" x14ac:dyDescent="0.25">
      <c r="A1800" t="s">
        <v>2677</v>
      </c>
      <c r="B1800" t="s">
        <v>764</v>
      </c>
      <c r="C1800" t="s">
        <v>702</v>
      </c>
      <c r="D1800" t="s">
        <v>962</v>
      </c>
      <c r="E1800" t="s">
        <v>103</v>
      </c>
      <c r="F1800" t="s">
        <v>103</v>
      </c>
    </row>
    <row r="1801" spans="1:6" x14ac:dyDescent="0.25">
      <c r="A1801" t="s">
        <v>2678</v>
      </c>
      <c r="B1801" t="s">
        <v>764</v>
      </c>
      <c r="C1801" t="s">
        <v>702</v>
      </c>
      <c r="D1801" t="s">
        <v>962</v>
      </c>
      <c r="E1801" t="s">
        <v>103</v>
      </c>
      <c r="F1801" t="s">
        <v>103</v>
      </c>
    </row>
    <row r="1802" spans="1:6" x14ac:dyDescent="0.25">
      <c r="A1802" t="s">
        <v>2679</v>
      </c>
      <c r="B1802" t="s">
        <v>695</v>
      </c>
      <c r="C1802" t="s">
        <v>758</v>
      </c>
      <c r="D1802" t="s">
        <v>2680</v>
      </c>
      <c r="E1802" t="s">
        <v>2681</v>
      </c>
      <c r="F1802" t="s">
        <v>2682</v>
      </c>
    </row>
    <row r="1803" spans="1:6" x14ac:dyDescent="0.25">
      <c r="A1803" t="s">
        <v>2683</v>
      </c>
      <c r="B1803" t="s">
        <v>695</v>
      </c>
      <c r="C1803" t="s">
        <v>706</v>
      </c>
      <c r="D1803" t="s">
        <v>753</v>
      </c>
      <c r="E1803" t="s">
        <v>2684</v>
      </c>
      <c r="F1803" t="s">
        <v>2685</v>
      </c>
    </row>
    <row r="1804" spans="1:6" x14ac:dyDescent="0.25">
      <c r="A1804" t="s">
        <v>2686</v>
      </c>
      <c r="B1804" t="s">
        <v>695</v>
      </c>
      <c r="C1804" t="s">
        <v>706</v>
      </c>
      <c r="D1804" t="s">
        <v>753</v>
      </c>
      <c r="E1804" t="s">
        <v>2684</v>
      </c>
      <c r="F1804" t="s">
        <v>2687</v>
      </c>
    </row>
    <row r="1805" spans="1:6" x14ac:dyDescent="0.25">
      <c r="A1805" t="s">
        <v>2688</v>
      </c>
      <c r="B1805" t="s">
        <v>695</v>
      </c>
      <c r="C1805" t="s">
        <v>706</v>
      </c>
      <c r="D1805" t="s">
        <v>2689</v>
      </c>
      <c r="E1805" t="s">
        <v>2690</v>
      </c>
      <c r="F1805" t="s">
        <v>2691</v>
      </c>
    </row>
    <row r="1806" spans="1:5" x14ac:dyDescent="0.25">
      <c r="A1806" t="s">
        <v>2692</v>
      </c>
      <c r="B1806" t="s">
        <v>692</v>
      </c>
      <c r="E1806" t="s">
        <v>370</v>
      </c>
    </row>
    <row r="1807" spans="1:5" x14ac:dyDescent="0.25">
      <c r="A1807" t="s">
        <v>2693</v>
      </c>
      <c r="B1807" t="s">
        <v>692</v>
      </c>
      <c r="E1807" t="s">
        <v>2237</v>
      </c>
    </row>
    <row r="1808" spans="1:5" x14ac:dyDescent="0.25">
      <c r="A1808" t="s">
        <v>2694</v>
      </c>
      <c r="B1808" t="s">
        <v>692</v>
      </c>
      <c r="E1808" t="s">
        <v>2175</v>
      </c>
    </row>
    <row r="1809" spans="1:5" x14ac:dyDescent="0.25">
      <c r="A1809" t="s">
        <v>2695</v>
      </c>
      <c r="B1809" t="s">
        <v>692</v>
      </c>
      <c r="E1809" t="s">
        <v>254</v>
      </c>
    </row>
    <row r="1810" spans="1:5" x14ac:dyDescent="0.25">
      <c r="A1810" t="s">
        <v>2696</v>
      </c>
      <c r="B1810" t="s">
        <v>692</v>
      </c>
      <c r="E1810" t="s">
        <v>1002</v>
      </c>
    </row>
    <row r="1811" spans="1:5" x14ac:dyDescent="0.25">
      <c r="A1811" t="s">
        <v>2697</v>
      </c>
      <c r="B1811" t="s">
        <v>692</v>
      </c>
      <c r="E1811" t="s">
        <v>1002</v>
      </c>
    </row>
    <row r="1812" spans="1:6" x14ac:dyDescent="0.25">
      <c r="A1812" t="s">
        <v>2698</v>
      </c>
      <c r="B1812" t="s">
        <v>695</v>
      </c>
      <c r="C1812" t="s">
        <v>790</v>
      </c>
      <c r="D1812" t="s">
        <v>791</v>
      </c>
      <c r="E1812" t="s">
        <v>598</v>
      </c>
      <c r="F1812" t="s">
        <v>2699</v>
      </c>
    </row>
    <row r="1813" spans="1:6" x14ac:dyDescent="0.25">
      <c r="A1813" t="s">
        <v>2700</v>
      </c>
      <c r="B1813" t="s">
        <v>695</v>
      </c>
      <c r="C1813" t="s">
        <v>790</v>
      </c>
      <c r="D1813" t="s">
        <v>791</v>
      </c>
      <c r="E1813" t="s">
        <v>598</v>
      </c>
      <c r="F1813" t="s">
        <v>2701</v>
      </c>
    </row>
    <row r="1814" spans="1:6" x14ac:dyDescent="0.25">
      <c r="A1814" t="s">
        <v>2702</v>
      </c>
      <c r="B1814" t="s">
        <v>794</v>
      </c>
      <c r="C1814" t="s">
        <v>706</v>
      </c>
      <c r="D1814" t="s">
        <v>845</v>
      </c>
      <c r="E1814" t="s">
        <v>272</v>
      </c>
      <c r="F1814" t="s">
        <v>272</v>
      </c>
    </row>
    <row r="1815" spans="1:6" x14ac:dyDescent="0.25">
      <c r="A1815" t="s">
        <v>2703</v>
      </c>
      <c r="B1815" t="s">
        <v>705</v>
      </c>
      <c r="C1815" t="s">
        <v>706</v>
      </c>
      <c r="D1815" t="s">
        <v>845</v>
      </c>
      <c r="E1815" t="s">
        <v>272</v>
      </c>
      <c r="F1815" t="s">
        <v>381</v>
      </c>
    </row>
    <row r="1816" spans="1:6" x14ac:dyDescent="0.25">
      <c r="A1816" t="s">
        <v>2704</v>
      </c>
      <c r="B1816" t="s">
        <v>695</v>
      </c>
      <c r="C1816" t="s">
        <v>706</v>
      </c>
      <c r="D1816" t="s">
        <v>845</v>
      </c>
      <c r="E1816" t="s">
        <v>272</v>
      </c>
      <c r="F1816" t="s">
        <v>2705</v>
      </c>
    </row>
    <row r="1817" spans="1:6" x14ac:dyDescent="0.25">
      <c r="A1817" t="s">
        <v>2704</v>
      </c>
      <c r="B1817" t="s">
        <v>705</v>
      </c>
      <c r="C1817" t="s">
        <v>706</v>
      </c>
      <c r="D1817" t="s">
        <v>845</v>
      </c>
      <c r="E1817" t="s">
        <v>272</v>
      </c>
      <c r="F1817" t="s">
        <v>381</v>
      </c>
    </row>
    <row r="1818" spans="1:6" x14ac:dyDescent="0.25">
      <c r="A1818" t="s">
        <v>2706</v>
      </c>
      <c r="B1818" t="s">
        <v>695</v>
      </c>
      <c r="C1818" t="s">
        <v>706</v>
      </c>
      <c r="D1818" t="s">
        <v>845</v>
      </c>
      <c r="E1818" t="s">
        <v>272</v>
      </c>
      <c r="F1818" t="s">
        <v>2707</v>
      </c>
    </row>
    <row r="1819" spans="1:6" x14ac:dyDescent="0.25">
      <c r="A1819" t="s">
        <v>2708</v>
      </c>
      <c r="B1819" t="s">
        <v>705</v>
      </c>
      <c r="C1819" t="s">
        <v>706</v>
      </c>
      <c r="D1819" t="s">
        <v>845</v>
      </c>
      <c r="E1819" t="s">
        <v>272</v>
      </c>
      <c r="F1819" t="s">
        <v>381</v>
      </c>
    </row>
    <row r="1820" spans="1:6" x14ac:dyDescent="0.25">
      <c r="A1820" t="s">
        <v>2709</v>
      </c>
      <c r="B1820" t="s">
        <v>695</v>
      </c>
      <c r="C1820" t="s">
        <v>702</v>
      </c>
      <c r="D1820" t="s">
        <v>2107</v>
      </c>
      <c r="E1820" t="s">
        <v>2108</v>
      </c>
      <c r="F1820" t="s">
        <v>2710</v>
      </c>
    </row>
    <row r="1821" spans="1:6" x14ac:dyDescent="0.25">
      <c r="A1821" t="s">
        <v>2711</v>
      </c>
      <c r="B1821" t="s">
        <v>695</v>
      </c>
      <c r="C1821" t="s">
        <v>706</v>
      </c>
      <c r="D1821" t="s">
        <v>707</v>
      </c>
      <c r="E1821" t="s">
        <v>2712</v>
      </c>
      <c r="F1821" t="s">
        <v>2713</v>
      </c>
    </row>
    <row r="1822" spans="1:5" x14ac:dyDescent="0.25">
      <c r="A1822" t="s">
        <v>2714</v>
      </c>
      <c r="B1822" t="s">
        <v>692</v>
      </c>
      <c r="E1822" t="s">
        <v>1194</v>
      </c>
    </row>
    <row r="1823" spans="1:6" x14ac:dyDescent="0.25">
      <c r="A1823" t="s">
        <v>2715</v>
      </c>
      <c r="B1823" t="s">
        <v>794</v>
      </c>
      <c r="C1823" t="s">
        <v>758</v>
      </c>
      <c r="D1823" t="s">
        <v>875</v>
      </c>
      <c r="E1823" t="s">
        <v>173</v>
      </c>
      <c r="F1823" t="s">
        <v>173</v>
      </c>
    </row>
    <row r="1824" spans="1:6" x14ac:dyDescent="0.25">
      <c r="A1824" t="s">
        <v>2716</v>
      </c>
      <c r="B1824" t="s">
        <v>794</v>
      </c>
      <c r="C1824" t="s">
        <v>758</v>
      </c>
      <c r="D1824" t="s">
        <v>875</v>
      </c>
      <c r="E1824" t="s">
        <v>173</v>
      </c>
      <c r="F1824" t="s">
        <v>173</v>
      </c>
    </row>
    <row r="1825" spans="1:5" x14ac:dyDescent="0.25">
      <c r="A1825" t="s">
        <v>2717</v>
      </c>
      <c r="B1825" t="s">
        <v>692</v>
      </c>
      <c r="E1825" t="s">
        <v>1901</v>
      </c>
    </row>
    <row r="1826" spans="1:5" x14ac:dyDescent="0.25">
      <c r="A1826" t="s">
        <v>2718</v>
      </c>
      <c r="B1826" t="s">
        <v>692</v>
      </c>
      <c r="E1826" t="s">
        <v>173</v>
      </c>
    </row>
    <row r="1827" spans="1:6" x14ac:dyDescent="0.25">
      <c r="A1827" t="s">
        <v>2719</v>
      </c>
      <c r="B1827" t="s">
        <v>794</v>
      </c>
      <c r="C1827" t="s">
        <v>782</v>
      </c>
      <c r="D1827" t="s">
        <v>783</v>
      </c>
      <c r="E1827" t="s">
        <v>280</v>
      </c>
      <c r="F1827" t="s">
        <v>2355</v>
      </c>
    </row>
    <row r="1828" spans="1:5" x14ac:dyDescent="0.25">
      <c r="A1828" t="s">
        <v>2720</v>
      </c>
      <c r="B1828" t="s">
        <v>692</v>
      </c>
      <c r="E1828" t="s">
        <v>1901</v>
      </c>
    </row>
    <row r="1829" spans="1:5" x14ac:dyDescent="0.25">
      <c r="A1829" t="s">
        <v>2721</v>
      </c>
      <c r="B1829" t="s">
        <v>692</v>
      </c>
      <c r="E1829" t="s">
        <v>85</v>
      </c>
    </row>
    <row r="1830" spans="1:6" x14ac:dyDescent="0.25">
      <c r="A1830" t="s">
        <v>2722</v>
      </c>
      <c r="B1830" t="s">
        <v>692</v>
      </c>
      <c r="E1830" t="s">
        <v>633</v>
      </c>
      <c r="F1830" t="s">
        <v>73</v>
      </c>
    </row>
    <row r="1831" spans="1:6" x14ac:dyDescent="0.25">
      <c r="A1831" t="s">
        <v>2723</v>
      </c>
      <c r="B1831" t="s">
        <v>695</v>
      </c>
      <c r="C1831" t="s">
        <v>706</v>
      </c>
      <c r="D1831" t="s">
        <v>2184</v>
      </c>
      <c r="E1831" t="s">
        <v>288</v>
      </c>
      <c r="F1831" t="s">
        <v>2724</v>
      </c>
    </row>
    <row r="1832" spans="1:6" x14ac:dyDescent="0.25">
      <c r="A1832" t="s">
        <v>2723</v>
      </c>
      <c r="B1832" t="s">
        <v>794</v>
      </c>
      <c r="C1832" t="s">
        <v>706</v>
      </c>
      <c r="D1832" t="s">
        <v>2184</v>
      </c>
      <c r="E1832" t="s">
        <v>288</v>
      </c>
      <c r="F1832" t="s">
        <v>2553</v>
      </c>
    </row>
    <row r="1833" spans="1:6" x14ac:dyDescent="0.25">
      <c r="A1833" t="s">
        <v>2723</v>
      </c>
      <c r="B1833" t="s">
        <v>705</v>
      </c>
      <c r="C1833" t="s">
        <v>706</v>
      </c>
      <c r="D1833" t="s">
        <v>2184</v>
      </c>
      <c r="E1833" t="s">
        <v>288</v>
      </c>
      <c r="F1833" t="s">
        <v>2370</v>
      </c>
    </row>
    <row r="1834" spans="1:6" x14ac:dyDescent="0.25">
      <c r="A1834" t="s">
        <v>2725</v>
      </c>
      <c r="B1834" t="s">
        <v>695</v>
      </c>
      <c r="C1834" t="s">
        <v>706</v>
      </c>
      <c r="D1834" t="s">
        <v>2184</v>
      </c>
      <c r="E1834" t="s">
        <v>288</v>
      </c>
      <c r="F1834" t="s">
        <v>2726</v>
      </c>
    </row>
    <row r="1835" spans="1:6" x14ac:dyDescent="0.25">
      <c r="A1835" t="s">
        <v>2725</v>
      </c>
      <c r="B1835" t="s">
        <v>794</v>
      </c>
      <c r="C1835" t="s">
        <v>706</v>
      </c>
      <c r="D1835" t="s">
        <v>2184</v>
      </c>
      <c r="E1835" t="s">
        <v>288</v>
      </c>
      <c r="F1835" t="s">
        <v>2553</v>
      </c>
    </row>
    <row r="1836" spans="1:6" x14ac:dyDescent="0.25">
      <c r="A1836" t="s">
        <v>2725</v>
      </c>
      <c r="B1836" t="s">
        <v>705</v>
      </c>
      <c r="C1836" t="s">
        <v>706</v>
      </c>
      <c r="D1836" t="s">
        <v>2184</v>
      </c>
      <c r="E1836" t="s">
        <v>288</v>
      </c>
      <c r="F1836" t="s">
        <v>2370</v>
      </c>
    </row>
    <row r="1837" spans="1:6" x14ac:dyDescent="0.25">
      <c r="A1837" t="s">
        <v>2727</v>
      </c>
      <c r="B1837" t="s">
        <v>794</v>
      </c>
      <c r="C1837" t="s">
        <v>782</v>
      </c>
      <c r="D1837" t="s">
        <v>2164</v>
      </c>
      <c r="E1837" t="s">
        <v>693</v>
      </c>
      <c r="F1837" t="s">
        <v>693</v>
      </c>
    </row>
    <row r="1838" spans="1:6" x14ac:dyDescent="0.25">
      <c r="A1838" t="s">
        <v>2201</v>
      </c>
      <c r="B1838" t="s">
        <v>2148</v>
      </c>
      <c r="C1838" t="s">
        <v>706</v>
      </c>
      <c r="D1838" t="s">
        <v>1918</v>
      </c>
      <c r="E1838" t="s">
        <v>2201</v>
      </c>
      <c r="F1838" t="s">
        <v>2201</v>
      </c>
    </row>
    <row r="1839" spans="1:6" x14ac:dyDescent="0.25">
      <c r="A1839" t="s">
        <v>2201</v>
      </c>
      <c r="B1839" t="s">
        <v>701</v>
      </c>
      <c r="C1839" t="s">
        <v>706</v>
      </c>
      <c r="D1839" t="s">
        <v>1918</v>
      </c>
      <c r="E1839" t="s">
        <v>2201</v>
      </c>
      <c r="F1839" t="s">
        <v>2201</v>
      </c>
    </row>
    <row r="1840" spans="1:6" x14ac:dyDescent="0.25">
      <c r="A1840" t="s">
        <v>2201</v>
      </c>
      <c r="B1840" t="s">
        <v>2105</v>
      </c>
      <c r="C1840" t="s">
        <v>706</v>
      </c>
      <c r="D1840" t="s">
        <v>1918</v>
      </c>
      <c r="E1840" t="s">
        <v>2201</v>
      </c>
      <c r="F1840" t="s">
        <v>2201</v>
      </c>
    </row>
    <row r="1841" spans="1:5" x14ac:dyDescent="0.25">
      <c r="A1841" t="s">
        <v>192</v>
      </c>
      <c r="B1841" t="s">
        <v>692</v>
      </c>
      <c r="E1841" t="s">
        <v>193</v>
      </c>
    </row>
    <row r="1842" spans="1:5" x14ac:dyDescent="0.25">
      <c r="A1842" t="s">
        <v>2728</v>
      </c>
      <c r="B1842" t="s">
        <v>692</v>
      </c>
      <c r="E1842" t="s">
        <v>97</v>
      </c>
    </row>
    <row r="1843" spans="1:5" x14ac:dyDescent="0.25">
      <c r="A1843" t="s">
        <v>2729</v>
      </c>
      <c r="B1843" t="s">
        <v>692</v>
      </c>
      <c r="E1843" t="s">
        <v>97</v>
      </c>
    </row>
    <row r="1844" spans="1:6" x14ac:dyDescent="0.25">
      <c r="A1844" t="s">
        <v>2730</v>
      </c>
      <c r="B1844" t="s">
        <v>794</v>
      </c>
      <c r="C1844" t="s">
        <v>702</v>
      </c>
      <c r="D1844" t="s">
        <v>761</v>
      </c>
      <c r="E1844" t="s">
        <v>389</v>
      </c>
      <c r="F1844" t="s">
        <v>1007</v>
      </c>
    </row>
    <row r="1845" spans="1:5" x14ac:dyDescent="0.25">
      <c r="A1845" t="s">
        <v>2731</v>
      </c>
      <c r="B1845" t="s">
        <v>692</v>
      </c>
      <c r="E1845" t="s">
        <v>327</v>
      </c>
    </row>
    <row r="1846" spans="1:5" x14ac:dyDescent="0.25">
      <c r="A1846" t="s">
        <v>2732</v>
      </c>
      <c r="B1846" t="s">
        <v>692</v>
      </c>
      <c r="E1846" t="s">
        <v>327</v>
      </c>
    </row>
    <row r="1847" spans="1:6" x14ac:dyDescent="0.25">
      <c r="A1847" t="s">
        <v>2733</v>
      </c>
      <c r="B1847" t="s">
        <v>695</v>
      </c>
      <c r="C1847" t="s">
        <v>696</v>
      </c>
      <c r="D1847" t="s">
        <v>2134</v>
      </c>
      <c r="E1847" t="s">
        <v>1609</v>
      </c>
      <c r="F1847" t="s">
        <v>2734</v>
      </c>
    </row>
    <row r="1848" spans="1:6" x14ac:dyDescent="0.25">
      <c r="A1848" t="s">
        <v>2735</v>
      </c>
      <c r="B1848" t="s">
        <v>695</v>
      </c>
      <c r="C1848" t="s">
        <v>696</v>
      </c>
      <c r="D1848" t="s">
        <v>2134</v>
      </c>
      <c r="E1848" t="s">
        <v>1609</v>
      </c>
      <c r="F1848" t="s">
        <v>2736</v>
      </c>
    </row>
    <row r="1849" spans="1:6" x14ac:dyDescent="0.25">
      <c r="A1849" t="s">
        <v>2737</v>
      </c>
      <c r="B1849" t="s">
        <v>695</v>
      </c>
      <c r="C1849" t="s">
        <v>696</v>
      </c>
      <c r="D1849" t="s">
        <v>2134</v>
      </c>
      <c r="E1849" t="s">
        <v>1609</v>
      </c>
      <c r="F1849" t="s">
        <v>2738</v>
      </c>
    </row>
    <row r="1850" spans="1:5" x14ac:dyDescent="0.25">
      <c r="A1850" t="s">
        <v>2739</v>
      </c>
      <c r="B1850" t="s">
        <v>692</v>
      </c>
      <c r="E1850" t="s">
        <v>370</v>
      </c>
    </row>
    <row r="1851" spans="1:5" x14ac:dyDescent="0.25">
      <c r="A1851" t="s">
        <v>2740</v>
      </c>
      <c r="B1851" t="s">
        <v>692</v>
      </c>
      <c r="E1851" t="s">
        <v>193</v>
      </c>
    </row>
    <row r="1852" spans="1:6" x14ac:dyDescent="0.25">
      <c r="A1852" t="s">
        <v>2741</v>
      </c>
      <c r="B1852" t="s">
        <v>794</v>
      </c>
      <c r="C1852" t="s">
        <v>782</v>
      </c>
      <c r="D1852" t="s">
        <v>2164</v>
      </c>
      <c r="E1852" t="s">
        <v>693</v>
      </c>
      <c r="F1852" t="s">
        <v>693</v>
      </c>
    </row>
    <row r="1853" spans="1:6" x14ac:dyDescent="0.25">
      <c r="A1853" t="s">
        <v>2742</v>
      </c>
      <c r="B1853" t="s">
        <v>794</v>
      </c>
      <c r="C1853" t="s">
        <v>782</v>
      </c>
      <c r="D1853" t="s">
        <v>2164</v>
      </c>
      <c r="E1853" t="s">
        <v>693</v>
      </c>
      <c r="F1853" t="s">
        <v>693</v>
      </c>
    </row>
    <row r="1854" spans="1:6" x14ac:dyDescent="0.25">
      <c r="A1854" t="s">
        <v>2743</v>
      </c>
      <c r="B1854" t="s">
        <v>794</v>
      </c>
      <c r="C1854" t="s">
        <v>782</v>
      </c>
      <c r="D1854" t="s">
        <v>2164</v>
      </c>
      <c r="E1854" t="s">
        <v>693</v>
      </c>
      <c r="F1854" t="s">
        <v>693</v>
      </c>
    </row>
    <row r="1855" spans="1:6" x14ac:dyDescent="0.25">
      <c r="A1855" t="s">
        <v>2744</v>
      </c>
      <c r="B1855" t="s">
        <v>794</v>
      </c>
      <c r="C1855" t="s">
        <v>782</v>
      </c>
      <c r="D1855" t="s">
        <v>2164</v>
      </c>
      <c r="E1855" t="s">
        <v>693</v>
      </c>
      <c r="F1855" t="s">
        <v>693</v>
      </c>
    </row>
    <row r="1856" spans="1:6" x14ac:dyDescent="0.25">
      <c r="A1856" t="s">
        <v>2745</v>
      </c>
      <c r="B1856" t="s">
        <v>794</v>
      </c>
      <c r="C1856" t="s">
        <v>782</v>
      </c>
      <c r="D1856" t="s">
        <v>2164</v>
      </c>
      <c r="E1856" t="s">
        <v>693</v>
      </c>
      <c r="F1856" t="s">
        <v>693</v>
      </c>
    </row>
    <row r="1857" spans="1:5" x14ac:dyDescent="0.25">
      <c r="A1857" t="s">
        <v>2746</v>
      </c>
      <c r="B1857" t="s">
        <v>692</v>
      </c>
      <c r="E1857" t="s">
        <v>1566</v>
      </c>
    </row>
    <row r="1858" spans="1:6" x14ac:dyDescent="0.25">
      <c r="A1858" t="s">
        <v>2747</v>
      </c>
      <c r="B1858" t="s">
        <v>794</v>
      </c>
      <c r="C1858" t="s">
        <v>758</v>
      </c>
      <c r="D1858" t="s">
        <v>875</v>
      </c>
      <c r="E1858" t="s">
        <v>173</v>
      </c>
      <c r="F1858" t="s">
        <v>173</v>
      </c>
    </row>
    <row r="1859" spans="1:5" x14ac:dyDescent="0.25">
      <c r="A1859" t="s">
        <v>2748</v>
      </c>
      <c r="B1859" t="s">
        <v>692</v>
      </c>
      <c r="E1859" t="s">
        <v>2213</v>
      </c>
    </row>
    <row r="1860" spans="1:5" x14ac:dyDescent="0.25">
      <c r="A1860" t="s">
        <v>2749</v>
      </c>
      <c r="B1860" t="s">
        <v>692</v>
      </c>
      <c r="E1860" t="s">
        <v>129</v>
      </c>
    </row>
    <row r="1861" spans="1:5" x14ac:dyDescent="0.25">
      <c r="A1861" t="s">
        <v>2750</v>
      </c>
      <c r="B1861" t="s">
        <v>692</v>
      </c>
      <c r="E1861" t="s">
        <v>129</v>
      </c>
    </row>
    <row r="1862" spans="1:6" x14ac:dyDescent="0.25">
      <c r="A1862" t="s">
        <v>2751</v>
      </c>
      <c r="B1862" t="s">
        <v>692</v>
      </c>
      <c r="E1862" t="s">
        <v>129</v>
      </c>
      <c r="F1862" t="s">
        <v>130</v>
      </c>
    </row>
    <row r="1863" spans="1:5" x14ac:dyDescent="0.25">
      <c r="A1863" t="s">
        <v>2752</v>
      </c>
      <c r="B1863" t="s">
        <v>692</v>
      </c>
      <c r="E1863" t="s">
        <v>2341</v>
      </c>
    </row>
    <row r="1864" spans="1:6" x14ac:dyDescent="0.25">
      <c r="A1864" t="s">
        <v>2752</v>
      </c>
      <c r="B1864" t="s">
        <v>695</v>
      </c>
      <c r="C1864" t="s">
        <v>706</v>
      </c>
      <c r="D1864" t="s">
        <v>2139</v>
      </c>
      <c r="E1864" t="s">
        <v>2341</v>
      </c>
      <c r="F1864" t="s">
        <v>2753</v>
      </c>
    </row>
    <row r="1865" spans="1:6" x14ac:dyDescent="0.25">
      <c r="A1865" t="s">
        <v>2754</v>
      </c>
      <c r="B1865" t="s">
        <v>695</v>
      </c>
      <c r="C1865" t="s">
        <v>706</v>
      </c>
      <c r="D1865" t="s">
        <v>2139</v>
      </c>
      <c r="E1865" t="s">
        <v>2341</v>
      </c>
      <c r="F1865" t="s">
        <v>2755</v>
      </c>
    </row>
    <row r="1866" spans="1:5" x14ac:dyDescent="0.25">
      <c r="A1866" t="s">
        <v>2756</v>
      </c>
      <c r="B1866" t="s">
        <v>692</v>
      </c>
      <c r="E1866" t="s">
        <v>598</v>
      </c>
    </row>
    <row r="1867" spans="1:6" x14ac:dyDescent="0.25">
      <c r="A1867" t="s">
        <v>2757</v>
      </c>
      <c r="B1867" t="s">
        <v>705</v>
      </c>
      <c r="C1867" t="s">
        <v>1138</v>
      </c>
      <c r="D1867" t="s">
        <v>1139</v>
      </c>
      <c r="E1867" t="s">
        <v>181</v>
      </c>
      <c r="F1867" t="s">
        <v>2758</v>
      </c>
    </row>
    <row r="1868" spans="1:6" x14ac:dyDescent="0.25">
      <c r="A1868" t="s">
        <v>2759</v>
      </c>
      <c r="B1868" t="s">
        <v>695</v>
      </c>
      <c r="C1868" t="s">
        <v>790</v>
      </c>
      <c r="D1868" t="s">
        <v>791</v>
      </c>
      <c r="E1868" t="s">
        <v>598</v>
      </c>
      <c r="F1868" t="s">
        <v>2760</v>
      </c>
    </row>
    <row r="1869" spans="1:5" x14ac:dyDescent="0.25">
      <c r="A1869" t="s">
        <v>2759</v>
      </c>
      <c r="B1869" t="s">
        <v>692</v>
      </c>
      <c r="E1869" t="s">
        <v>598</v>
      </c>
    </row>
    <row r="1870" spans="1:5" x14ac:dyDescent="0.25">
      <c r="A1870" t="s">
        <v>2761</v>
      </c>
      <c r="B1870" t="s">
        <v>692</v>
      </c>
      <c r="E1870" t="s">
        <v>2762</v>
      </c>
    </row>
    <row r="1871" spans="1:5" x14ac:dyDescent="0.25">
      <c r="A1871" t="s">
        <v>2763</v>
      </c>
      <c r="B1871" t="s">
        <v>692</v>
      </c>
      <c r="E1871" t="s">
        <v>2762</v>
      </c>
    </row>
    <row r="1872" spans="1:5" x14ac:dyDescent="0.25">
      <c r="A1872" t="s">
        <v>2764</v>
      </c>
      <c r="B1872" t="s">
        <v>692</v>
      </c>
      <c r="E1872" t="s">
        <v>118</v>
      </c>
    </row>
    <row r="1873" spans="1:6" x14ac:dyDescent="0.25">
      <c r="A1873" t="s">
        <v>2765</v>
      </c>
      <c r="B1873" t="s">
        <v>692</v>
      </c>
      <c r="E1873" t="s">
        <v>181</v>
      </c>
      <c r="F1873" t="s">
        <v>120</v>
      </c>
    </row>
    <row r="1874" spans="1:6" x14ac:dyDescent="0.25">
      <c r="A1874" t="s">
        <v>2766</v>
      </c>
      <c r="B1874" t="s">
        <v>2148</v>
      </c>
      <c r="C1874" t="s">
        <v>782</v>
      </c>
      <c r="D1874" t="s">
        <v>836</v>
      </c>
      <c r="E1874" t="s">
        <v>2766</v>
      </c>
      <c r="F1874" t="s">
        <v>2766</v>
      </c>
    </row>
    <row r="1875" spans="1:6" x14ac:dyDescent="0.25">
      <c r="A1875" t="s">
        <v>2767</v>
      </c>
      <c r="B1875" t="s">
        <v>695</v>
      </c>
      <c r="C1875" t="s">
        <v>706</v>
      </c>
      <c r="D1875" t="s">
        <v>845</v>
      </c>
      <c r="E1875" t="s">
        <v>272</v>
      </c>
      <c r="F1875" t="s">
        <v>2768</v>
      </c>
    </row>
    <row r="1876" spans="1:6" x14ac:dyDescent="0.25">
      <c r="A1876" t="s">
        <v>2769</v>
      </c>
      <c r="B1876" t="s">
        <v>695</v>
      </c>
      <c r="C1876" t="s">
        <v>706</v>
      </c>
      <c r="D1876" t="s">
        <v>845</v>
      </c>
      <c r="E1876" t="s">
        <v>272</v>
      </c>
      <c r="F1876" t="s">
        <v>2770</v>
      </c>
    </row>
    <row r="1877" spans="1:6" x14ac:dyDescent="0.25">
      <c r="A1877" t="s">
        <v>2769</v>
      </c>
      <c r="B1877" t="s">
        <v>794</v>
      </c>
      <c r="C1877" t="s">
        <v>706</v>
      </c>
      <c r="D1877" t="s">
        <v>845</v>
      </c>
      <c r="E1877" t="s">
        <v>272</v>
      </c>
      <c r="F1877" t="s">
        <v>272</v>
      </c>
    </row>
    <row r="1878" spans="1:6" x14ac:dyDescent="0.25">
      <c r="A1878" t="s">
        <v>2771</v>
      </c>
      <c r="B1878" t="s">
        <v>794</v>
      </c>
      <c r="C1878" t="s">
        <v>706</v>
      </c>
      <c r="D1878" t="s">
        <v>845</v>
      </c>
      <c r="E1878" t="s">
        <v>272</v>
      </c>
      <c r="F1878" t="s">
        <v>272</v>
      </c>
    </row>
    <row r="1879" spans="1:6" x14ac:dyDescent="0.25">
      <c r="A1879" t="s">
        <v>2772</v>
      </c>
      <c r="B1879" t="s">
        <v>695</v>
      </c>
      <c r="C1879" t="s">
        <v>1138</v>
      </c>
      <c r="D1879" t="s">
        <v>1139</v>
      </c>
      <c r="E1879" t="s">
        <v>181</v>
      </c>
      <c r="F1879" t="s">
        <v>2773</v>
      </c>
    </row>
    <row r="1880" spans="1:5" x14ac:dyDescent="0.25">
      <c r="A1880" t="s">
        <v>2774</v>
      </c>
      <c r="B1880" t="s">
        <v>692</v>
      </c>
      <c r="E1880" t="s">
        <v>272</v>
      </c>
    </row>
    <row r="1881" spans="1:5" x14ac:dyDescent="0.25">
      <c r="A1881" t="s">
        <v>2775</v>
      </c>
      <c r="B1881" t="s">
        <v>692</v>
      </c>
      <c r="E1881" t="s">
        <v>272</v>
      </c>
    </row>
    <row r="1882" spans="1:5" x14ac:dyDescent="0.25">
      <c r="A1882" t="s">
        <v>2776</v>
      </c>
      <c r="B1882" t="s">
        <v>692</v>
      </c>
      <c r="E1882" t="s">
        <v>2331</v>
      </c>
    </row>
    <row r="1883" spans="1:6" x14ac:dyDescent="0.25">
      <c r="A1883" t="s">
        <v>2777</v>
      </c>
      <c r="B1883" t="s">
        <v>695</v>
      </c>
      <c r="C1883" t="s">
        <v>758</v>
      </c>
      <c r="D1883" t="s">
        <v>2680</v>
      </c>
      <c r="E1883" t="s">
        <v>2492</v>
      </c>
      <c r="F1883" t="s">
        <v>2778</v>
      </c>
    </row>
    <row r="1884" spans="1:5" x14ac:dyDescent="0.25">
      <c r="A1884" t="s">
        <v>2779</v>
      </c>
      <c r="B1884" t="s">
        <v>692</v>
      </c>
      <c r="E1884" t="s">
        <v>370</v>
      </c>
    </row>
    <row r="1885" spans="1:5" x14ac:dyDescent="0.25">
      <c r="A1885" t="s">
        <v>2780</v>
      </c>
      <c r="B1885" t="s">
        <v>692</v>
      </c>
      <c r="E1885" t="s">
        <v>370</v>
      </c>
    </row>
    <row r="1886" spans="1:6" x14ac:dyDescent="0.25">
      <c r="A1886" t="s">
        <v>2781</v>
      </c>
      <c r="B1886" t="s">
        <v>692</v>
      </c>
      <c r="E1886" t="s">
        <v>370</v>
      </c>
      <c r="F1886" t="s">
        <v>2782</v>
      </c>
    </row>
    <row r="1887" spans="1:5" x14ac:dyDescent="0.25">
      <c r="A1887" t="s">
        <v>2781</v>
      </c>
      <c r="B1887" t="s">
        <v>692</v>
      </c>
      <c r="E1887" t="s">
        <v>370</v>
      </c>
    </row>
    <row r="1888" spans="1:6" x14ac:dyDescent="0.25">
      <c r="A1888" t="s">
        <v>2783</v>
      </c>
      <c r="B1888" t="s">
        <v>692</v>
      </c>
      <c r="E1888" t="s">
        <v>370</v>
      </c>
      <c r="F1888" t="s">
        <v>73</v>
      </c>
    </row>
    <row r="1889" spans="1:6" x14ac:dyDescent="0.25">
      <c r="A1889" t="s">
        <v>2784</v>
      </c>
      <c r="B1889" t="s">
        <v>692</v>
      </c>
      <c r="E1889" t="s">
        <v>272</v>
      </c>
      <c r="F1889" t="s">
        <v>120</v>
      </c>
    </row>
    <row r="1890" spans="1:5" x14ac:dyDescent="0.25">
      <c r="A1890" t="s">
        <v>2785</v>
      </c>
      <c r="B1890" t="s">
        <v>692</v>
      </c>
      <c r="E1890" t="s">
        <v>370</v>
      </c>
    </row>
    <row r="1891" spans="1:5" x14ac:dyDescent="0.25">
      <c r="A1891" t="s">
        <v>2786</v>
      </c>
      <c r="B1891" t="s">
        <v>692</v>
      </c>
      <c r="E1891" t="s">
        <v>1527</v>
      </c>
    </row>
    <row r="1892" spans="1:5" x14ac:dyDescent="0.25">
      <c r="A1892" t="s">
        <v>2787</v>
      </c>
      <c r="B1892" t="s">
        <v>692</v>
      </c>
      <c r="E1892" t="s">
        <v>1527</v>
      </c>
    </row>
    <row r="1893" spans="1:5" x14ac:dyDescent="0.25">
      <c r="A1893" t="s">
        <v>2788</v>
      </c>
      <c r="B1893" t="s">
        <v>692</v>
      </c>
      <c r="E1893" t="s">
        <v>288</v>
      </c>
    </row>
    <row r="1894" spans="1:5" x14ac:dyDescent="0.25">
      <c r="A1894" t="s">
        <v>2789</v>
      </c>
      <c r="B1894" t="s">
        <v>692</v>
      </c>
      <c r="E1894" t="s">
        <v>288</v>
      </c>
    </row>
    <row r="1895" spans="1:5" x14ac:dyDescent="0.25">
      <c r="A1895" t="s">
        <v>2790</v>
      </c>
      <c r="B1895" t="s">
        <v>692</v>
      </c>
      <c r="E1895" t="s">
        <v>288</v>
      </c>
    </row>
    <row r="1896" spans="1:6" x14ac:dyDescent="0.25">
      <c r="A1896" t="s">
        <v>2791</v>
      </c>
      <c r="B1896" t="s">
        <v>695</v>
      </c>
      <c r="C1896" t="s">
        <v>790</v>
      </c>
      <c r="D1896" t="s">
        <v>791</v>
      </c>
      <c r="E1896" t="s">
        <v>598</v>
      </c>
      <c r="F1896" t="s">
        <v>2792</v>
      </c>
    </row>
    <row r="1897" spans="1:5" x14ac:dyDescent="0.25">
      <c r="A1897" t="s">
        <v>2793</v>
      </c>
      <c r="B1897" t="s">
        <v>692</v>
      </c>
      <c r="E1897" t="s">
        <v>1527</v>
      </c>
    </row>
    <row r="1898" spans="1:5" x14ac:dyDescent="0.25">
      <c r="A1898" t="s">
        <v>2794</v>
      </c>
      <c r="B1898" t="s">
        <v>692</v>
      </c>
      <c r="E1898" t="s">
        <v>181</v>
      </c>
    </row>
    <row r="1899" spans="1:5" x14ac:dyDescent="0.25">
      <c r="A1899" t="s">
        <v>2795</v>
      </c>
      <c r="B1899" t="s">
        <v>692</v>
      </c>
      <c r="E1899" t="s">
        <v>181</v>
      </c>
    </row>
    <row r="1900" spans="1:6" x14ac:dyDescent="0.25">
      <c r="A1900" t="s">
        <v>2796</v>
      </c>
      <c r="B1900" t="s">
        <v>695</v>
      </c>
      <c r="C1900" t="s">
        <v>1138</v>
      </c>
      <c r="D1900" t="s">
        <v>1139</v>
      </c>
      <c r="E1900" t="s">
        <v>1002</v>
      </c>
      <c r="F1900" t="s">
        <v>2797</v>
      </c>
    </row>
    <row r="1901" spans="1:5" x14ac:dyDescent="0.25">
      <c r="A1901" t="s">
        <v>2796</v>
      </c>
      <c r="B1901" t="s">
        <v>692</v>
      </c>
      <c r="E1901" t="s">
        <v>1002</v>
      </c>
    </row>
    <row r="1902" spans="1:6" x14ac:dyDescent="0.25">
      <c r="A1902" t="s">
        <v>2798</v>
      </c>
      <c r="B1902" t="s">
        <v>695</v>
      </c>
      <c r="C1902" t="s">
        <v>696</v>
      </c>
      <c r="D1902" t="s">
        <v>2101</v>
      </c>
      <c r="E1902" t="s">
        <v>2102</v>
      </c>
      <c r="F1902" t="s">
        <v>2798</v>
      </c>
    </row>
    <row r="1903" spans="1:5" x14ac:dyDescent="0.25">
      <c r="A1903" t="s">
        <v>2799</v>
      </c>
      <c r="B1903" t="s">
        <v>692</v>
      </c>
      <c r="E1903" t="s">
        <v>288</v>
      </c>
    </row>
    <row r="1904" spans="1:6" x14ac:dyDescent="0.25">
      <c r="A1904" t="s">
        <v>2800</v>
      </c>
      <c r="B1904" t="s">
        <v>764</v>
      </c>
      <c r="C1904" t="s">
        <v>702</v>
      </c>
      <c r="D1904" t="s">
        <v>962</v>
      </c>
      <c r="E1904" t="s">
        <v>103</v>
      </c>
      <c r="F1904" t="s">
        <v>103</v>
      </c>
    </row>
    <row r="1905" spans="1:6" x14ac:dyDescent="0.25">
      <c r="A1905" t="s">
        <v>2801</v>
      </c>
      <c r="B1905" t="s">
        <v>2357</v>
      </c>
      <c r="C1905" t="s">
        <v>696</v>
      </c>
      <c r="D1905" t="s">
        <v>2127</v>
      </c>
      <c r="E1905" t="s">
        <v>2128</v>
      </c>
      <c r="F1905" t="s">
        <v>2801</v>
      </c>
    </row>
    <row r="1906" spans="1:5" x14ac:dyDescent="0.25">
      <c r="A1906" t="s">
        <v>2802</v>
      </c>
      <c r="B1906" t="s">
        <v>692</v>
      </c>
      <c r="E1906" t="s">
        <v>814</v>
      </c>
    </row>
    <row r="1907" spans="1:5" x14ac:dyDescent="0.25">
      <c r="A1907" t="s">
        <v>2803</v>
      </c>
      <c r="B1907" t="s">
        <v>692</v>
      </c>
      <c r="E1907" t="s">
        <v>606</v>
      </c>
    </row>
    <row r="1908" spans="1:6" x14ac:dyDescent="0.25">
      <c r="A1908" t="s">
        <v>2804</v>
      </c>
      <c r="B1908" t="s">
        <v>695</v>
      </c>
      <c r="C1908" t="s">
        <v>702</v>
      </c>
      <c r="D1908" t="s">
        <v>2107</v>
      </c>
      <c r="E1908" t="s">
        <v>129</v>
      </c>
      <c r="F1908" t="s">
        <v>2805</v>
      </c>
    </row>
    <row r="1909" spans="1:6" x14ac:dyDescent="0.25">
      <c r="A1909" t="s">
        <v>2806</v>
      </c>
      <c r="B1909" t="s">
        <v>695</v>
      </c>
      <c r="C1909" t="s">
        <v>702</v>
      </c>
      <c r="D1909" t="s">
        <v>2107</v>
      </c>
      <c r="E1909" t="s">
        <v>129</v>
      </c>
      <c r="F1909" t="s">
        <v>2807</v>
      </c>
    </row>
    <row r="1910" spans="1:6" x14ac:dyDescent="0.25">
      <c r="A1910" t="s">
        <v>2808</v>
      </c>
      <c r="B1910" t="s">
        <v>764</v>
      </c>
      <c r="C1910" t="s">
        <v>702</v>
      </c>
      <c r="D1910" t="s">
        <v>761</v>
      </c>
      <c r="E1910" t="s">
        <v>327</v>
      </c>
      <c r="F1910" t="s">
        <v>924</v>
      </c>
    </row>
    <row r="1911" spans="1:6" x14ac:dyDescent="0.25">
      <c r="A1911" t="s">
        <v>2809</v>
      </c>
      <c r="B1911" t="s">
        <v>701</v>
      </c>
      <c r="C1911" t="s">
        <v>758</v>
      </c>
      <c r="D1911" t="s">
        <v>759</v>
      </c>
      <c r="E1911" t="s">
        <v>246</v>
      </c>
      <c r="F1911" t="s">
        <v>246</v>
      </c>
    </row>
    <row r="1912" spans="1:6" x14ac:dyDescent="0.25">
      <c r="A1912" t="s">
        <v>2810</v>
      </c>
      <c r="B1912" t="s">
        <v>701</v>
      </c>
      <c r="C1912" t="s">
        <v>758</v>
      </c>
      <c r="D1912" t="s">
        <v>759</v>
      </c>
      <c r="E1912" t="s">
        <v>246</v>
      </c>
      <c r="F1912" t="s">
        <v>246</v>
      </c>
    </row>
    <row r="1913" spans="1:5" x14ac:dyDescent="0.25">
      <c r="A1913" t="s">
        <v>2811</v>
      </c>
      <c r="B1913" t="s">
        <v>692</v>
      </c>
      <c r="E1913" t="s">
        <v>103</v>
      </c>
    </row>
    <row r="1914" spans="1:5" x14ac:dyDescent="0.25">
      <c r="A1914" t="s">
        <v>2812</v>
      </c>
      <c r="B1914" t="s">
        <v>692</v>
      </c>
      <c r="E1914" t="s">
        <v>97</v>
      </c>
    </row>
    <row r="1915" spans="1:6" x14ac:dyDescent="0.25">
      <c r="A1915" t="s">
        <v>2813</v>
      </c>
      <c r="B1915" t="s">
        <v>695</v>
      </c>
      <c r="C1915" t="s">
        <v>696</v>
      </c>
      <c r="D1915" t="s">
        <v>2101</v>
      </c>
      <c r="E1915" t="s">
        <v>2102</v>
      </c>
      <c r="F1915" t="s">
        <v>2813</v>
      </c>
    </row>
    <row r="1916" spans="1:6" x14ac:dyDescent="0.25">
      <c r="A1916" t="s">
        <v>2814</v>
      </c>
      <c r="B1916" t="s">
        <v>2148</v>
      </c>
      <c r="C1916" t="s">
        <v>782</v>
      </c>
      <c r="D1916" t="s">
        <v>836</v>
      </c>
      <c r="E1916" t="s">
        <v>2815</v>
      </c>
      <c r="F1916" t="s">
        <v>2814</v>
      </c>
    </row>
    <row r="1917" spans="1:6" x14ac:dyDescent="0.25">
      <c r="A1917" t="s">
        <v>2816</v>
      </c>
      <c r="B1917" t="s">
        <v>692</v>
      </c>
      <c r="E1917" t="s">
        <v>606</v>
      </c>
      <c r="F1917" t="s">
        <v>120</v>
      </c>
    </row>
    <row r="1918" spans="1:6" x14ac:dyDescent="0.25">
      <c r="A1918" t="s">
        <v>2817</v>
      </c>
      <c r="B1918" t="s">
        <v>692</v>
      </c>
      <c r="E1918" t="s">
        <v>606</v>
      </c>
      <c r="F1918" t="s">
        <v>120</v>
      </c>
    </row>
    <row r="1919" spans="1:6" x14ac:dyDescent="0.25">
      <c r="A1919" t="s">
        <v>2818</v>
      </c>
      <c r="B1919" t="s">
        <v>692</v>
      </c>
      <c r="E1919" t="s">
        <v>2819</v>
      </c>
      <c r="F1919" t="s">
        <v>73</v>
      </c>
    </row>
    <row r="1920" spans="1:6" x14ac:dyDescent="0.25">
      <c r="A1920" t="s">
        <v>2820</v>
      </c>
      <c r="B1920" t="s">
        <v>764</v>
      </c>
      <c r="C1920" t="s">
        <v>702</v>
      </c>
      <c r="D1920" t="s">
        <v>761</v>
      </c>
      <c r="E1920" t="s">
        <v>327</v>
      </c>
      <c r="F1920" t="s">
        <v>924</v>
      </c>
    </row>
    <row r="1921" spans="1:6" x14ac:dyDescent="0.25">
      <c r="A1921" t="s">
        <v>2821</v>
      </c>
      <c r="B1921" t="s">
        <v>695</v>
      </c>
      <c r="C1921" t="s">
        <v>702</v>
      </c>
      <c r="D1921" t="s">
        <v>2606</v>
      </c>
      <c r="E1921" t="s">
        <v>2607</v>
      </c>
      <c r="F1921" t="s">
        <v>2822</v>
      </c>
    </row>
    <row r="1922" spans="1:5" x14ac:dyDescent="0.25">
      <c r="A1922" t="s">
        <v>2823</v>
      </c>
      <c r="B1922" t="s">
        <v>692</v>
      </c>
      <c r="E1922" t="s">
        <v>2311</v>
      </c>
    </row>
    <row r="1923" spans="1:6" x14ac:dyDescent="0.25">
      <c r="A1923" t="s">
        <v>2824</v>
      </c>
      <c r="B1923" t="s">
        <v>695</v>
      </c>
      <c r="C1923" t="s">
        <v>706</v>
      </c>
      <c r="D1923" t="s">
        <v>753</v>
      </c>
      <c r="E1923" t="s">
        <v>313</v>
      </c>
      <c r="F1923" t="s">
        <v>2825</v>
      </c>
    </row>
    <row r="1924" spans="1:6" x14ac:dyDescent="0.25">
      <c r="A1924" t="s">
        <v>2826</v>
      </c>
      <c r="B1924" t="s">
        <v>2105</v>
      </c>
      <c r="C1924" t="s">
        <v>702</v>
      </c>
      <c r="D1924" t="s">
        <v>2107</v>
      </c>
      <c r="E1924" t="s">
        <v>2401</v>
      </c>
      <c r="F1924" t="s">
        <v>2826</v>
      </c>
    </row>
    <row r="1925" spans="1:6" x14ac:dyDescent="0.25">
      <c r="A1925" t="s">
        <v>2827</v>
      </c>
      <c r="B1925" t="s">
        <v>2105</v>
      </c>
      <c r="C1925" t="s">
        <v>702</v>
      </c>
      <c r="D1925" t="s">
        <v>2107</v>
      </c>
      <c r="E1925" t="s">
        <v>2401</v>
      </c>
      <c r="F1925" t="s">
        <v>2827</v>
      </c>
    </row>
    <row r="1926" spans="1:6" x14ac:dyDescent="0.25">
      <c r="A1926" t="s">
        <v>2828</v>
      </c>
      <c r="B1926" t="s">
        <v>695</v>
      </c>
      <c r="C1926" t="s">
        <v>702</v>
      </c>
      <c r="D1926" t="s">
        <v>2107</v>
      </c>
      <c r="E1926" t="s">
        <v>2108</v>
      </c>
      <c r="F1926" t="s">
        <v>2829</v>
      </c>
    </row>
    <row r="1927" spans="1:6" x14ac:dyDescent="0.25">
      <c r="A1927" t="s">
        <v>2830</v>
      </c>
      <c r="B1927" t="s">
        <v>695</v>
      </c>
      <c r="C1927" t="s">
        <v>702</v>
      </c>
      <c r="D1927" t="s">
        <v>2107</v>
      </c>
      <c r="E1927" t="s">
        <v>2831</v>
      </c>
      <c r="F1927" t="s">
        <v>2832</v>
      </c>
    </row>
    <row r="1928" spans="1:6" x14ac:dyDescent="0.25">
      <c r="A1928" t="s">
        <v>2833</v>
      </c>
      <c r="B1928" t="s">
        <v>695</v>
      </c>
      <c r="C1928" t="s">
        <v>702</v>
      </c>
      <c r="D1928" t="s">
        <v>2107</v>
      </c>
      <c r="E1928" t="s">
        <v>2108</v>
      </c>
      <c r="F1928" t="s">
        <v>2834</v>
      </c>
    </row>
    <row r="1929" spans="1:5" x14ac:dyDescent="0.25">
      <c r="A1929" t="s">
        <v>2835</v>
      </c>
      <c r="B1929" t="s">
        <v>692</v>
      </c>
      <c r="E1929" t="s">
        <v>327</v>
      </c>
    </row>
    <row r="1930" spans="1:5" x14ac:dyDescent="0.25">
      <c r="A1930" t="s">
        <v>2836</v>
      </c>
      <c r="B1930" t="s">
        <v>692</v>
      </c>
      <c r="E1930" t="s">
        <v>110</v>
      </c>
    </row>
    <row r="1931" spans="1:6" x14ac:dyDescent="0.25">
      <c r="A1931" t="s">
        <v>2837</v>
      </c>
      <c r="B1931" t="s">
        <v>764</v>
      </c>
      <c r="C1931" t="s">
        <v>758</v>
      </c>
      <c r="D1931" t="s">
        <v>765</v>
      </c>
      <c r="E1931" t="s">
        <v>337</v>
      </c>
      <c r="F1931" t="s">
        <v>337</v>
      </c>
    </row>
    <row r="1932" spans="1:6" x14ac:dyDescent="0.25">
      <c r="A1932" t="s">
        <v>2838</v>
      </c>
      <c r="B1932" t="s">
        <v>692</v>
      </c>
      <c r="E1932" t="s">
        <v>2839</v>
      </c>
      <c r="F1932" t="s">
        <v>2840</v>
      </c>
    </row>
    <row r="1933" spans="1:6" x14ac:dyDescent="0.25">
      <c r="A1933" t="s">
        <v>2841</v>
      </c>
      <c r="B1933" t="s">
        <v>692</v>
      </c>
      <c r="E1933" t="s">
        <v>2839</v>
      </c>
      <c r="F1933" t="s">
        <v>2840</v>
      </c>
    </row>
    <row r="1934" spans="1:6" x14ac:dyDescent="0.25">
      <c r="A1934" t="s">
        <v>2842</v>
      </c>
      <c r="B1934" t="s">
        <v>692</v>
      </c>
      <c r="E1934" t="s">
        <v>2839</v>
      </c>
      <c r="F1934" t="s">
        <v>2840</v>
      </c>
    </row>
    <row r="1935" spans="1:6" x14ac:dyDescent="0.25">
      <c r="A1935" t="s">
        <v>2843</v>
      </c>
      <c r="B1935" t="s">
        <v>692</v>
      </c>
      <c r="E1935" t="s">
        <v>2839</v>
      </c>
      <c r="F1935" t="s">
        <v>2840</v>
      </c>
    </row>
    <row r="1936" spans="1:6" x14ac:dyDescent="0.25">
      <c r="A1936" t="s">
        <v>2844</v>
      </c>
      <c r="B1936" t="s">
        <v>692</v>
      </c>
      <c r="E1936" t="s">
        <v>2839</v>
      </c>
      <c r="F1936" t="s">
        <v>2840</v>
      </c>
    </row>
    <row r="1937" spans="1:6" x14ac:dyDescent="0.25">
      <c r="A1937" t="s">
        <v>2845</v>
      </c>
      <c r="B1937" t="s">
        <v>764</v>
      </c>
      <c r="C1937" t="s">
        <v>758</v>
      </c>
      <c r="D1937" t="s">
        <v>765</v>
      </c>
      <c r="E1937" t="s">
        <v>337</v>
      </c>
      <c r="F1937" t="s">
        <v>337</v>
      </c>
    </row>
    <row r="1938" spans="1:6" x14ac:dyDescent="0.25">
      <c r="A1938" t="s">
        <v>2846</v>
      </c>
      <c r="B1938" t="s">
        <v>764</v>
      </c>
      <c r="C1938" t="s">
        <v>758</v>
      </c>
      <c r="D1938" t="s">
        <v>765</v>
      </c>
      <c r="E1938" t="s">
        <v>337</v>
      </c>
      <c r="F1938" t="s">
        <v>337</v>
      </c>
    </row>
    <row r="1939" spans="1:6" x14ac:dyDescent="0.25">
      <c r="A1939" t="s">
        <v>2847</v>
      </c>
      <c r="B1939" t="s">
        <v>764</v>
      </c>
      <c r="C1939" t="s">
        <v>758</v>
      </c>
      <c r="D1939" t="s">
        <v>765</v>
      </c>
      <c r="E1939" t="s">
        <v>337</v>
      </c>
      <c r="F1939" t="s">
        <v>337</v>
      </c>
    </row>
    <row r="1940" spans="1:6" x14ac:dyDescent="0.25">
      <c r="A1940" t="s">
        <v>2848</v>
      </c>
      <c r="B1940" t="s">
        <v>764</v>
      </c>
      <c r="C1940" t="s">
        <v>782</v>
      </c>
      <c r="D1940" t="s">
        <v>849</v>
      </c>
      <c r="E1940" t="s">
        <v>850</v>
      </c>
      <c r="F1940" t="s">
        <v>851</v>
      </c>
    </row>
    <row r="1941" spans="1:6" x14ac:dyDescent="0.25">
      <c r="A1941" t="s">
        <v>2849</v>
      </c>
      <c r="B1941" t="s">
        <v>764</v>
      </c>
      <c r="C1941" t="s">
        <v>782</v>
      </c>
      <c r="D1941" t="s">
        <v>849</v>
      </c>
      <c r="E1941" t="s">
        <v>850</v>
      </c>
      <c r="F1941" t="s">
        <v>851</v>
      </c>
    </row>
    <row r="1942" spans="1:6" x14ac:dyDescent="0.25">
      <c r="A1942" t="s">
        <v>2850</v>
      </c>
      <c r="B1942" t="s">
        <v>764</v>
      </c>
      <c r="C1942" t="s">
        <v>782</v>
      </c>
      <c r="D1942" t="s">
        <v>849</v>
      </c>
      <c r="E1942" t="s">
        <v>850</v>
      </c>
      <c r="F1942" t="s">
        <v>851</v>
      </c>
    </row>
    <row r="1943" spans="1:6" x14ac:dyDescent="0.25">
      <c r="A1943" t="s">
        <v>2851</v>
      </c>
      <c r="B1943" t="s">
        <v>695</v>
      </c>
      <c r="C1943" t="s">
        <v>702</v>
      </c>
      <c r="D1943" t="s">
        <v>2107</v>
      </c>
      <c r="E1943" t="s">
        <v>1224</v>
      </c>
      <c r="F1943" t="s">
        <v>2852</v>
      </c>
    </row>
    <row r="1944" spans="1:6" x14ac:dyDescent="0.25">
      <c r="A1944" t="s">
        <v>2853</v>
      </c>
      <c r="B1944" t="s">
        <v>695</v>
      </c>
      <c r="C1944" t="s">
        <v>702</v>
      </c>
      <c r="D1944" t="s">
        <v>2107</v>
      </c>
      <c r="E1944" t="s">
        <v>1224</v>
      </c>
      <c r="F1944" t="s">
        <v>2854</v>
      </c>
    </row>
    <row r="1945" spans="1:6" x14ac:dyDescent="0.25">
      <c r="A1945" t="s">
        <v>2855</v>
      </c>
      <c r="B1945" t="s">
        <v>695</v>
      </c>
      <c r="C1945" t="s">
        <v>696</v>
      </c>
      <c r="D1945" t="s">
        <v>2219</v>
      </c>
      <c r="E1945" t="s">
        <v>2220</v>
      </c>
      <c r="F1945" t="s">
        <v>2855</v>
      </c>
    </row>
    <row r="1946" spans="1:6" x14ac:dyDescent="0.25">
      <c r="A1946" t="s">
        <v>2856</v>
      </c>
      <c r="B1946" t="s">
        <v>695</v>
      </c>
      <c r="C1946" t="s">
        <v>696</v>
      </c>
      <c r="D1946" t="s">
        <v>2219</v>
      </c>
      <c r="E1946" t="s">
        <v>2220</v>
      </c>
      <c r="F1946" t="s">
        <v>2856</v>
      </c>
    </row>
    <row r="1947" spans="1:6" x14ac:dyDescent="0.25">
      <c r="A1947" t="s">
        <v>2857</v>
      </c>
      <c r="B1947" t="s">
        <v>695</v>
      </c>
      <c r="C1947" t="s">
        <v>706</v>
      </c>
      <c r="D1947" t="s">
        <v>753</v>
      </c>
      <c r="E1947" t="s">
        <v>360</v>
      </c>
      <c r="F1947" t="s">
        <v>2858</v>
      </c>
    </row>
    <row r="1948" spans="1:6" x14ac:dyDescent="0.25">
      <c r="A1948" t="s">
        <v>2857</v>
      </c>
      <c r="B1948" t="s">
        <v>705</v>
      </c>
      <c r="C1948" t="s">
        <v>706</v>
      </c>
      <c r="D1948" t="s">
        <v>753</v>
      </c>
      <c r="E1948" t="s">
        <v>360</v>
      </c>
      <c r="F1948" t="s">
        <v>2859</v>
      </c>
    </row>
    <row r="1949" spans="1:6" x14ac:dyDescent="0.25">
      <c r="A1949" t="s">
        <v>359</v>
      </c>
      <c r="B1949" t="s">
        <v>705</v>
      </c>
      <c r="C1949" t="s">
        <v>706</v>
      </c>
      <c r="D1949" t="s">
        <v>753</v>
      </c>
      <c r="E1949" t="s">
        <v>360</v>
      </c>
      <c r="F1949" t="s">
        <v>2859</v>
      </c>
    </row>
    <row r="1950" spans="1:5" x14ac:dyDescent="0.25">
      <c r="A1950" t="s">
        <v>2860</v>
      </c>
      <c r="B1950" t="s">
        <v>692</v>
      </c>
      <c r="E1950" t="s">
        <v>360</v>
      </c>
    </row>
    <row r="1951" spans="1:6" x14ac:dyDescent="0.25">
      <c r="A1951" t="s">
        <v>2861</v>
      </c>
      <c r="B1951" t="s">
        <v>695</v>
      </c>
      <c r="C1951" t="s">
        <v>706</v>
      </c>
      <c r="D1951" t="s">
        <v>845</v>
      </c>
      <c r="E1951" t="s">
        <v>272</v>
      </c>
      <c r="F1951" t="s">
        <v>2862</v>
      </c>
    </row>
    <row r="1952" spans="1:6" x14ac:dyDescent="0.25">
      <c r="A1952" t="s">
        <v>2861</v>
      </c>
      <c r="B1952" t="s">
        <v>705</v>
      </c>
      <c r="C1952" t="s">
        <v>706</v>
      </c>
      <c r="D1952" t="s">
        <v>845</v>
      </c>
      <c r="E1952" t="s">
        <v>272</v>
      </c>
      <c r="F1952" t="s">
        <v>381</v>
      </c>
    </row>
    <row r="1953" spans="1:6" x14ac:dyDescent="0.25">
      <c r="A1953" t="s">
        <v>2863</v>
      </c>
      <c r="B1953" t="s">
        <v>695</v>
      </c>
      <c r="C1953" t="s">
        <v>706</v>
      </c>
      <c r="D1953" t="s">
        <v>845</v>
      </c>
      <c r="E1953" t="s">
        <v>272</v>
      </c>
      <c r="F1953" t="s">
        <v>2864</v>
      </c>
    </row>
    <row r="1954" spans="1:6" x14ac:dyDescent="0.25">
      <c r="A1954" t="s">
        <v>2865</v>
      </c>
      <c r="B1954" t="s">
        <v>695</v>
      </c>
      <c r="C1954" t="s">
        <v>706</v>
      </c>
      <c r="D1954" t="s">
        <v>753</v>
      </c>
      <c r="E1954" t="s">
        <v>360</v>
      </c>
      <c r="F1954" t="s">
        <v>2866</v>
      </c>
    </row>
    <row r="1955" spans="1:6" x14ac:dyDescent="0.25">
      <c r="A1955" t="s">
        <v>2867</v>
      </c>
      <c r="B1955" t="s">
        <v>705</v>
      </c>
      <c r="C1955" t="s">
        <v>706</v>
      </c>
      <c r="D1955" t="s">
        <v>753</v>
      </c>
      <c r="E1955" t="s">
        <v>360</v>
      </c>
      <c r="F1955" t="s">
        <v>2859</v>
      </c>
    </row>
    <row r="1956" spans="1:6" x14ac:dyDescent="0.25">
      <c r="A1956" t="s">
        <v>2868</v>
      </c>
      <c r="B1956" t="s">
        <v>794</v>
      </c>
      <c r="C1956" t="s">
        <v>706</v>
      </c>
      <c r="D1956" t="s">
        <v>1043</v>
      </c>
      <c r="E1956" t="s">
        <v>981</v>
      </c>
      <c r="F1956" t="s">
        <v>981</v>
      </c>
    </row>
    <row r="1957" spans="1:5" x14ac:dyDescent="0.25">
      <c r="A1957" t="s">
        <v>2869</v>
      </c>
      <c r="B1957" t="s">
        <v>692</v>
      </c>
      <c r="E1957" t="s">
        <v>981</v>
      </c>
    </row>
    <row r="1958" spans="1:5" x14ac:dyDescent="0.25">
      <c r="A1958" t="s">
        <v>2870</v>
      </c>
      <c r="B1958" t="s">
        <v>692</v>
      </c>
      <c r="E1958" t="s">
        <v>360</v>
      </c>
    </row>
    <row r="1959" spans="1:6" x14ac:dyDescent="0.25">
      <c r="A1959" t="s">
        <v>2871</v>
      </c>
      <c r="B1959" t="s">
        <v>695</v>
      </c>
      <c r="C1959" t="s">
        <v>706</v>
      </c>
      <c r="D1959" t="s">
        <v>753</v>
      </c>
      <c r="E1959" t="s">
        <v>360</v>
      </c>
      <c r="F1959" t="s">
        <v>2872</v>
      </c>
    </row>
    <row r="1960" spans="1:6" x14ac:dyDescent="0.25">
      <c r="A1960" t="s">
        <v>2873</v>
      </c>
      <c r="B1960" t="s">
        <v>695</v>
      </c>
      <c r="C1960" t="s">
        <v>696</v>
      </c>
      <c r="D1960" t="s">
        <v>697</v>
      </c>
      <c r="E1960" t="s">
        <v>2362</v>
      </c>
      <c r="F1960" t="s">
        <v>2874</v>
      </c>
    </row>
    <row r="1961" spans="1:6" x14ac:dyDescent="0.25">
      <c r="A1961" t="s">
        <v>2875</v>
      </c>
      <c r="B1961" t="s">
        <v>695</v>
      </c>
      <c r="C1961" t="s">
        <v>706</v>
      </c>
      <c r="D1961" t="s">
        <v>753</v>
      </c>
      <c r="E1961" t="s">
        <v>360</v>
      </c>
      <c r="F1961" t="s">
        <v>2876</v>
      </c>
    </row>
    <row r="1962" spans="1:6" x14ac:dyDescent="0.25">
      <c r="A1962" t="s">
        <v>2877</v>
      </c>
      <c r="B1962" t="s">
        <v>705</v>
      </c>
      <c r="C1962" t="s">
        <v>706</v>
      </c>
      <c r="D1962" t="s">
        <v>753</v>
      </c>
      <c r="E1962" t="s">
        <v>313</v>
      </c>
      <c r="F1962" t="s">
        <v>2125</v>
      </c>
    </row>
    <row r="1963" spans="1:6" x14ac:dyDescent="0.25">
      <c r="A1963" t="s">
        <v>2878</v>
      </c>
      <c r="B1963" t="s">
        <v>695</v>
      </c>
      <c r="C1963" t="s">
        <v>706</v>
      </c>
      <c r="D1963" t="s">
        <v>753</v>
      </c>
      <c r="E1963" t="s">
        <v>360</v>
      </c>
      <c r="F1963" t="s">
        <v>2879</v>
      </c>
    </row>
    <row r="1964" spans="1:6" x14ac:dyDescent="0.25">
      <c r="A1964" t="s">
        <v>2880</v>
      </c>
      <c r="B1964" t="s">
        <v>705</v>
      </c>
      <c r="C1964" t="s">
        <v>706</v>
      </c>
      <c r="D1964" t="s">
        <v>753</v>
      </c>
      <c r="E1964" t="s">
        <v>313</v>
      </c>
      <c r="F1964" t="s">
        <v>2125</v>
      </c>
    </row>
    <row r="1965" spans="1:6" x14ac:dyDescent="0.25">
      <c r="A1965" t="s">
        <v>2881</v>
      </c>
      <c r="B1965" t="s">
        <v>695</v>
      </c>
      <c r="C1965" t="s">
        <v>706</v>
      </c>
      <c r="D1965" t="s">
        <v>753</v>
      </c>
      <c r="E1965" t="s">
        <v>313</v>
      </c>
      <c r="F1965" t="s">
        <v>2882</v>
      </c>
    </row>
    <row r="1966" spans="1:6" x14ac:dyDescent="0.25">
      <c r="A1966" t="s">
        <v>2883</v>
      </c>
      <c r="B1966" t="s">
        <v>705</v>
      </c>
      <c r="C1966" t="s">
        <v>706</v>
      </c>
      <c r="D1966" t="s">
        <v>845</v>
      </c>
      <c r="E1966" t="s">
        <v>272</v>
      </c>
      <c r="F1966" t="s">
        <v>381</v>
      </c>
    </row>
    <row r="1967" spans="1:6" x14ac:dyDescent="0.25">
      <c r="A1967" t="s">
        <v>2884</v>
      </c>
      <c r="B1967" t="s">
        <v>705</v>
      </c>
      <c r="C1967" t="s">
        <v>706</v>
      </c>
      <c r="D1967" t="s">
        <v>845</v>
      </c>
      <c r="E1967" t="s">
        <v>272</v>
      </c>
      <c r="F1967" t="s">
        <v>381</v>
      </c>
    </row>
    <row r="1968" spans="1:6" x14ac:dyDescent="0.25">
      <c r="A1968" t="s">
        <v>2885</v>
      </c>
      <c r="B1968" t="s">
        <v>695</v>
      </c>
      <c r="C1968" t="s">
        <v>706</v>
      </c>
      <c r="D1968" t="s">
        <v>1043</v>
      </c>
      <c r="E1968" t="s">
        <v>981</v>
      </c>
      <c r="F1968" t="s">
        <v>2886</v>
      </c>
    </row>
    <row r="1969" spans="1:6" x14ac:dyDescent="0.25">
      <c r="A1969" t="s">
        <v>2885</v>
      </c>
      <c r="B1969" t="s">
        <v>705</v>
      </c>
      <c r="C1969" t="s">
        <v>706</v>
      </c>
      <c r="D1969" t="s">
        <v>1043</v>
      </c>
      <c r="E1969" t="s">
        <v>981</v>
      </c>
      <c r="F1969" t="s">
        <v>2142</v>
      </c>
    </row>
    <row r="1970" spans="1:5" x14ac:dyDescent="0.25">
      <c r="A1970" t="s">
        <v>2885</v>
      </c>
      <c r="B1970" t="s">
        <v>692</v>
      </c>
      <c r="E1970" t="s">
        <v>981</v>
      </c>
    </row>
    <row r="1971" spans="1:6" x14ac:dyDescent="0.25">
      <c r="A1971" t="s">
        <v>2887</v>
      </c>
      <c r="B1971" t="s">
        <v>692</v>
      </c>
      <c r="E1971" t="s">
        <v>606</v>
      </c>
      <c r="F1971" t="s">
        <v>120</v>
      </c>
    </row>
    <row r="1972" spans="1:6" x14ac:dyDescent="0.25">
      <c r="A1972" t="s">
        <v>2888</v>
      </c>
      <c r="B1972" t="s">
        <v>705</v>
      </c>
      <c r="C1972" t="s">
        <v>706</v>
      </c>
      <c r="D1972" t="s">
        <v>2184</v>
      </c>
      <c r="E1972" t="s">
        <v>2555</v>
      </c>
      <c r="F1972" t="s">
        <v>2556</v>
      </c>
    </row>
    <row r="1973" spans="1:6" x14ac:dyDescent="0.25">
      <c r="A1973" t="s">
        <v>2889</v>
      </c>
      <c r="B1973" t="s">
        <v>705</v>
      </c>
      <c r="C1973" t="s">
        <v>706</v>
      </c>
      <c r="D1973" t="s">
        <v>2184</v>
      </c>
      <c r="E1973" t="s">
        <v>2555</v>
      </c>
      <c r="F1973" t="s">
        <v>2556</v>
      </c>
    </row>
    <row r="1974" spans="1:5" x14ac:dyDescent="0.25">
      <c r="A1974" t="s">
        <v>2890</v>
      </c>
      <c r="B1974" t="s">
        <v>692</v>
      </c>
      <c r="E1974" t="s">
        <v>814</v>
      </c>
    </row>
    <row r="1975" spans="1:6" x14ac:dyDescent="0.25">
      <c r="A1975" t="s">
        <v>231</v>
      </c>
      <c r="B1975" t="s">
        <v>794</v>
      </c>
      <c r="C1975" t="s">
        <v>782</v>
      </c>
      <c r="D1975" t="s">
        <v>2891</v>
      </c>
      <c r="E1975" t="s">
        <v>232</v>
      </c>
      <c r="F1975" t="s">
        <v>231</v>
      </c>
    </row>
    <row r="1976" spans="1:5" x14ac:dyDescent="0.25">
      <c r="A1976" t="s">
        <v>2892</v>
      </c>
      <c r="B1976" t="s">
        <v>692</v>
      </c>
      <c r="E1976" t="s">
        <v>232</v>
      </c>
    </row>
    <row r="1977" spans="1:5" x14ac:dyDescent="0.25">
      <c r="A1977" t="s">
        <v>2893</v>
      </c>
      <c r="B1977" t="s">
        <v>692</v>
      </c>
      <c r="E1977" t="s">
        <v>232</v>
      </c>
    </row>
    <row r="1978" spans="1:6" x14ac:dyDescent="0.25">
      <c r="A1978" t="s">
        <v>2894</v>
      </c>
      <c r="B1978" t="s">
        <v>705</v>
      </c>
      <c r="C1978" t="s">
        <v>706</v>
      </c>
      <c r="D1978" t="s">
        <v>2184</v>
      </c>
      <c r="E1978" t="s">
        <v>288</v>
      </c>
      <c r="F1978" t="s">
        <v>2370</v>
      </c>
    </row>
    <row r="1979" spans="1:6" x14ac:dyDescent="0.25">
      <c r="A1979" t="s">
        <v>2895</v>
      </c>
      <c r="B1979" t="s">
        <v>692</v>
      </c>
      <c r="E1979" t="s">
        <v>288</v>
      </c>
      <c r="F1979" t="s">
        <v>290</v>
      </c>
    </row>
    <row r="1980" spans="1:6" x14ac:dyDescent="0.25">
      <c r="A1980" t="s">
        <v>2896</v>
      </c>
      <c r="B1980" t="s">
        <v>695</v>
      </c>
      <c r="C1980" t="s">
        <v>706</v>
      </c>
      <c r="D1980" t="s">
        <v>2184</v>
      </c>
      <c r="E1980" t="s">
        <v>288</v>
      </c>
      <c r="F1980" t="s">
        <v>2897</v>
      </c>
    </row>
    <row r="1981" spans="1:6" x14ac:dyDescent="0.25">
      <c r="A1981" t="s">
        <v>2898</v>
      </c>
      <c r="B1981" t="s">
        <v>2357</v>
      </c>
      <c r="C1981" t="s">
        <v>702</v>
      </c>
      <c r="D1981" t="s">
        <v>2107</v>
      </c>
      <c r="E1981" t="s">
        <v>2108</v>
      </c>
      <c r="F1981" t="s">
        <v>2898</v>
      </c>
    </row>
    <row r="1982" spans="1:5" x14ac:dyDescent="0.25">
      <c r="A1982" t="s">
        <v>2899</v>
      </c>
      <c r="B1982" t="s">
        <v>692</v>
      </c>
      <c r="E1982" t="s">
        <v>1002</v>
      </c>
    </row>
    <row r="1983" spans="1:5" x14ac:dyDescent="0.25">
      <c r="A1983" t="s">
        <v>2900</v>
      </c>
      <c r="B1983" t="s">
        <v>692</v>
      </c>
      <c r="E1983" t="s">
        <v>1002</v>
      </c>
    </row>
    <row r="1984" spans="1:6" x14ac:dyDescent="0.25">
      <c r="A1984" t="s">
        <v>2901</v>
      </c>
      <c r="B1984" t="s">
        <v>695</v>
      </c>
      <c r="C1984" t="s">
        <v>1138</v>
      </c>
      <c r="D1984" t="s">
        <v>1139</v>
      </c>
      <c r="E1984" t="s">
        <v>1002</v>
      </c>
      <c r="F1984" t="s">
        <v>2902</v>
      </c>
    </row>
    <row r="1985" spans="1:6" x14ac:dyDescent="0.25">
      <c r="A1985" t="s">
        <v>2901</v>
      </c>
      <c r="B1985" t="s">
        <v>705</v>
      </c>
      <c r="C1985" t="s">
        <v>1138</v>
      </c>
      <c r="D1985" t="s">
        <v>1139</v>
      </c>
      <c r="E1985" t="s">
        <v>1002</v>
      </c>
      <c r="F1985" t="s">
        <v>1140</v>
      </c>
    </row>
    <row r="1986" spans="1:6" x14ac:dyDescent="0.25">
      <c r="A1986" t="s">
        <v>2903</v>
      </c>
      <c r="B1986" t="s">
        <v>701</v>
      </c>
      <c r="C1986" t="s">
        <v>746</v>
      </c>
      <c r="D1986" t="s">
        <v>2904</v>
      </c>
      <c r="E1986" t="s">
        <v>2905</v>
      </c>
      <c r="F1986" t="s">
        <v>2903</v>
      </c>
    </row>
    <row r="1987" spans="1:6" x14ac:dyDescent="0.25">
      <c r="A1987" t="s">
        <v>2903</v>
      </c>
      <c r="B1987" t="s">
        <v>2105</v>
      </c>
      <c r="C1987" t="s">
        <v>746</v>
      </c>
      <c r="D1987" t="s">
        <v>2904</v>
      </c>
      <c r="E1987" t="s">
        <v>2905</v>
      </c>
      <c r="F1987" t="s">
        <v>2905</v>
      </c>
    </row>
    <row r="1988" spans="1:6" x14ac:dyDescent="0.25">
      <c r="A1988" t="s">
        <v>2906</v>
      </c>
      <c r="B1988" t="s">
        <v>2148</v>
      </c>
      <c r="C1988" t="s">
        <v>746</v>
      </c>
      <c r="D1988" t="s">
        <v>2907</v>
      </c>
      <c r="E1988" t="s">
        <v>2908</v>
      </c>
      <c r="F1988" t="s">
        <v>2906</v>
      </c>
    </row>
    <row r="1989" spans="1:6" x14ac:dyDescent="0.25">
      <c r="A1989" t="s">
        <v>2909</v>
      </c>
      <c r="B1989" t="s">
        <v>701</v>
      </c>
      <c r="C1989" t="s">
        <v>746</v>
      </c>
      <c r="D1989" t="s">
        <v>2907</v>
      </c>
      <c r="E1989" t="s">
        <v>2908</v>
      </c>
      <c r="F1989" t="s">
        <v>2909</v>
      </c>
    </row>
    <row r="1990" spans="1:6" x14ac:dyDescent="0.25">
      <c r="A1990" t="s">
        <v>2909</v>
      </c>
      <c r="B1990" t="s">
        <v>2105</v>
      </c>
      <c r="C1990" t="s">
        <v>746</v>
      </c>
      <c r="D1990" t="s">
        <v>2907</v>
      </c>
      <c r="E1990" t="s">
        <v>2908</v>
      </c>
      <c r="F1990" t="s">
        <v>2910</v>
      </c>
    </row>
    <row r="1991" spans="1:6" x14ac:dyDescent="0.25">
      <c r="A1991" t="s">
        <v>2911</v>
      </c>
      <c r="B1991" t="s">
        <v>2105</v>
      </c>
      <c r="C1991" t="s">
        <v>746</v>
      </c>
      <c r="D1991" t="s">
        <v>2907</v>
      </c>
      <c r="E1991" t="s">
        <v>2912</v>
      </c>
      <c r="F1991" t="s">
        <v>2911</v>
      </c>
    </row>
    <row r="1992" spans="1:6" x14ac:dyDescent="0.25">
      <c r="A1992" t="s">
        <v>2913</v>
      </c>
      <c r="B1992" t="s">
        <v>2148</v>
      </c>
      <c r="C1992" t="s">
        <v>746</v>
      </c>
      <c r="D1992" t="s">
        <v>2907</v>
      </c>
      <c r="E1992" t="s">
        <v>2912</v>
      </c>
      <c r="F1992" t="s">
        <v>2913</v>
      </c>
    </row>
    <row r="1993" spans="1:6" x14ac:dyDescent="0.25">
      <c r="A1993" t="s">
        <v>2914</v>
      </c>
      <c r="B1993" t="s">
        <v>701</v>
      </c>
      <c r="C1993" t="s">
        <v>746</v>
      </c>
      <c r="D1993" t="s">
        <v>2907</v>
      </c>
      <c r="E1993" t="s">
        <v>2912</v>
      </c>
      <c r="F1993" t="s">
        <v>2914</v>
      </c>
    </row>
    <row r="1994" spans="1:6" x14ac:dyDescent="0.25">
      <c r="A1994" t="s">
        <v>2914</v>
      </c>
      <c r="B1994" t="s">
        <v>2105</v>
      </c>
      <c r="C1994" t="s">
        <v>746</v>
      </c>
      <c r="D1994" t="s">
        <v>2907</v>
      </c>
      <c r="E1994" t="s">
        <v>2912</v>
      </c>
      <c r="F1994" t="s">
        <v>2915</v>
      </c>
    </row>
    <row r="1995" spans="1:6" x14ac:dyDescent="0.25">
      <c r="A1995" t="s">
        <v>2916</v>
      </c>
      <c r="B1995" t="s">
        <v>701</v>
      </c>
      <c r="C1995" t="s">
        <v>746</v>
      </c>
      <c r="D1995" t="s">
        <v>2907</v>
      </c>
      <c r="E1995" t="s">
        <v>2912</v>
      </c>
      <c r="F1995" t="s">
        <v>2916</v>
      </c>
    </row>
    <row r="1996" spans="1:6" x14ac:dyDescent="0.25">
      <c r="A1996" t="s">
        <v>2916</v>
      </c>
      <c r="B1996" t="s">
        <v>2105</v>
      </c>
      <c r="C1996" t="s">
        <v>746</v>
      </c>
      <c r="D1996" t="s">
        <v>2907</v>
      </c>
      <c r="E1996" t="s">
        <v>2912</v>
      </c>
      <c r="F1996" t="s">
        <v>2917</v>
      </c>
    </row>
    <row r="1997" spans="1:6" x14ac:dyDescent="0.25">
      <c r="A1997" t="s">
        <v>2918</v>
      </c>
      <c r="B1997" t="s">
        <v>701</v>
      </c>
      <c r="C1997" t="s">
        <v>746</v>
      </c>
      <c r="D1997" t="s">
        <v>2904</v>
      </c>
      <c r="E1997" t="s">
        <v>1034</v>
      </c>
      <c r="F1997" t="s">
        <v>2918</v>
      </c>
    </row>
    <row r="1998" spans="1:6" x14ac:dyDescent="0.25">
      <c r="A1998" t="s">
        <v>2918</v>
      </c>
      <c r="B1998" t="s">
        <v>2105</v>
      </c>
      <c r="C1998" t="s">
        <v>746</v>
      </c>
      <c r="D1998" t="s">
        <v>2904</v>
      </c>
      <c r="E1998" t="s">
        <v>1034</v>
      </c>
      <c r="F1998" t="s">
        <v>1034</v>
      </c>
    </row>
    <row r="1999" spans="1:5" x14ac:dyDescent="0.25">
      <c r="A1999" t="s">
        <v>2919</v>
      </c>
      <c r="B1999" t="s">
        <v>692</v>
      </c>
      <c r="E1999" t="s">
        <v>394</v>
      </c>
    </row>
    <row r="2000" spans="1:5" x14ac:dyDescent="0.25">
      <c r="A2000" t="s">
        <v>2920</v>
      </c>
      <c r="B2000" t="s">
        <v>692</v>
      </c>
      <c r="E2000" t="s">
        <v>1002</v>
      </c>
    </row>
    <row r="2001" spans="1:5" x14ac:dyDescent="0.25">
      <c r="A2001" t="s">
        <v>2921</v>
      </c>
      <c r="B2001" t="s">
        <v>692</v>
      </c>
      <c r="E2001" t="s">
        <v>867</v>
      </c>
    </row>
    <row r="2002" spans="1:6" x14ac:dyDescent="0.25">
      <c r="A2002" t="s">
        <v>2922</v>
      </c>
      <c r="B2002" t="s">
        <v>2148</v>
      </c>
      <c r="C2002" t="s">
        <v>746</v>
      </c>
      <c r="D2002" t="s">
        <v>2907</v>
      </c>
      <c r="E2002" t="s">
        <v>2908</v>
      </c>
      <c r="F2002" t="s">
        <v>2922</v>
      </c>
    </row>
    <row r="2003" spans="1:6" x14ac:dyDescent="0.25">
      <c r="A2003" t="s">
        <v>2923</v>
      </c>
      <c r="B2003" t="s">
        <v>701</v>
      </c>
      <c r="C2003" t="s">
        <v>746</v>
      </c>
      <c r="D2003" t="s">
        <v>2907</v>
      </c>
      <c r="E2003" t="s">
        <v>2908</v>
      </c>
      <c r="F2003" t="s">
        <v>2923</v>
      </c>
    </row>
    <row r="2004" spans="1:6" x14ac:dyDescent="0.25">
      <c r="A2004" t="s">
        <v>2923</v>
      </c>
      <c r="B2004" t="s">
        <v>2105</v>
      </c>
      <c r="C2004" t="s">
        <v>746</v>
      </c>
      <c r="D2004" t="s">
        <v>2907</v>
      </c>
      <c r="E2004" t="s">
        <v>2908</v>
      </c>
      <c r="F2004" t="s">
        <v>2924</v>
      </c>
    </row>
    <row r="2005" spans="1:6" x14ac:dyDescent="0.25">
      <c r="A2005" t="s">
        <v>2925</v>
      </c>
      <c r="B2005" t="s">
        <v>701</v>
      </c>
      <c r="C2005" t="s">
        <v>746</v>
      </c>
      <c r="D2005" t="s">
        <v>2907</v>
      </c>
      <c r="E2005" t="s">
        <v>2908</v>
      </c>
      <c r="F2005" t="s">
        <v>2925</v>
      </c>
    </row>
    <row r="2006" spans="1:6" x14ac:dyDescent="0.25">
      <c r="A2006" t="s">
        <v>2925</v>
      </c>
      <c r="B2006" t="s">
        <v>2105</v>
      </c>
      <c r="C2006" t="s">
        <v>746</v>
      </c>
      <c r="D2006" t="s">
        <v>2907</v>
      </c>
      <c r="E2006" t="s">
        <v>2908</v>
      </c>
      <c r="F2006" t="s">
        <v>2926</v>
      </c>
    </row>
    <row r="2007" spans="1:6" x14ac:dyDescent="0.25">
      <c r="A2007" t="s">
        <v>2927</v>
      </c>
      <c r="B2007" t="s">
        <v>2105</v>
      </c>
      <c r="C2007" t="s">
        <v>702</v>
      </c>
      <c r="D2007" t="s">
        <v>134</v>
      </c>
      <c r="E2007" t="s">
        <v>2928</v>
      </c>
      <c r="F2007" t="s">
        <v>2929</v>
      </c>
    </row>
    <row r="2008" spans="1:6" x14ac:dyDescent="0.25">
      <c r="A2008" t="s">
        <v>2930</v>
      </c>
      <c r="B2008" t="s">
        <v>695</v>
      </c>
      <c r="C2008" t="s">
        <v>696</v>
      </c>
      <c r="D2008" t="s">
        <v>697</v>
      </c>
      <c r="E2008" t="s">
        <v>698</v>
      </c>
      <c r="F2008" t="s">
        <v>2930</v>
      </c>
    </row>
    <row r="2009" spans="1:6" x14ac:dyDescent="0.25">
      <c r="A2009" t="s">
        <v>2931</v>
      </c>
      <c r="B2009" t="s">
        <v>695</v>
      </c>
      <c r="C2009" t="s">
        <v>696</v>
      </c>
      <c r="D2009" t="s">
        <v>697</v>
      </c>
      <c r="E2009" t="s">
        <v>698</v>
      </c>
      <c r="F2009" t="s">
        <v>2931</v>
      </c>
    </row>
    <row r="2010" spans="1:6" x14ac:dyDescent="0.25">
      <c r="A2010" t="s">
        <v>134</v>
      </c>
      <c r="B2010" t="s">
        <v>2148</v>
      </c>
      <c r="C2010" t="s">
        <v>702</v>
      </c>
      <c r="D2010" t="s">
        <v>134</v>
      </c>
      <c r="E2010" t="s">
        <v>135</v>
      </c>
      <c r="F2010" t="s">
        <v>134</v>
      </c>
    </row>
    <row r="2011" spans="1:5" x14ac:dyDescent="0.25">
      <c r="A2011" t="s">
        <v>2932</v>
      </c>
      <c r="B2011" t="s">
        <v>692</v>
      </c>
      <c r="E2011" t="s">
        <v>135</v>
      </c>
    </row>
    <row r="2012" spans="1:5" x14ac:dyDescent="0.25">
      <c r="A2012" t="s">
        <v>2933</v>
      </c>
      <c r="B2012" t="s">
        <v>692</v>
      </c>
      <c r="E2012" t="s">
        <v>135</v>
      </c>
    </row>
    <row r="2013" spans="1:5" x14ac:dyDescent="0.25">
      <c r="A2013" t="s">
        <v>2934</v>
      </c>
      <c r="B2013" t="s">
        <v>692</v>
      </c>
      <c r="E2013" t="s">
        <v>135</v>
      </c>
    </row>
    <row r="2014" spans="1:5" x14ac:dyDescent="0.25">
      <c r="A2014" t="s">
        <v>2935</v>
      </c>
      <c r="B2014" t="s">
        <v>692</v>
      </c>
      <c r="E2014" t="s">
        <v>1194</v>
      </c>
    </row>
    <row r="2015" spans="1:5" x14ac:dyDescent="0.25">
      <c r="A2015" t="s">
        <v>2936</v>
      </c>
      <c r="B2015" t="s">
        <v>692</v>
      </c>
      <c r="E2015" t="s">
        <v>110</v>
      </c>
    </row>
    <row r="2016" spans="1:5" x14ac:dyDescent="0.25">
      <c r="A2016" t="s">
        <v>2937</v>
      </c>
      <c r="B2016" t="s">
        <v>692</v>
      </c>
      <c r="E2016" t="s">
        <v>110</v>
      </c>
    </row>
    <row r="2017" spans="1:5" x14ac:dyDescent="0.25">
      <c r="A2017" t="s">
        <v>2938</v>
      </c>
      <c r="B2017" t="s">
        <v>692</v>
      </c>
      <c r="E2017" t="s">
        <v>110</v>
      </c>
    </row>
    <row r="2018" spans="1:5" x14ac:dyDescent="0.25">
      <c r="A2018" t="s">
        <v>2939</v>
      </c>
      <c r="B2018" t="s">
        <v>692</v>
      </c>
      <c r="E2018" t="s">
        <v>135</v>
      </c>
    </row>
    <row r="2019" spans="1:5" x14ac:dyDescent="0.25">
      <c r="A2019" t="s">
        <v>2940</v>
      </c>
      <c r="B2019" t="s">
        <v>692</v>
      </c>
      <c r="E2019" t="s">
        <v>135</v>
      </c>
    </row>
    <row r="2020" spans="1:5" x14ac:dyDescent="0.25">
      <c r="A2020" t="s">
        <v>2941</v>
      </c>
      <c r="B2020" t="s">
        <v>692</v>
      </c>
      <c r="E2020" t="s">
        <v>135</v>
      </c>
    </row>
    <row r="2021" spans="1:5" x14ac:dyDescent="0.25">
      <c r="A2021" t="s">
        <v>2942</v>
      </c>
      <c r="B2021" t="s">
        <v>692</v>
      </c>
      <c r="E2021" t="s">
        <v>135</v>
      </c>
    </row>
    <row r="2022" spans="1:5" x14ac:dyDescent="0.25">
      <c r="A2022" t="s">
        <v>2943</v>
      </c>
      <c r="B2022" t="s">
        <v>692</v>
      </c>
      <c r="E2022" t="s">
        <v>135</v>
      </c>
    </row>
    <row r="2023" spans="1:5" x14ac:dyDescent="0.25">
      <c r="A2023" t="s">
        <v>2944</v>
      </c>
      <c r="B2023" t="s">
        <v>692</v>
      </c>
      <c r="E2023" t="s">
        <v>246</v>
      </c>
    </row>
    <row r="2024" spans="1:5" x14ac:dyDescent="0.25">
      <c r="A2024" t="s">
        <v>2945</v>
      </c>
      <c r="B2024" t="s">
        <v>692</v>
      </c>
      <c r="E2024" t="s">
        <v>135</v>
      </c>
    </row>
    <row r="2025" spans="1:6" x14ac:dyDescent="0.25">
      <c r="A2025" t="s">
        <v>916</v>
      </c>
      <c r="B2025" t="s">
        <v>2105</v>
      </c>
      <c r="C2025" t="s">
        <v>702</v>
      </c>
      <c r="D2025" t="s">
        <v>134</v>
      </c>
      <c r="E2025" t="s">
        <v>135</v>
      </c>
      <c r="F2025" t="s">
        <v>916</v>
      </c>
    </row>
    <row r="2026" spans="1:6" x14ac:dyDescent="0.25">
      <c r="A2026" t="s">
        <v>2946</v>
      </c>
      <c r="B2026" t="s">
        <v>2105</v>
      </c>
      <c r="C2026" t="s">
        <v>702</v>
      </c>
      <c r="D2026" t="s">
        <v>134</v>
      </c>
      <c r="E2026" t="s">
        <v>135</v>
      </c>
      <c r="F2026" t="s">
        <v>2946</v>
      </c>
    </row>
    <row r="2027" spans="1:6" x14ac:dyDescent="0.25">
      <c r="A2027" t="s">
        <v>703</v>
      </c>
      <c r="B2027" t="s">
        <v>2105</v>
      </c>
      <c r="C2027" t="s">
        <v>702</v>
      </c>
      <c r="D2027" t="s">
        <v>134</v>
      </c>
      <c r="E2027" t="s">
        <v>135</v>
      </c>
      <c r="F2027" t="s">
        <v>703</v>
      </c>
    </row>
    <row r="2028" spans="1:6" x14ac:dyDescent="0.25">
      <c r="A2028" t="s">
        <v>2947</v>
      </c>
      <c r="B2028" t="s">
        <v>701</v>
      </c>
      <c r="C2028" t="s">
        <v>758</v>
      </c>
      <c r="D2028" t="s">
        <v>759</v>
      </c>
      <c r="E2028" t="s">
        <v>246</v>
      </c>
      <c r="F2028" t="s">
        <v>246</v>
      </c>
    </row>
    <row r="2029" spans="1:5" x14ac:dyDescent="0.25">
      <c r="A2029" t="s">
        <v>2948</v>
      </c>
      <c r="B2029" t="s">
        <v>692</v>
      </c>
      <c r="E2029" t="s">
        <v>1387</v>
      </c>
    </row>
    <row r="2030" spans="1:5" x14ac:dyDescent="0.25">
      <c r="A2030" t="s">
        <v>2949</v>
      </c>
      <c r="B2030" t="s">
        <v>692</v>
      </c>
      <c r="E2030" t="s">
        <v>2950</v>
      </c>
    </row>
    <row r="2031" spans="1:5" x14ac:dyDescent="0.25">
      <c r="A2031" t="s">
        <v>2951</v>
      </c>
      <c r="B2031" t="s">
        <v>692</v>
      </c>
      <c r="E2031" t="s">
        <v>394</v>
      </c>
    </row>
    <row r="2032" spans="1:6" x14ac:dyDescent="0.25">
      <c r="A2032" t="s">
        <v>2952</v>
      </c>
      <c r="B2032" t="s">
        <v>705</v>
      </c>
      <c r="C2032" t="s">
        <v>706</v>
      </c>
      <c r="D2032" t="s">
        <v>845</v>
      </c>
      <c r="E2032" t="s">
        <v>2953</v>
      </c>
      <c r="F2032" t="s">
        <v>2954</v>
      </c>
    </row>
    <row r="2033" spans="1:5" x14ac:dyDescent="0.25">
      <c r="A2033" t="s">
        <v>2955</v>
      </c>
      <c r="B2033" t="s">
        <v>692</v>
      </c>
      <c r="E2033" t="s">
        <v>254</v>
      </c>
    </row>
    <row r="2034" spans="1:5" x14ac:dyDescent="0.25">
      <c r="A2034" t="s">
        <v>264</v>
      </c>
      <c r="B2034" t="s">
        <v>692</v>
      </c>
      <c r="E2034" t="s">
        <v>265</v>
      </c>
    </row>
    <row r="2035" spans="1:5" x14ac:dyDescent="0.25">
      <c r="A2035" t="s">
        <v>2956</v>
      </c>
      <c r="B2035" t="s">
        <v>692</v>
      </c>
      <c r="E2035" t="s">
        <v>265</v>
      </c>
    </row>
    <row r="2036" spans="1:5" x14ac:dyDescent="0.25">
      <c r="A2036" t="s">
        <v>2957</v>
      </c>
      <c r="B2036" t="s">
        <v>692</v>
      </c>
      <c r="E2036" t="s">
        <v>265</v>
      </c>
    </row>
    <row r="2037" spans="1:5" x14ac:dyDescent="0.25">
      <c r="A2037" t="s">
        <v>2958</v>
      </c>
      <c r="B2037" t="s">
        <v>692</v>
      </c>
      <c r="E2037" t="s">
        <v>265</v>
      </c>
    </row>
    <row r="2038" spans="1:5" x14ac:dyDescent="0.25">
      <c r="A2038" t="s">
        <v>2959</v>
      </c>
      <c r="B2038" t="s">
        <v>692</v>
      </c>
      <c r="E2038" t="s">
        <v>265</v>
      </c>
    </row>
    <row r="2039" spans="1:5" x14ac:dyDescent="0.25">
      <c r="A2039" t="s">
        <v>2960</v>
      </c>
      <c r="B2039" t="s">
        <v>692</v>
      </c>
      <c r="E2039" t="s">
        <v>265</v>
      </c>
    </row>
    <row r="2040" spans="1:5" x14ac:dyDescent="0.25">
      <c r="A2040" t="s">
        <v>2961</v>
      </c>
      <c r="B2040" t="s">
        <v>692</v>
      </c>
      <c r="E2040" t="s">
        <v>265</v>
      </c>
    </row>
    <row r="2041" spans="1:5" x14ac:dyDescent="0.25">
      <c r="A2041" t="s">
        <v>2962</v>
      </c>
      <c r="B2041" t="s">
        <v>692</v>
      </c>
      <c r="E2041" t="s">
        <v>265</v>
      </c>
    </row>
    <row r="2042" spans="1:5" x14ac:dyDescent="0.25">
      <c r="A2042" t="s">
        <v>2963</v>
      </c>
      <c r="B2042" t="s">
        <v>692</v>
      </c>
      <c r="E2042" t="s">
        <v>265</v>
      </c>
    </row>
    <row r="2043" spans="1:5" x14ac:dyDescent="0.25">
      <c r="A2043" t="s">
        <v>2964</v>
      </c>
      <c r="B2043" t="s">
        <v>692</v>
      </c>
      <c r="E2043" t="s">
        <v>265</v>
      </c>
    </row>
    <row r="2044" spans="1:5" x14ac:dyDescent="0.25">
      <c r="A2044" t="s">
        <v>2965</v>
      </c>
      <c r="B2044" t="s">
        <v>692</v>
      </c>
      <c r="E2044" t="s">
        <v>265</v>
      </c>
    </row>
    <row r="2045" spans="1:6" x14ac:dyDescent="0.25">
      <c r="A2045" t="s">
        <v>2966</v>
      </c>
      <c r="B2045" t="s">
        <v>692</v>
      </c>
      <c r="E2045" t="s">
        <v>265</v>
      </c>
      <c r="F2045" t="s">
        <v>267</v>
      </c>
    </row>
    <row r="2046" spans="1:5" x14ac:dyDescent="0.25">
      <c r="A2046" t="s">
        <v>2967</v>
      </c>
      <c r="B2046" t="s">
        <v>692</v>
      </c>
      <c r="E2046" t="s">
        <v>265</v>
      </c>
    </row>
    <row r="2047" spans="1:5" x14ac:dyDescent="0.25">
      <c r="A2047" t="s">
        <v>2968</v>
      </c>
      <c r="B2047" t="s">
        <v>692</v>
      </c>
      <c r="E2047" t="s">
        <v>265</v>
      </c>
    </row>
    <row r="2048" spans="1:5" x14ac:dyDescent="0.25">
      <c r="A2048" t="s">
        <v>2969</v>
      </c>
      <c r="B2048" t="s">
        <v>692</v>
      </c>
      <c r="E2048" t="s">
        <v>265</v>
      </c>
    </row>
    <row r="2049" spans="1:5" x14ac:dyDescent="0.25">
      <c r="A2049" t="s">
        <v>2970</v>
      </c>
      <c r="B2049" t="s">
        <v>692</v>
      </c>
      <c r="E2049" t="s">
        <v>265</v>
      </c>
    </row>
    <row r="2050" spans="1:5" x14ac:dyDescent="0.25">
      <c r="A2050" t="s">
        <v>2971</v>
      </c>
      <c r="B2050" t="s">
        <v>692</v>
      </c>
      <c r="E2050" t="s">
        <v>265</v>
      </c>
    </row>
    <row r="2051" spans="1:5" x14ac:dyDescent="0.25">
      <c r="A2051" t="s">
        <v>2972</v>
      </c>
      <c r="B2051" t="s">
        <v>692</v>
      </c>
      <c r="E2051" t="s">
        <v>265</v>
      </c>
    </row>
    <row r="2052" spans="1:5" x14ac:dyDescent="0.25">
      <c r="A2052" t="s">
        <v>2973</v>
      </c>
      <c r="B2052" t="s">
        <v>692</v>
      </c>
      <c r="E2052" t="s">
        <v>265</v>
      </c>
    </row>
    <row r="2053" spans="1:5" x14ac:dyDescent="0.25">
      <c r="A2053" t="s">
        <v>2974</v>
      </c>
      <c r="B2053" t="s">
        <v>692</v>
      </c>
      <c r="E2053" t="s">
        <v>265</v>
      </c>
    </row>
    <row r="2054" spans="1:5" x14ac:dyDescent="0.25">
      <c r="A2054" t="s">
        <v>2975</v>
      </c>
      <c r="B2054" t="s">
        <v>692</v>
      </c>
      <c r="E2054" t="s">
        <v>288</v>
      </c>
    </row>
    <row r="2055" spans="1:5" x14ac:dyDescent="0.25">
      <c r="A2055" t="s">
        <v>2976</v>
      </c>
      <c r="B2055" t="s">
        <v>692</v>
      </c>
      <c r="E2055" t="s">
        <v>110</v>
      </c>
    </row>
    <row r="2056" spans="1:6" x14ac:dyDescent="0.25">
      <c r="A2056" t="s">
        <v>2977</v>
      </c>
      <c r="B2056" t="s">
        <v>692</v>
      </c>
      <c r="E2056" t="s">
        <v>981</v>
      </c>
      <c r="F2056" t="s">
        <v>120</v>
      </c>
    </row>
    <row r="2057" spans="1:5" x14ac:dyDescent="0.25">
      <c r="A2057" t="s">
        <v>2978</v>
      </c>
      <c r="B2057" t="s">
        <v>692</v>
      </c>
      <c r="E2057" t="s">
        <v>232</v>
      </c>
    </row>
    <row r="2058" spans="1:5" x14ac:dyDescent="0.25">
      <c r="A2058" t="s">
        <v>2979</v>
      </c>
      <c r="B2058" t="s">
        <v>692</v>
      </c>
      <c r="E2058" t="s">
        <v>232</v>
      </c>
    </row>
    <row r="2059" spans="1:5" x14ac:dyDescent="0.25">
      <c r="A2059" t="s">
        <v>2980</v>
      </c>
      <c r="B2059" t="s">
        <v>692</v>
      </c>
      <c r="E2059" t="s">
        <v>232</v>
      </c>
    </row>
    <row r="2060" spans="1:5" x14ac:dyDescent="0.25">
      <c r="A2060" t="s">
        <v>2981</v>
      </c>
      <c r="B2060" t="s">
        <v>692</v>
      </c>
      <c r="E2060" t="s">
        <v>232</v>
      </c>
    </row>
    <row r="2061" spans="1:5" x14ac:dyDescent="0.25">
      <c r="A2061" t="s">
        <v>2982</v>
      </c>
      <c r="B2061" t="s">
        <v>692</v>
      </c>
      <c r="E2061" t="s">
        <v>232</v>
      </c>
    </row>
    <row r="2062" spans="1:6" x14ac:dyDescent="0.25">
      <c r="A2062" t="s">
        <v>2983</v>
      </c>
      <c r="B2062" t="s">
        <v>705</v>
      </c>
      <c r="C2062" t="s">
        <v>706</v>
      </c>
      <c r="D2062" t="s">
        <v>845</v>
      </c>
      <c r="E2062" t="s">
        <v>846</v>
      </c>
      <c r="F2062" t="s">
        <v>847</v>
      </c>
    </row>
    <row r="2063" spans="1:5" x14ac:dyDescent="0.25">
      <c r="A2063" t="s">
        <v>2984</v>
      </c>
      <c r="B2063" t="s">
        <v>692</v>
      </c>
      <c r="E2063" t="s">
        <v>1002</v>
      </c>
    </row>
    <row r="2064" spans="1:5" x14ac:dyDescent="0.25">
      <c r="A2064" t="s">
        <v>2985</v>
      </c>
      <c r="B2064" t="s">
        <v>692</v>
      </c>
      <c r="E2064" t="s">
        <v>1002</v>
      </c>
    </row>
    <row r="2065" spans="1:5" x14ac:dyDescent="0.25">
      <c r="A2065" t="s">
        <v>2986</v>
      </c>
      <c r="B2065" t="s">
        <v>692</v>
      </c>
      <c r="E2065" t="s">
        <v>2607</v>
      </c>
    </row>
    <row r="2066" spans="1:6" x14ac:dyDescent="0.25">
      <c r="A2066" t="s">
        <v>2987</v>
      </c>
      <c r="B2066" t="s">
        <v>794</v>
      </c>
      <c r="C2066" t="s">
        <v>706</v>
      </c>
      <c r="D2066" t="s">
        <v>845</v>
      </c>
      <c r="E2066" t="s">
        <v>272</v>
      </c>
      <c r="F2066" t="s">
        <v>272</v>
      </c>
    </row>
    <row r="2067" spans="1:5" x14ac:dyDescent="0.25">
      <c r="A2067" t="s">
        <v>2988</v>
      </c>
      <c r="B2067" t="s">
        <v>692</v>
      </c>
      <c r="E2067" t="s">
        <v>232</v>
      </c>
    </row>
    <row r="2068" spans="1:6" x14ac:dyDescent="0.25">
      <c r="A2068" t="s">
        <v>2989</v>
      </c>
      <c r="B2068" t="s">
        <v>695</v>
      </c>
      <c r="C2068" t="s">
        <v>706</v>
      </c>
      <c r="D2068" t="s">
        <v>2330</v>
      </c>
      <c r="E2068" t="s">
        <v>2331</v>
      </c>
      <c r="F2068" t="s">
        <v>2990</v>
      </c>
    </row>
    <row r="2069" spans="1:6" x14ac:dyDescent="0.25">
      <c r="A2069" t="s">
        <v>2989</v>
      </c>
      <c r="B2069" t="s">
        <v>705</v>
      </c>
      <c r="C2069" t="s">
        <v>706</v>
      </c>
      <c r="D2069" t="s">
        <v>2330</v>
      </c>
      <c r="E2069" t="s">
        <v>2331</v>
      </c>
      <c r="F2069" t="s">
        <v>2991</v>
      </c>
    </row>
    <row r="2070" spans="1:6" x14ac:dyDescent="0.25">
      <c r="A2070" t="s">
        <v>2992</v>
      </c>
      <c r="B2070" t="s">
        <v>695</v>
      </c>
      <c r="C2070" t="s">
        <v>706</v>
      </c>
      <c r="D2070" t="s">
        <v>2330</v>
      </c>
      <c r="E2070" t="s">
        <v>2331</v>
      </c>
      <c r="F2070" t="s">
        <v>2993</v>
      </c>
    </row>
    <row r="2071" spans="1:6" x14ac:dyDescent="0.25">
      <c r="A2071" t="s">
        <v>2992</v>
      </c>
      <c r="B2071" t="s">
        <v>705</v>
      </c>
      <c r="C2071" t="s">
        <v>706</v>
      </c>
      <c r="D2071" t="s">
        <v>2330</v>
      </c>
      <c r="E2071" t="s">
        <v>2331</v>
      </c>
      <c r="F2071" t="s">
        <v>2991</v>
      </c>
    </row>
    <row r="2072" spans="1:6" x14ac:dyDescent="0.25">
      <c r="A2072" t="s">
        <v>2994</v>
      </c>
      <c r="B2072" t="s">
        <v>695</v>
      </c>
      <c r="C2072" t="s">
        <v>758</v>
      </c>
      <c r="D2072" t="s">
        <v>2680</v>
      </c>
      <c r="E2072" t="s">
        <v>2995</v>
      </c>
      <c r="F2072" t="s">
        <v>2996</v>
      </c>
    </row>
    <row r="2073" spans="1:6" x14ac:dyDescent="0.25">
      <c r="A2073" t="s">
        <v>2997</v>
      </c>
      <c r="B2073" t="s">
        <v>695</v>
      </c>
      <c r="C2073" t="s">
        <v>702</v>
      </c>
      <c r="D2073" t="s">
        <v>786</v>
      </c>
      <c r="E2073" t="s">
        <v>2111</v>
      </c>
      <c r="F2073" t="s">
        <v>2998</v>
      </c>
    </row>
    <row r="2074" spans="1:6" x14ac:dyDescent="0.25">
      <c r="A2074" t="s">
        <v>2999</v>
      </c>
      <c r="B2074" t="s">
        <v>695</v>
      </c>
      <c r="C2074" t="s">
        <v>706</v>
      </c>
      <c r="D2074" t="s">
        <v>1043</v>
      </c>
      <c r="E2074" t="s">
        <v>981</v>
      </c>
      <c r="F2074" t="s">
        <v>3000</v>
      </c>
    </row>
    <row r="2075" spans="1:6" x14ac:dyDescent="0.25">
      <c r="A2075" t="s">
        <v>2999</v>
      </c>
      <c r="B2075" t="s">
        <v>794</v>
      </c>
      <c r="C2075" t="s">
        <v>706</v>
      </c>
      <c r="D2075" t="s">
        <v>1043</v>
      </c>
      <c r="E2075" t="s">
        <v>981</v>
      </c>
      <c r="F2075" t="s">
        <v>981</v>
      </c>
    </row>
    <row r="2076" spans="1:6" x14ac:dyDescent="0.25">
      <c r="A2076" t="s">
        <v>2999</v>
      </c>
      <c r="B2076" t="s">
        <v>705</v>
      </c>
      <c r="C2076" t="s">
        <v>706</v>
      </c>
      <c r="D2076" t="s">
        <v>1043</v>
      </c>
      <c r="E2076" t="s">
        <v>981</v>
      </c>
      <c r="F2076" t="s">
        <v>2142</v>
      </c>
    </row>
    <row r="2077" spans="1:5" x14ac:dyDescent="0.25">
      <c r="A2077" t="s">
        <v>2999</v>
      </c>
      <c r="B2077" t="s">
        <v>692</v>
      </c>
      <c r="E2077" t="s">
        <v>981</v>
      </c>
    </row>
    <row r="2078" spans="1:6" x14ac:dyDescent="0.25">
      <c r="A2078" t="s">
        <v>3001</v>
      </c>
      <c r="B2078" t="s">
        <v>695</v>
      </c>
      <c r="C2078" t="s">
        <v>702</v>
      </c>
      <c r="D2078" t="s">
        <v>750</v>
      </c>
      <c r="E2078" t="s">
        <v>539</v>
      </c>
      <c r="F2078" t="s">
        <v>3002</v>
      </c>
    </row>
    <row r="2079" spans="1:6" x14ac:dyDescent="0.25">
      <c r="A2079" t="s">
        <v>3003</v>
      </c>
      <c r="B2079" t="s">
        <v>695</v>
      </c>
      <c r="C2079" t="s">
        <v>706</v>
      </c>
      <c r="D2079" t="s">
        <v>1043</v>
      </c>
      <c r="E2079" t="s">
        <v>1044</v>
      </c>
      <c r="F2079" t="s">
        <v>3004</v>
      </c>
    </row>
    <row r="2080" spans="1:6" x14ac:dyDescent="0.25">
      <c r="A2080" t="s">
        <v>3005</v>
      </c>
      <c r="B2080" t="s">
        <v>695</v>
      </c>
      <c r="C2080" t="s">
        <v>706</v>
      </c>
      <c r="D2080" t="s">
        <v>1043</v>
      </c>
      <c r="E2080" t="s">
        <v>1044</v>
      </c>
      <c r="F2080" t="s">
        <v>3006</v>
      </c>
    </row>
    <row r="2081" spans="1:5" x14ac:dyDescent="0.25">
      <c r="A2081" t="s">
        <v>3007</v>
      </c>
      <c r="B2081" t="s">
        <v>692</v>
      </c>
      <c r="E2081" t="s">
        <v>1527</v>
      </c>
    </row>
    <row r="2082" spans="1:5" x14ac:dyDescent="0.25">
      <c r="A2082" t="s">
        <v>3008</v>
      </c>
      <c r="B2082" t="s">
        <v>692</v>
      </c>
      <c r="E2082" t="s">
        <v>1527</v>
      </c>
    </row>
    <row r="2083" spans="1:6" x14ac:dyDescent="0.25">
      <c r="A2083" t="s">
        <v>3009</v>
      </c>
      <c r="B2083" t="s">
        <v>692</v>
      </c>
      <c r="E2083" t="s">
        <v>129</v>
      </c>
      <c r="F2083" t="s">
        <v>130</v>
      </c>
    </row>
    <row r="2084" spans="1:5" x14ac:dyDescent="0.25">
      <c r="A2084" t="s">
        <v>3010</v>
      </c>
      <c r="B2084" t="s">
        <v>692</v>
      </c>
      <c r="E2084" t="s">
        <v>322</v>
      </c>
    </row>
    <row r="2085" spans="1:5" x14ac:dyDescent="0.25">
      <c r="A2085" t="s">
        <v>3011</v>
      </c>
      <c r="B2085" t="s">
        <v>692</v>
      </c>
      <c r="E2085" t="s">
        <v>1229</v>
      </c>
    </row>
    <row r="2086" spans="1:5" x14ac:dyDescent="0.25">
      <c r="A2086" t="s">
        <v>3012</v>
      </c>
      <c r="B2086" t="s">
        <v>692</v>
      </c>
      <c r="E2086" t="s">
        <v>1229</v>
      </c>
    </row>
    <row r="2087" spans="1:6" x14ac:dyDescent="0.25">
      <c r="A2087" t="s">
        <v>3013</v>
      </c>
      <c r="B2087" t="s">
        <v>695</v>
      </c>
      <c r="C2087" t="s">
        <v>1138</v>
      </c>
      <c r="D2087" t="s">
        <v>1139</v>
      </c>
      <c r="E2087" t="s">
        <v>1527</v>
      </c>
      <c r="F2087" t="s">
        <v>3013</v>
      </c>
    </row>
    <row r="2088" spans="1:6" x14ac:dyDescent="0.25">
      <c r="A2088" t="s">
        <v>3014</v>
      </c>
      <c r="B2088" t="s">
        <v>692</v>
      </c>
      <c r="E2088" t="s">
        <v>90</v>
      </c>
      <c r="F2088" t="s">
        <v>91</v>
      </c>
    </row>
    <row r="2089" spans="1:5" x14ac:dyDescent="0.25">
      <c r="A2089" t="s">
        <v>3015</v>
      </c>
      <c r="B2089" t="s">
        <v>692</v>
      </c>
      <c r="E2089" t="s">
        <v>1527</v>
      </c>
    </row>
    <row r="2090" spans="1:6" x14ac:dyDescent="0.25">
      <c r="A2090" t="s">
        <v>3016</v>
      </c>
      <c r="B2090" t="s">
        <v>692</v>
      </c>
      <c r="E2090" t="s">
        <v>1566</v>
      </c>
      <c r="F2090" t="s">
        <v>183</v>
      </c>
    </row>
    <row r="2091" spans="1:5" x14ac:dyDescent="0.25">
      <c r="A2091" t="s">
        <v>3017</v>
      </c>
      <c r="B2091" t="s">
        <v>692</v>
      </c>
      <c r="E2091" t="s">
        <v>1527</v>
      </c>
    </row>
    <row r="2092" spans="1:5" x14ac:dyDescent="0.25">
      <c r="A2092" t="s">
        <v>3018</v>
      </c>
      <c r="B2092" t="s">
        <v>692</v>
      </c>
      <c r="E2092" t="s">
        <v>1527</v>
      </c>
    </row>
    <row r="2093" spans="1:6" x14ac:dyDescent="0.25">
      <c r="A2093" t="s">
        <v>3019</v>
      </c>
      <c r="B2093" t="s">
        <v>692</v>
      </c>
      <c r="E2093" t="s">
        <v>322</v>
      </c>
      <c r="F2093" t="s">
        <v>189</v>
      </c>
    </row>
    <row r="2094" spans="1:6" x14ac:dyDescent="0.25">
      <c r="A2094" t="s">
        <v>3020</v>
      </c>
      <c r="B2094" t="s">
        <v>701</v>
      </c>
      <c r="C2094" t="s">
        <v>758</v>
      </c>
      <c r="D2094" t="s">
        <v>759</v>
      </c>
      <c r="E2094" t="s">
        <v>246</v>
      </c>
      <c r="F2094" t="s">
        <v>246</v>
      </c>
    </row>
    <row r="2095" spans="1:5" x14ac:dyDescent="0.25">
      <c r="A2095" t="s">
        <v>3021</v>
      </c>
      <c r="B2095" t="s">
        <v>692</v>
      </c>
      <c r="E2095" t="s">
        <v>394</v>
      </c>
    </row>
    <row r="2096" spans="1:6" x14ac:dyDescent="0.25">
      <c r="A2096" t="s">
        <v>3022</v>
      </c>
      <c r="B2096" t="s">
        <v>695</v>
      </c>
      <c r="C2096" t="s">
        <v>702</v>
      </c>
      <c r="D2096" t="s">
        <v>2107</v>
      </c>
      <c r="E2096" t="s">
        <v>2401</v>
      </c>
      <c r="F2096" t="s">
        <v>3023</v>
      </c>
    </row>
    <row r="2097" spans="1:6" x14ac:dyDescent="0.25">
      <c r="A2097" t="s">
        <v>3024</v>
      </c>
      <c r="B2097" t="s">
        <v>695</v>
      </c>
      <c r="C2097" t="s">
        <v>702</v>
      </c>
      <c r="D2097" t="s">
        <v>2107</v>
      </c>
      <c r="E2097" t="s">
        <v>2401</v>
      </c>
      <c r="F2097" t="s">
        <v>3025</v>
      </c>
    </row>
    <row r="2098" spans="1:6" x14ac:dyDescent="0.25">
      <c r="A2098" t="s">
        <v>3026</v>
      </c>
      <c r="B2098" t="s">
        <v>764</v>
      </c>
      <c r="C2098" t="s">
        <v>702</v>
      </c>
      <c r="D2098" t="s">
        <v>134</v>
      </c>
      <c r="E2098" t="s">
        <v>135</v>
      </c>
      <c r="F2098" t="s">
        <v>134</v>
      </c>
    </row>
    <row r="2099" spans="1:5" x14ac:dyDescent="0.25">
      <c r="A2099" t="s">
        <v>3027</v>
      </c>
      <c r="B2099" t="s">
        <v>692</v>
      </c>
      <c r="E2099" t="s">
        <v>1994</v>
      </c>
    </row>
    <row r="2100" spans="1:5" x14ac:dyDescent="0.25">
      <c r="A2100" t="s">
        <v>3028</v>
      </c>
      <c r="B2100" t="s">
        <v>692</v>
      </c>
      <c r="E2100" t="s">
        <v>394</v>
      </c>
    </row>
    <row r="2101" spans="1:6" x14ac:dyDescent="0.25">
      <c r="A2101" t="s">
        <v>3029</v>
      </c>
      <c r="B2101" t="s">
        <v>692</v>
      </c>
      <c r="E2101" t="s">
        <v>90</v>
      </c>
      <c r="F2101" t="s">
        <v>91</v>
      </c>
    </row>
    <row r="2102" spans="1:5" x14ac:dyDescent="0.25">
      <c r="A2102" t="s">
        <v>3030</v>
      </c>
      <c r="B2102" t="s">
        <v>692</v>
      </c>
      <c r="E2102" t="s">
        <v>1527</v>
      </c>
    </row>
    <row r="2103" spans="1:5" x14ac:dyDescent="0.25">
      <c r="A2103" t="s">
        <v>3031</v>
      </c>
      <c r="B2103" t="s">
        <v>692</v>
      </c>
      <c r="E2103" t="s">
        <v>3032</v>
      </c>
    </row>
    <row r="2104" spans="1:6" x14ac:dyDescent="0.25">
      <c r="A2104" t="s">
        <v>3033</v>
      </c>
      <c r="B2104" t="s">
        <v>695</v>
      </c>
      <c r="C2104" t="s">
        <v>706</v>
      </c>
      <c r="D2104" t="s">
        <v>2149</v>
      </c>
      <c r="E2104" t="s">
        <v>3034</v>
      </c>
      <c r="F2104" t="s">
        <v>3035</v>
      </c>
    </row>
    <row r="2105" spans="1:6" x14ac:dyDescent="0.25">
      <c r="A2105" t="s">
        <v>3036</v>
      </c>
      <c r="B2105" t="s">
        <v>705</v>
      </c>
      <c r="C2105" t="s">
        <v>706</v>
      </c>
      <c r="D2105" t="s">
        <v>2184</v>
      </c>
      <c r="E2105" t="s">
        <v>2555</v>
      </c>
      <c r="F2105" t="s">
        <v>2556</v>
      </c>
    </row>
    <row r="2106" spans="1:6" x14ac:dyDescent="0.25">
      <c r="A2106" t="s">
        <v>3037</v>
      </c>
      <c r="B2106" t="s">
        <v>695</v>
      </c>
      <c r="C2106" t="s">
        <v>706</v>
      </c>
      <c r="D2106" t="s">
        <v>2149</v>
      </c>
      <c r="E2106" t="s">
        <v>3034</v>
      </c>
      <c r="F2106" t="s">
        <v>3038</v>
      </c>
    </row>
    <row r="2107" spans="1:6" x14ac:dyDescent="0.25">
      <c r="A2107" t="s">
        <v>3039</v>
      </c>
      <c r="B2107" t="s">
        <v>705</v>
      </c>
      <c r="C2107" t="s">
        <v>706</v>
      </c>
      <c r="D2107" t="s">
        <v>2184</v>
      </c>
      <c r="E2107" t="s">
        <v>2555</v>
      </c>
      <c r="F2107" t="s">
        <v>2556</v>
      </c>
    </row>
    <row r="2108" spans="1:5" x14ac:dyDescent="0.25">
      <c r="A2108" t="s">
        <v>3040</v>
      </c>
      <c r="B2108" t="s">
        <v>692</v>
      </c>
      <c r="E2108" t="s">
        <v>370</v>
      </c>
    </row>
    <row r="2109" spans="1:6" x14ac:dyDescent="0.25">
      <c r="A2109" t="s">
        <v>3041</v>
      </c>
      <c r="B2109" t="s">
        <v>695</v>
      </c>
      <c r="C2109" t="s">
        <v>696</v>
      </c>
      <c r="D2109" t="s">
        <v>2101</v>
      </c>
      <c r="E2109" t="s">
        <v>2102</v>
      </c>
      <c r="F2109" t="s">
        <v>3041</v>
      </c>
    </row>
    <row r="2110" spans="1:6" x14ac:dyDescent="0.25">
      <c r="A2110" t="s">
        <v>708</v>
      </c>
      <c r="B2110" t="s">
        <v>2357</v>
      </c>
      <c r="C2110" t="s">
        <v>706</v>
      </c>
      <c r="D2110" t="s">
        <v>707</v>
      </c>
      <c r="E2110" t="s">
        <v>708</v>
      </c>
      <c r="F2110" t="s">
        <v>3042</v>
      </c>
    </row>
    <row r="2111" spans="1:6" x14ac:dyDescent="0.25">
      <c r="A2111" t="s">
        <v>3043</v>
      </c>
      <c r="B2111" t="s">
        <v>794</v>
      </c>
      <c r="C2111" t="s">
        <v>706</v>
      </c>
      <c r="D2111" t="s">
        <v>2689</v>
      </c>
      <c r="E2111" t="s">
        <v>1286</v>
      </c>
      <c r="F2111" t="s">
        <v>1286</v>
      </c>
    </row>
    <row r="2112" spans="1:6" x14ac:dyDescent="0.25">
      <c r="A2112" t="s">
        <v>3044</v>
      </c>
      <c r="B2112" t="s">
        <v>2148</v>
      </c>
      <c r="C2112" t="s">
        <v>706</v>
      </c>
      <c r="D2112" t="s">
        <v>2139</v>
      </c>
      <c r="E2112" t="s">
        <v>1016</v>
      </c>
      <c r="F2112" t="s">
        <v>3044</v>
      </c>
    </row>
    <row r="2113" spans="1:6" x14ac:dyDescent="0.25">
      <c r="A2113" t="s">
        <v>3045</v>
      </c>
      <c r="B2113" t="s">
        <v>2148</v>
      </c>
      <c r="C2113" t="s">
        <v>706</v>
      </c>
      <c r="D2113" t="s">
        <v>845</v>
      </c>
      <c r="E2113" t="s">
        <v>3046</v>
      </c>
      <c r="F2113" t="s">
        <v>3045</v>
      </c>
    </row>
    <row r="2114" spans="1:6" x14ac:dyDescent="0.25">
      <c r="A2114" t="s">
        <v>3047</v>
      </c>
      <c r="B2114" t="s">
        <v>2148</v>
      </c>
      <c r="C2114" t="s">
        <v>706</v>
      </c>
      <c r="D2114" t="s">
        <v>753</v>
      </c>
      <c r="E2114" t="s">
        <v>2311</v>
      </c>
      <c r="F2114" t="s">
        <v>3047</v>
      </c>
    </row>
    <row r="2115" spans="1:6" x14ac:dyDescent="0.25">
      <c r="A2115" t="s">
        <v>3048</v>
      </c>
      <c r="B2115" t="s">
        <v>794</v>
      </c>
      <c r="C2115" t="s">
        <v>2530</v>
      </c>
      <c r="D2115" t="s">
        <v>2531</v>
      </c>
      <c r="E2115" t="s">
        <v>394</v>
      </c>
      <c r="F2115" t="s">
        <v>394</v>
      </c>
    </row>
    <row r="2116" spans="1:5" x14ac:dyDescent="0.25">
      <c r="A2116" t="s">
        <v>3049</v>
      </c>
      <c r="B2116" t="s">
        <v>692</v>
      </c>
      <c r="E2116" t="s">
        <v>394</v>
      </c>
    </row>
    <row r="2117" spans="1:6" x14ac:dyDescent="0.25">
      <c r="A2117" t="s">
        <v>3050</v>
      </c>
      <c r="B2117" t="s">
        <v>695</v>
      </c>
      <c r="C2117" t="s">
        <v>706</v>
      </c>
      <c r="D2117" t="s">
        <v>707</v>
      </c>
      <c r="E2117" t="s">
        <v>2712</v>
      </c>
      <c r="F2117" t="s">
        <v>3051</v>
      </c>
    </row>
    <row r="2118" spans="1:6" x14ac:dyDescent="0.25">
      <c r="A2118" t="s">
        <v>3050</v>
      </c>
      <c r="B2118" t="s">
        <v>705</v>
      </c>
      <c r="C2118" t="s">
        <v>706</v>
      </c>
      <c r="D2118" t="s">
        <v>707</v>
      </c>
      <c r="E2118" t="s">
        <v>2712</v>
      </c>
      <c r="F2118" t="s">
        <v>3052</v>
      </c>
    </row>
    <row r="2119" spans="1:5" x14ac:dyDescent="0.25">
      <c r="A2119" t="s">
        <v>3053</v>
      </c>
      <c r="B2119" t="s">
        <v>692</v>
      </c>
      <c r="E2119" t="s">
        <v>394</v>
      </c>
    </row>
    <row r="2120" spans="1:6" x14ac:dyDescent="0.25">
      <c r="A2120" t="s">
        <v>3054</v>
      </c>
      <c r="B2120" t="s">
        <v>695</v>
      </c>
      <c r="C2120" t="s">
        <v>696</v>
      </c>
      <c r="D2120" t="s">
        <v>697</v>
      </c>
      <c r="E2120" t="s">
        <v>1092</v>
      </c>
      <c r="F2120" t="s">
        <v>3055</v>
      </c>
    </row>
    <row r="2121" spans="1:5" x14ac:dyDescent="0.25">
      <c r="A2121" t="s">
        <v>3056</v>
      </c>
      <c r="B2121" t="s">
        <v>692</v>
      </c>
      <c r="E2121" t="s">
        <v>110</v>
      </c>
    </row>
    <row r="2122" spans="1:5" x14ac:dyDescent="0.25">
      <c r="A2122" t="s">
        <v>3057</v>
      </c>
      <c r="B2122" t="s">
        <v>692</v>
      </c>
      <c r="E2122" t="s">
        <v>193</v>
      </c>
    </row>
    <row r="2123" spans="1:6" x14ac:dyDescent="0.25">
      <c r="A2123" t="s">
        <v>3058</v>
      </c>
      <c r="B2123" t="s">
        <v>695</v>
      </c>
      <c r="C2123" t="s">
        <v>706</v>
      </c>
      <c r="D2123" t="s">
        <v>707</v>
      </c>
      <c r="E2123" t="s">
        <v>3059</v>
      </c>
      <c r="F2123" t="s">
        <v>3060</v>
      </c>
    </row>
    <row r="2124" spans="1:5" x14ac:dyDescent="0.25">
      <c r="A2124" t="s">
        <v>3061</v>
      </c>
      <c r="B2124" t="s">
        <v>692</v>
      </c>
      <c r="E2124" t="s">
        <v>598</v>
      </c>
    </row>
    <row r="2125" spans="1:6" x14ac:dyDescent="0.25">
      <c r="A2125" t="s">
        <v>3062</v>
      </c>
      <c r="B2125" t="s">
        <v>764</v>
      </c>
      <c r="C2125" t="s">
        <v>702</v>
      </c>
      <c r="D2125" t="s">
        <v>761</v>
      </c>
      <c r="E2125" t="s">
        <v>327</v>
      </c>
      <c r="F2125" t="s">
        <v>924</v>
      </c>
    </row>
    <row r="2126" spans="1:6" x14ac:dyDescent="0.25">
      <c r="A2126" t="s">
        <v>3063</v>
      </c>
      <c r="B2126" t="s">
        <v>764</v>
      </c>
      <c r="C2126" t="s">
        <v>702</v>
      </c>
      <c r="D2126" t="s">
        <v>761</v>
      </c>
      <c r="E2126" t="s">
        <v>327</v>
      </c>
      <c r="F2126" t="s">
        <v>924</v>
      </c>
    </row>
    <row r="2127" spans="1:6" x14ac:dyDescent="0.25">
      <c r="A2127" t="s">
        <v>3064</v>
      </c>
      <c r="B2127" t="s">
        <v>764</v>
      </c>
      <c r="C2127" t="s">
        <v>702</v>
      </c>
      <c r="D2127" t="s">
        <v>761</v>
      </c>
      <c r="E2127" t="s">
        <v>327</v>
      </c>
      <c r="F2127" t="s">
        <v>924</v>
      </c>
    </row>
    <row r="2128" spans="1:6" x14ac:dyDescent="0.25">
      <c r="A2128" t="s">
        <v>3065</v>
      </c>
      <c r="B2128" t="s">
        <v>692</v>
      </c>
      <c r="E2128" t="s">
        <v>606</v>
      </c>
      <c r="F2128" t="s">
        <v>120</v>
      </c>
    </row>
    <row r="2129" spans="1:6" x14ac:dyDescent="0.25">
      <c r="A2129" t="s">
        <v>3066</v>
      </c>
      <c r="B2129" t="s">
        <v>764</v>
      </c>
      <c r="C2129" t="s">
        <v>702</v>
      </c>
      <c r="D2129" t="s">
        <v>962</v>
      </c>
      <c r="E2129" t="s">
        <v>103</v>
      </c>
      <c r="F2129" t="s">
        <v>103</v>
      </c>
    </row>
    <row r="2130" spans="1:6" x14ac:dyDescent="0.25">
      <c r="A2130" t="s">
        <v>3067</v>
      </c>
      <c r="B2130" t="s">
        <v>695</v>
      </c>
      <c r="C2130" t="s">
        <v>702</v>
      </c>
      <c r="D2130" t="s">
        <v>2107</v>
      </c>
      <c r="E2130" t="s">
        <v>2401</v>
      </c>
      <c r="F2130" t="s">
        <v>3068</v>
      </c>
    </row>
    <row r="2131" spans="1:6" x14ac:dyDescent="0.25">
      <c r="A2131" t="s">
        <v>3069</v>
      </c>
      <c r="B2131" t="s">
        <v>695</v>
      </c>
      <c r="C2131" t="s">
        <v>706</v>
      </c>
      <c r="D2131" t="s">
        <v>2184</v>
      </c>
      <c r="E2131" t="s">
        <v>288</v>
      </c>
      <c r="F2131" t="s">
        <v>3070</v>
      </c>
    </row>
    <row r="2132" spans="1:6" x14ac:dyDescent="0.25">
      <c r="A2132" t="s">
        <v>3069</v>
      </c>
      <c r="B2132" t="s">
        <v>705</v>
      </c>
      <c r="C2132" t="s">
        <v>706</v>
      </c>
      <c r="D2132" t="s">
        <v>2184</v>
      </c>
      <c r="E2132" t="s">
        <v>288</v>
      </c>
      <c r="F2132" t="s">
        <v>2370</v>
      </c>
    </row>
    <row r="2133" spans="1:5" x14ac:dyDescent="0.25">
      <c r="A2133" t="s">
        <v>3069</v>
      </c>
      <c r="B2133" t="s">
        <v>692</v>
      </c>
      <c r="E2133" t="s">
        <v>288</v>
      </c>
    </row>
    <row r="2134" spans="1:6" x14ac:dyDescent="0.25">
      <c r="A2134" t="s">
        <v>3071</v>
      </c>
      <c r="B2134" t="s">
        <v>705</v>
      </c>
      <c r="C2134" t="s">
        <v>706</v>
      </c>
      <c r="D2134" t="s">
        <v>2184</v>
      </c>
      <c r="E2134" t="s">
        <v>288</v>
      </c>
      <c r="F2134" t="s">
        <v>2370</v>
      </c>
    </row>
    <row r="2135" spans="1:6" x14ac:dyDescent="0.25">
      <c r="A2135" t="s">
        <v>3072</v>
      </c>
      <c r="B2135" t="s">
        <v>695</v>
      </c>
      <c r="C2135" t="s">
        <v>706</v>
      </c>
      <c r="D2135" t="s">
        <v>2330</v>
      </c>
      <c r="E2135" t="s">
        <v>2331</v>
      </c>
      <c r="F2135" t="s">
        <v>3073</v>
      </c>
    </row>
    <row r="2136" spans="1:6" x14ac:dyDescent="0.25">
      <c r="A2136" t="s">
        <v>3074</v>
      </c>
      <c r="B2136" t="s">
        <v>695</v>
      </c>
      <c r="C2136" t="s">
        <v>706</v>
      </c>
      <c r="D2136" t="s">
        <v>2330</v>
      </c>
      <c r="E2136" t="s">
        <v>2331</v>
      </c>
      <c r="F2136" t="s">
        <v>3075</v>
      </c>
    </row>
    <row r="2137" spans="1:6" x14ac:dyDescent="0.25">
      <c r="A2137" t="s">
        <v>3076</v>
      </c>
      <c r="B2137" t="s">
        <v>695</v>
      </c>
      <c r="C2137" t="s">
        <v>706</v>
      </c>
      <c r="D2137" t="s">
        <v>2330</v>
      </c>
      <c r="E2137" t="s">
        <v>2331</v>
      </c>
      <c r="F2137" t="s">
        <v>3077</v>
      </c>
    </row>
    <row r="2138" spans="1:6" x14ac:dyDescent="0.25">
      <c r="A2138" t="s">
        <v>3078</v>
      </c>
      <c r="B2138" t="s">
        <v>695</v>
      </c>
      <c r="C2138" t="s">
        <v>706</v>
      </c>
      <c r="D2138" t="s">
        <v>2330</v>
      </c>
      <c r="E2138" t="s">
        <v>2331</v>
      </c>
      <c r="F2138" t="s">
        <v>3079</v>
      </c>
    </row>
    <row r="2139" spans="1:6" x14ac:dyDescent="0.25">
      <c r="A2139" t="s">
        <v>3080</v>
      </c>
      <c r="B2139" t="s">
        <v>695</v>
      </c>
      <c r="C2139" t="s">
        <v>706</v>
      </c>
      <c r="D2139" t="s">
        <v>2330</v>
      </c>
      <c r="E2139" t="s">
        <v>2331</v>
      </c>
      <c r="F2139" t="s">
        <v>3081</v>
      </c>
    </row>
    <row r="2140" spans="1:6" x14ac:dyDescent="0.25">
      <c r="A2140" t="s">
        <v>3082</v>
      </c>
      <c r="B2140" t="s">
        <v>701</v>
      </c>
      <c r="C2140" t="s">
        <v>746</v>
      </c>
      <c r="D2140" t="s">
        <v>2907</v>
      </c>
      <c r="E2140" t="s">
        <v>3083</v>
      </c>
      <c r="F2140" t="s">
        <v>3082</v>
      </c>
    </row>
    <row r="2141" spans="1:6" x14ac:dyDescent="0.25">
      <c r="A2141" t="s">
        <v>3082</v>
      </c>
      <c r="B2141" t="s">
        <v>2105</v>
      </c>
      <c r="C2141" t="s">
        <v>746</v>
      </c>
      <c r="D2141" t="s">
        <v>2907</v>
      </c>
      <c r="E2141" t="s">
        <v>3083</v>
      </c>
      <c r="F2141" t="s">
        <v>3082</v>
      </c>
    </row>
    <row r="2142" spans="1:6" x14ac:dyDescent="0.25">
      <c r="A2142" t="s">
        <v>3084</v>
      </c>
      <c r="B2142" t="s">
        <v>701</v>
      </c>
      <c r="C2142" t="s">
        <v>746</v>
      </c>
      <c r="D2142" t="s">
        <v>2907</v>
      </c>
      <c r="E2142" t="s">
        <v>3083</v>
      </c>
      <c r="F2142" t="s">
        <v>3084</v>
      </c>
    </row>
    <row r="2143" spans="1:6" x14ac:dyDescent="0.25">
      <c r="A2143" t="s">
        <v>3084</v>
      </c>
      <c r="B2143" t="s">
        <v>2105</v>
      </c>
      <c r="C2143" t="s">
        <v>746</v>
      </c>
      <c r="D2143" t="s">
        <v>2907</v>
      </c>
      <c r="E2143" t="s">
        <v>3083</v>
      </c>
      <c r="F2143" t="s">
        <v>3084</v>
      </c>
    </row>
    <row r="2144" spans="1:6" x14ac:dyDescent="0.25">
      <c r="A2144" t="s">
        <v>3085</v>
      </c>
      <c r="B2144" t="s">
        <v>2148</v>
      </c>
      <c r="C2144" t="s">
        <v>746</v>
      </c>
      <c r="D2144" t="s">
        <v>2907</v>
      </c>
      <c r="E2144" t="s">
        <v>3083</v>
      </c>
      <c r="F2144" t="s">
        <v>3085</v>
      </c>
    </row>
    <row r="2145" spans="1:6" x14ac:dyDescent="0.25">
      <c r="A2145" t="s">
        <v>3086</v>
      </c>
      <c r="B2145" t="s">
        <v>695</v>
      </c>
      <c r="C2145" t="s">
        <v>706</v>
      </c>
      <c r="D2145" t="s">
        <v>845</v>
      </c>
      <c r="E2145" t="s">
        <v>272</v>
      </c>
      <c r="F2145" t="s">
        <v>3087</v>
      </c>
    </row>
    <row r="2146" spans="1:6" x14ac:dyDescent="0.25">
      <c r="A2146" t="s">
        <v>3086</v>
      </c>
      <c r="B2146" t="s">
        <v>705</v>
      </c>
      <c r="C2146" t="s">
        <v>706</v>
      </c>
      <c r="D2146" t="s">
        <v>845</v>
      </c>
      <c r="E2146" t="s">
        <v>272</v>
      </c>
      <c r="F2146" t="s">
        <v>381</v>
      </c>
    </row>
    <row r="2147" spans="1:6" x14ac:dyDescent="0.25">
      <c r="A2147" t="s">
        <v>3088</v>
      </c>
      <c r="B2147" t="s">
        <v>695</v>
      </c>
      <c r="C2147" t="s">
        <v>706</v>
      </c>
      <c r="D2147" t="s">
        <v>845</v>
      </c>
      <c r="E2147" t="s">
        <v>272</v>
      </c>
      <c r="F2147" t="s">
        <v>3089</v>
      </c>
    </row>
    <row r="2148" spans="1:6" x14ac:dyDescent="0.25">
      <c r="A2148" t="s">
        <v>3088</v>
      </c>
      <c r="B2148" t="s">
        <v>794</v>
      </c>
      <c r="C2148" t="s">
        <v>706</v>
      </c>
      <c r="D2148" t="s">
        <v>845</v>
      </c>
      <c r="E2148" t="s">
        <v>272</v>
      </c>
      <c r="F2148" t="s">
        <v>272</v>
      </c>
    </row>
    <row r="2149" spans="1:6" x14ac:dyDescent="0.25">
      <c r="A2149" t="s">
        <v>3088</v>
      </c>
      <c r="B2149" t="s">
        <v>705</v>
      </c>
      <c r="C2149" t="s">
        <v>706</v>
      </c>
      <c r="D2149" t="s">
        <v>845</v>
      </c>
      <c r="E2149" t="s">
        <v>272</v>
      </c>
      <c r="F2149" t="s">
        <v>381</v>
      </c>
    </row>
    <row r="2150" spans="1:6" x14ac:dyDescent="0.25">
      <c r="A2150" t="s">
        <v>3090</v>
      </c>
      <c r="B2150" t="s">
        <v>705</v>
      </c>
      <c r="C2150" t="s">
        <v>706</v>
      </c>
      <c r="D2150" t="s">
        <v>845</v>
      </c>
      <c r="E2150" t="s">
        <v>272</v>
      </c>
      <c r="F2150" t="s">
        <v>381</v>
      </c>
    </row>
    <row r="2151" spans="1:6" x14ac:dyDescent="0.25">
      <c r="A2151" t="s">
        <v>3091</v>
      </c>
      <c r="B2151" t="s">
        <v>705</v>
      </c>
      <c r="C2151" t="s">
        <v>706</v>
      </c>
      <c r="D2151" t="s">
        <v>845</v>
      </c>
      <c r="E2151" t="s">
        <v>272</v>
      </c>
      <c r="F2151" t="s">
        <v>381</v>
      </c>
    </row>
    <row r="2152" spans="1:5" x14ac:dyDescent="0.25">
      <c r="A2152" t="s">
        <v>3092</v>
      </c>
      <c r="B2152" t="s">
        <v>692</v>
      </c>
      <c r="E2152" t="s">
        <v>272</v>
      </c>
    </row>
    <row r="2153" spans="1:6" x14ac:dyDescent="0.25">
      <c r="A2153" t="s">
        <v>3093</v>
      </c>
      <c r="B2153" t="s">
        <v>695</v>
      </c>
      <c r="C2153" t="s">
        <v>706</v>
      </c>
      <c r="D2153" t="s">
        <v>845</v>
      </c>
      <c r="E2153" t="s">
        <v>272</v>
      </c>
      <c r="F2153" t="s">
        <v>3094</v>
      </c>
    </row>
    <row r="2154" spans="1:5" x14ac:dyDescent="0.25">
      <c r="A2154" t="s">
        <v>3095</v>
      </c>
      <c r="B2154" t="s">
        <v>692</v>
      </c>
      <c r="E2154" t="s">
        <v>3096</v>
      </c>
    </row>
    <row r="2155" spans="1:6" x14ac:dyDescent="0.25">
      <c r="A2155" t="s">
        <v>3097</v>
      </c>
      <c r="B2155" t="s">
        <v>764</v>
      </c>
      <c r="C2155" t="s">
        <v>702</v>
      </c>
      <c r="D2155" t="s">
        <v>962</v>
      </c>
      <c r="E2155" t="s">
        <v>103</v>
      </c>
      <c r="F2155" t="s">
        <v>103</v>
      </c>
    </row>
    <row r="2156" spans="1:5" x14ac:dyDescent="0.25">
      <c r="A2156" t="s">
        <v>3098</v>
      </c>
      <c r="B2156" t="s">
        <v>692</v>
      </c>
      <c r="E2156" t="s">
        <v>90</v>
      </c>
    </row>
    <row r="2157" spans="1:5" x14ac:dyDescent="0.25">
      <c r="A2157" t="s">
        <v>3099</v>
      </c>
      <c r="B2157" t="s">
        <v>692</v>
      </c>
      <c r="E2157" t="s">
        <v>90</v>
      </c>
    </row>
    <row r="2158" spans="1:5" x14ac:dyDescent="0.25">
      <c r="A2158" t="s">
        <v>3100</v>
      </c>
      <c r="B2158" t="s">
        <v>692</v>
      </c>
      <c r="E2158" t="s">
        <v>90</v>
      </c>
    </row>
    <row r="2159" spans="1:5" x14ac:dyDescent="0.25">
      <c r="A2159" t="s">
        <v>3101</v>
      </c>
      <c r="B2159" t="s">
        <v>692</v>
      </c>
      <c r="E2159" t="s">
        <v>90</v>
      </c>
    </row>
    <row r="2160" spans="1:5" x14ac:dyDescent="0.25">
      <c r="A2160" t="s">
        <v>3102</v>
      </c>
      <c r="B2160" t="s">
        <v>692</v>
      </c>
      <c r="E2160" t="s">
        <v>2461</v>
      </c>
    </row>
    <row r="2161" spans="1:6" x14ac:dyDescent="0.25">
      <c r="A2161" t="s">
        <v>3103</v>
      </c>
      <c r="B2161" t="s">
        <v>794</v>
      </c>
      <c r="C2161" t="s">
        <v>706</v>
      </c>
      <c r="D2161" t="s">
        <v>1043</v>
      </c>
      <c r="E2161" t="s">
        <v>981</v>
      </c>
      <c r="F2161" t="s">
        <v>981</v>
      </c>
    </row>
    <row r="2162" spans="1:5" x14ac:dyDescent="0.25">
      <c r="A2162" t="s">
        <v>3104</v>
      </c>
      <c r="B2162" t="s">
        <v>692</v>
      </c>
      <c r="E2162" t="s">
        <v>97</v>
      </c>
    </row>
    <row r="2163" spans="1:5" x14ac:dyDescent="0.25">
      <c r="A2163" t="s">
        <v>3105</v>
      </c>
      <c r="B2163" t="s">
        <v>692</v>
      </c>
      <c r="E2163" t="s">
        <v>828</v>
      </c>
    </row>
    <row r="2164" spans="1:5" x14ac:dyDescent="0.25">
      <c r="A2164" t="s">
        <v>3106</v>
      </c>
      <c r="B2164" t="s">
        <v>692</v>
      </c>
      <c r="E2164" t="s">
        <v>3107</v>
      </c>
    </row>
    <row r="2165" spans="1:5" x14ac:dyDescent="0.25">
      <c r="A2165" t="s">
        <v>3108</v>
      </c>
      <c r="B2165" t="s">
        <v>692</v>
      </c>
      <c r="E2165" t="s">
        <v>3107</v>
      </c>
    </row>
    <row r="2166" spans="1:5" x14ac:dyDescent="0.25">
      <c r="A2166" t="s">
        <v>3109</v>
      </c>
      <c r="B2166" t="s">
        <v>692</v>
      </c>
      <c r="E2166" t="s">
        <v>1002</v>
      </c>
    </row>
    <row r="2167" spans="1:6" x14ac:dyDescent="0.25">
      <c r="A2167" t="s">
        <v>3110</v>
      </c>
      <c r="B2167" t="s">
        <v>695</v>
      </c>
      <c r="C2167" t="s">
        <v>1138</v>
      </c>
      <c r="D2167" t="s">
        <v>1139</v>
      </c>
      <c r="E2167" t="s">
        <v>1002</v>
      </c>
      <c r="F2167" t="s">
        <v>3111</v>
      </c>
    </row>
    <row r="2168" spans="1:5" x14ac:dyDescent="0.25">
      <c r="A2168" t="s">
        <v>3112</v>
      </c>
      <c r="B2168" t="s">
        <v>692</v>
      </c>
      <c r="E2168" t="s">
        <v>1002</v>
      </c>
    </row>
    <row r="2169" spans="1:6" x14ac:dyDescent="0.25">
      <c r="A2169" t="s">
        <v>3113</v>
      </c>
      <c r="B2169" t="s">
        <v>705</v>
      </c>
      <c r="C2169" t="s">
        <v>1138</v>
      </c>
      <c r="D2169" t="s">
        <v>1139</v>
      </c>
      <c r="E2169" t="s">
        <v>1002</v>
      </c>
      <c r="F2169" t="s">
        <v>1140</v>
      </c>
    </row>
    <row r="2170" spans="1:6" x14ac:dyDescent="0.25">
      <c r="A2170" t="s">
        <v>3114</v>
      </c>
      <c r="B2170" t="s">
        <v>695</v>
      </c>
      <c r="C2170" t="s">
        <v>1138</v>
      </c>
      <c r="D2170" t="s">
        <v>1139</v>
      </c>
      <c r="E2170" t="s">
        <v>1002</v>
      </c>
      <c r="F2170" t="s">
        <v>3115</v>
      </c>
    </row>
    <row r="2171" spans="1:6" x14ac:dyDescent="0.25">
      <c r="A2171" t="s">
        <v>3116</v>
      </c>
      <c r="B2171" t="s">
        <v>705</v>
      </c>
      <c r="C2171" t="s">
        <v>1138</v>
      </c>
      <c r="D2171" t="s">
        <v>1139</v>
      </c>
      <c r="E2171" t="s">
        <v>1002</v>
      </c>
      <c r="F2171" t="s">
        <v>1140</v>
      </c>
    </row>
    <row r="2172" spans="1:6" x14ac:dyDescent="0.25">
      <c r="A2172" t="s">
        <v>3117</v>
      </c>
      <c r="B2172" t="s">
        <v>695</v>
      </c>
      <c r="C2172" t="s">
        <v>1138</v>
      </c>
      <c r="D2172" t="s">
        <v>1139</v>
      </c>
      <c r="E2172" t="s">
        <v>1002</v>
      </c>
      <c r="F2172" t="s">
        <v>3118</v>
      </c>
    </row>
    <row r="2173" spans="1:6" x14ac:dyDescent="0.25">
      <c r="A2173" t="s">
        <v>3119</v>
      </c>
      <c r="B2173" t="s">
        <v>695</v>
      </c>
      <c r="C2173" t="s">
        <v>1138</v>
      </c>
      <c r="D2173" t="s">
        <v>1139</v>
      </c>
      <c r="E2173" t="s">
        <v>1002</v>
      </c>
      <c r="F2173" t="s">
        <v>3120</v>
      </c>
    </row>
    <row r="2174" spans="1:6" x14ac:dyDescent="0.25">
      <c r="A2174" t="s">
        <v>3119</v>
      </c>
      <c r="B2174" t="s">
        <v>705</v>
      </c>
      <c r="C2174" t="s">
        <v>1138</v>
      </c>
      <c r="D2174" t="s">
        <v>1139</v>
      </c>
      <c r="E2174" t="s">
        <v>1002</v>
      </c>
      <c r="F2174" t="s">
        <v>1140</v>
      </c>
    </row>
    <row r="2175" spans="1:5" x14ac:dyDescent="0.25">
      <c r="A2175" t="s">
        <v>3121</v>
      </c>
      <c r="B2175" t="s">
        <v>692</v>
      </c>
      <c r="E2175" t="s">
        <v>1002</v>
      </c>
    </row>
    <row r="2176" spans="1:5" x14ac:dyDescent="0.25">
      <c r="A2176" t="s">
        <v>3122</v>
      </c>
      <c r="B2176" t="s">
        <v>692</v>
      </c>
      <c r="E2176" t="s">
        <v>1002</v>
      </c>
    </row>
    <row r="2177" spans="1:6" x14ac:dyDescent="0.25">
      <c r="A2177" t="s">
        <v>3123</v>
      </c>
      <c r="B2177" t="s">
        <v>705</v>
      </c>
      <c r="C2177" t="s">
        <v>1138</v>
      </c>
      <c r="D2177" t="s">
        <v>1139</v>
      </c>
      <c r="E2177" t="s">
        <v>1002</v>
      </c>
      <c r="F2177" t="s">
        <v>1140</v>
      </c>
    </row>
    <row r="2178" spans="1:5" x14ac:dyDescent="0.25">
      <c r="A2178" t="s">
        <v>3124</v>
      </c>
      <c r="B2178" t="s">
        <v>692</v>
      </c>
      <c r="E2178" t="s">
        <v>1002</v>
      </c>
    </row>
    <row r="2179" spans="1:6" x14ac:dyDescent="0.25">
      <c r="A2179" t="s">
        <v>3125</v>
      </c>
      <c r="B2179" t="s">
        <v>705</v>
      </c>
      <c r="C2179" t="s">
        <v>1138</v>
      </c>
      <c r="D2179" t="s">
        <v>1139</v>
      </c>
      <c r="E2179" t="s">
        <v>1002</v>
      </c>
      <c r="F2179" t="s">
        <v>1140</v>
      </c>
    </row>
    <row r="2180" spans="1:6" x14ac:dyDescent="0.25">
      <c r="A2180" t="s">
        <v>3126</v>
      </c>
      <c r="B2180" t="s">
        <v>764</v>
      </c>
      <c r="C2180" t="s">
        <v>782</v>
      </c>
      <c r="D2180" t="s">
        <v>849</v>
      </c>
      <c r="E2180" t="s">
        <v>850</v>
      </c>
      <c r="F2180" t="s">
        <v>851</v>
      </c>
    </row>
    <row r="2181" spans="1:6" x14ac:dyDescent="0.25">
      <c r="A2181" t="s">
        <v>3127</v>
      </c>
      <c r="B2181" t="s">
        <v>764</v>
      </c>
      <c r="C2181" t="s">
        <v>782</v>
      </c>
      <c r="D2181" t="s">
        <v>849</v>
      </c>
      <c r="E2181" t="s">
        <v>850</v>
      </c>
      <c r="F2181" t="s">
        <v>851</v>
      </c>
    </row>
    <row r="2182" spans="1:6" x14ac:dyDescent="0.25">
      <c r="A2182" t="s">
        <v>3128</v>
      </c>
      <c r="B2182" t="s">
        <v>764</v>
      </c>
      <c r="C2182" t="s">
        <v>782</v>
      </c>
      <c r="D2182" t="s">
        <v>849</v>
      </c>
      <c r="E2182" t="s">
        <v>850</v>
      </c>
      <c r="F2182" t="s">
        <v>851</v>
      </c>
    </row>
    <row r="2183" spans="1:6" x14ac:dyDescent="0.25">
      <c r="A2183" t="s">
        <v>3129</v>
      </c>
      <c r="B2183" t="s">
        <v>695</v>
      </c>
      <c r="C2183" t="s">
        <v>696</v>
      </c>
      <c r="D2183" t="s">
        <v>2134</v>
      </c>
      <c r="E2183" t="s">
        <v>3130</v>
      </c>
      <c r="F2183" t="s">
        <v>3129</v>
      </c>
    </row>
    <row r="2184" spans="1:6" x14ac:dyDescent="0.25">
      <c r="A2184" t="s">
        <v>3131</v>
      </c>
      <c r="B2184" t="s">
        <v>695</v>
      </c>
      <c r="C2184" t="s">
        <v>696</v>
      </c>
      <c r="D2184" t="s">
        <v>2219</v>
      </c>
      <c r="E2184" t="s">
        <v>3132</v>
      </c>
      <c r="F2184" t="s">
        <v>3133</v>
      </c>
    </row>
    <row r="2185" spans="1:5" x14ac:dyDescent="0.25">
      <c r="A2185" t="s">
        <v>3134</v>
      </c>
      <c r="B2185" t="s">
        <v>692</v>
      </c>
      <c r="E2185" t="s">
        <v>246</v>
      </c>
    </row>
    <row r="2186" spans="1:6" x14ac:dyDescent="0.25">
      <c r="A2186" t="s">
        <v>3135</v>
      </c>
      <c r="B2186" t="s">
        <v>695</v>
      </c>
      <c r="C2186" t="s">
        <v>706</v>
      </c>
      <c r="D2186" t="s">
        <v>1043</v>
      </c>
      <c r="E2186" t="s">
        <v>981</v>
      </c>
      <c r="F2186" t="s">
        <v>3135</v>
      </c>
    </row>
    <row r="2187" spans="1:6" x14ac:dyDescent="0.25">
      <c r="A2187" t="s">
        <v>3136</v>
      </c>
      <c r="B2187" t="s">
        <v>764</v>
      </c>
      <c r="C2187" t="s">
        <v>702</v>
      </c>
      <c r="D2187" t="s">
        <v>761</v>
      </c>
      <c r="E2187" t="s">
        <v>327</v>
      </c>
      <c r="F2187" t="s">
        <v>924</v>
      </c>
    </row>
    <row r="2188" spans="1:5" x14ac:dyDescent="0.25">
      <c r="A2188" t="s">
        <v>3137</v>
      </c>
      <c r="B2188" t="s">
        <v>692</v>
      </c>
      <c r="E2188" t="s">
        <v>814</v>
      </c>
    </row>
    <row r="2189" spans="1:5" x14ac:dyDescent="0.25">
      <c r="A2189" t="s">
        <v>3138</v>
      </c>
      <c r="B2189" t="s">
        <v>692</v>
      </c>
      <c r="E2189" t="s">
        <v>814</v>
      </c>
    </row>
    <row r="2190" spans="1:5" x14ac:dyDescent="0.25">
      <c r="A2190" t="s">
        <v>3139</v>
      </c>
      <c r="B2190" t="s">
        <v>692</v>
      </c>
      <c r="E2190" t="s">
        <v>814</v>
      </c>
    </row>
    <row r="2191" spans="1:6" x14ac:dyDescent="0.25">
      <c r="A2191" t="s">
        <v>3140</v>
      </c>
      <c r="B2191" t="s">
        <v>764</v>
      </c>
      <c r="C2191" t="s">
        <v>782</v>
      </c>
      <c r="D2191" t="s">
        <v>849</v>
      </c>
      <c r="E2191" t="s">
        <v>850</v>
      </c>
      <c r="F2191" t="s">
        <v>851</v>
      </c>
    </row>
    <row r="2192" spans="1:6" x14ac:dyDescent="0.25">
      <c r="A2192" t="s">
        <v>3141</v>
      </c>
      <c r="B2192" t="s">
        <v>794</v>
      </c>
      <c r="C2192" t="s">
        <v>782</v>
      </c>
      <c r="D2192" t="s">
        <v>836</v>
      </c>
      <c r="E2192" t="s">
        <v>97</v>
      </c>
      <c r="F2192" t="s">
        <v>71</v>
      </c>
    </row>
    <row r="2193" spans="1:5" x14ac:dyDescent="0.25">
      <c r="A2193" t="s">
        <v>3141</v>
      </c>
      <c r="B2193" t="s">
        <v>692</v>
      </c>
      <c r="E2193" t="s">
        <v>97</v>
      </c>
    </row>
    <row r="2194" spans="1:6" x14ac:dyDescent="0.25">
      <c r="A2194" t="s">
        <v>3142</v>
      </c>
      <c r="B2194" t="s">
        <v>701</v>
      </c>
      <c r="C2194" t="s">
        <v>746</v>
      </c>
      <c r="D2194" t="s">
        <v>747</v>
      </c>
      <c r="E2194" t="s">
        <v>748</v>
      </c>
      <c r="F2194" t="s">
        <v>748</v>
      </c>
    </row>
    <row r="2195" spans="1:5" x14ac:dyDescent="0.25">
      <c r="A2195" t="s">
        <v>3143</v>
      </c>
      <c r="B2195" t="s">
        <v>692</v>
      </c>
      <c r="E2195" t="s">
        <v>2237</v>
      </c>
    </row>
    <row r="2196" spans="1:6" x14ac:dyDescent="0.25">
      <c r="A2196" t="s">
        <v>3144</v>
      </c>
      <c r="B2196" t="s">
        <v>695</v>
      </c>
      <c r="C2196" t="s">
        <v>1138</v>
      </c>
      <c r="D2196" t="s">
        <v>2155</v>
      </c>
      <c r="E2196" t="s">
        <v>2156</v>
      </c>
      <c r="F2196" t="s">
        <v>3145</v>
      </c>
    </row>
    <row r="2197" spans="1:6" x14ac:dyDescent="0.25">
      <c r="A2197" t="s">
        <v>3146</v>
      </c>
      <c r="B2197" t="s">
        <v>695</v>
      </c>
      <c r="C2197" t="s">
        <v>1138</v>
      </c>
      <c r="D2197" t="s">
        <v>2155</v>
      </c>
      <c r="E2197" t="s">
        <v>2156</v>
      </c>
      <c r="F2197" t="s">
        <v>3147</v>
      </c>
    </row>
    <row r="2198" spans="1:6" x14ac:dyDescent="0.25">
      <c r="A2198" t="s">
        <v>3148</v>
      </c>
      <c r="B2198" t="s">
        <v>695</v>
      </c>
      <c r="C2198" t="s">
        <v>1138</v>
      </c>
      <c r="D2198" t="s">
        <v>2155</v>
      </c>
      <c r="E2198" t="s">
        <v>2156</v>
      </c>
      <c r="F2198" t="s">
        <v>3149</v>
      </c>
    </row>
    <row r="2199" spans="1:6" x14ac:dyDescent="0.25">
      <c r="A2199" t="s">
        <v>3150</v>
      </c>
      <c r="B2199" t="s">
        <v>695</v>
      </c>
      <c r="C2199" t="s">
        <v>1138</v>
      </c>
      <c r="D2199" t="s">
        <v>2155</v>
      </c>
      <c r="E2199" t="s">
        <v>2156</v>
      </c>
      <c r="F2199" t="s">
        <v>3151</v>
      </c>
    </row>
    <row r="2200" spans="1:6" x14ac:dyDescent="0.25">
      <c r="A2200" t="s">
        <v>3152</v>
      </c>
      <c r="B2200" t="s">
        <v>701</v>
      </c>
      <c r="C2200" t="s">
        <v>746</v>
      </c>
      <c r="D2200" t="s">
        <v>2907</v>
      </c>
      <c r="E2200" t="s">
        <v>3153</v>
      </c>
      <c r="F2200" t="s">
        <v>3152</v>
      </c>
    </row>
    <row r="2201" spans="1:6" x14ac:dyDescent="0.25">
      <c r="A2201" t="s">
        <v>3152</v>
      </c>
      <c r="B2201" t="s">
        <v>2105</v>
      </c>
      <c r="C2201" t="s">
        <v>746</v>
      </c>
      <c r="D2201" t="s">
        <v>2907</v>
      </c>
      <c r="E2201" t="s">
        <v>3153</v>
      </c>
      <c r="F2201" t="s">
        <v>3154</v>
      </c>
    </row>
    <row r="2202" spans="1:6" x14ac:dyDescent="0.25">
      <c r="A2202" t="s">
        <v>3155</v>
      </c>
      <c r="B2202" t="s">
        <v>2148</v>
      </c>
      <c r="C2202" t="s">
        <v>746</v>
      </c>
      <c r="D2202" t="s">
        <v>2907</v>
      </c>
      <c r="E2202" t="s">
        <v>3153</v>
      </c>
      <c r="F2202" t="s">
        <v>3155</v>
      </c>
    </row>
    <row r="2203" spans="1:6" x14ac:dyDescent="0.25">
      <c r="A2203" t="s">
        <v>3156</v>
      </c>
      <c r="B2203" t="s">
        <v>701</v>
      </c>
      <c r="C2203" t="s">
        <v>746</v>
      </c>
      <c r="D2203" t="s">
        <v>2907</v>
      </c>
      <c r="E2203" t="s">
        <v>3157</v>
      </c>
      <c r="F2203" t="s">
        <v>3156</v>
      </c>
    </row>
    <row r="2204" spans="1:6" x14ac:dyDescent="0.25">
      <c r="A2204" t="s">
        <v>3156</v>
      </c>
      <c r="B2204" t="s">
        <v>2105</v>
      </c>
      <c r="C2204" t="s">
        <v>746</v>
      </c>
      <c r="D2204" t="s">
        <v>2907</v>
      </c>
      <c r="E2204" t="s">
        <v>3157</v>
      </c>
      <c r="F2204" t="s">
        <v>3158</v>
      </c>
    </row>
    <row r="2205" spans="1:6" x14ac:dyDescent="0.25">
      <c r="A2205" t="s">
        <v>3159</v>
      </c>
      <c r="B2205" t="s">
        <v>701</v>
      </c>
      <c r="C2205" t="s">
        <v>746</v>
      </c>
      <c r="D2205" t="s">
        <v>2907</v>
      </c>
      <c r="E2205" t="s">
        <v>3157</v>
      </c>
      <c r="F2205" t="s">
        <v>3159</v>
      </c>
    </row>
    <row r="2206" spans="1:6" x14ac:dyDescent="0.25">
      <c r="A2206" t="s">
        <v>3159</v>
      </c>
      <c r="B2206" t="s">
        <v>2105</v>
      </c>
      <c r="C2206" t="s">
        <v>746</v>
      </c>
      <c r="D2206" t="s">
        <v>2907</v>
      </c>
      <c r="E2206" t="s">
        <v>3157</v>
      </c>
      <c r="F2206" t="s">
        <v>3160</v>
      </c>
    </row>
    <row r="2207" spans="1:6" x14ac:dyDescent="0.25">
      <c r="A2207" t="s">
        <v>3161</v>
      </c>
      <c r="B2207" t="s">
        <v>701</v>
      </c>
      <c r="C2207" t="s">
        <v>746</v>
      </c>
      <c r="D2207" t="s">
        <v>2904</v>
      </c>
      <c r="E2207" t="s">
        <v>3162</v>
      </c>
      <c r="F2207" t="s">
        <v>3161</v>
      </c>
    </row>
    <row r="2208" spans="1:6" x14ac:dyDescent="0.25">
      <c r="A2208" t="s">
        <v>3161</v>
      </c>
      <c r="B2208" t="s">
        <v>2105</v>
      </c>
      <c r="C2208" t="s">
        <v>746</v>
      </c>
      <c r="D2208" t="s">
        <v>2904</v>
      </c>
      <c r="E2208" t="s">
        <v>3162</v>
      </c>
      <c r="F2208" t="s">
        <v>3162</v>
      </c>
    </row>
    <row r="2209" spans="1:5" x14ac:dyDescent="0.25">
      <c r="A2209" t="s">
        <v>3163</v>
      </c>
      <c r="B2209" t="s">
        <v>692</v>
      </c>
      <c r="E2209" t="s">
        <v>327</v>
      </c>
    </row>
    <row r="2210" spans="1:6" x14ac:dyDescent="0.25">
      <c r="A2210" t="s">
        <v>3164</v>
      </c>
      <c r="B2210" t="s">
        <v>705</v>
      </c>
      <c r="C2210" t="s">
        <v>706</v>
      </c>
      <c r="D2210" t="s">
        <v>2184</v>
      </c>
      <c r="E2210" t="s">
        <v>2555</v>
      </c>
      <c r="F2210" t="s">
        <v>2556</v>
      </c>
    </row>
    <row r="2211" spans="1:6" x14ac:dyDescent="0.25">
      <c r="A2211" t="s">
        <v>3165</v>
      </c>
      <c r="B2211" t="s">
        <v>705</v>
      </c>
      <c r="C2211" t="s">
        <v>706</v>
      </c>
      <c r="D2211" t="s">
        <v>2184</v>
      </c>
      <c r="E2211" t="s">
        <v>2555</v>
      </c>
      <c r="F2211" t="s">
        <v>2556</v>
      </c>
    </row>
    <row r="2212" spans="1:6" x14ac:dyDescent="0.25">
      <c r="A2212" t="s">
        <v>3166</v>
      </c>
      <c r="B2212" t="s">
        <v>705</v>
      </c>
      <c r="C2212" t="s">
        <v>706</v>
      </c>
      <c r="D2212" t="s">
        <v>2184</v>
      </c>
      <c r="E2212" t="s">
        <v>2555</v>
      </c>
      <c r="F2212" t="s">
        <v>2556</v>
      </c>
    </row>
    <row r="2213" spans="1:6" x14ac:dyDescent="0.25">
      <c r="A2213" t="s">
        <v>3167</v>
      </c>
      <c r="B2213" t="s">
        <v>705</v>
      </c>
      <c r="C2213" t="s">
        <v>706</v>
      </c>
      <c r="D2213" t="s">
        <v>2184</v>
      </c>
      <c r="E2213" t="s">
        <v>2555</v>
      </c>
      <c r="F2213" t="s">
        <v>2556</v>
      </c>
    </row>
    <row r="2214" spans="1:6" x14ac:dyDescent="0.25">
      <c r="A2214" t="s">
        <v>3168</v>
      </c>
      <c r="B2214" t="s">
        <v>705</v>
      </c>
      <c r="C2214" t="s">
        <v>706</v>
      </c>
      <c r="D2214" t="s">
        <v>753</v>
      </c>
      <c r="E2214" t="s">
        <v>360</v>
      </c>
      <c r="F2214" t="s">
        <v>2859</v>
      </c>
    </row>
    <row r="2215" spans="1:6" x14ac:dyDescent="0.25">
      <c r="A2215" t="s">
        <v>3169</v>
      </c>
      <c r="B2215" t="s">
        <v>695</v>
      </c>
      <c r="C2215" t="s">
        <v>706</v>
      </c>
      <c r="D2215" t="s">
        <v>753</v>
      </c>
      <c r="E2215" t="s">
        <v>360</v>
      </c>
      <c r="F2215" t="s">
        <v>3170</v>
      </c>
    </row>
    <row r="2216" spans="1:6" x14ac:dyDescent="0.25">
      <c r="A2216" t="s">
        <v>3169</v>
      </c>
      <c r="B2216" t="s">
        <v>705</v>
      </c>
      <c r="C2216" t="s">
        <v>706</v>
      </c>
      <c r="D2216" t="s">
        <v>753</v>
      </c>
      <c r="E2216" t="s">
        <v>360</v>
      </c>
      <c r="F2216" t="s">
        <v>2859</v>
      </c>
    </row>
    <row r="2217" spans="1:6" x14ac:dyDescent="0.25">
      <c r="A2217" t="s">
        <v>3171</v>
      </c>
      <c r="B2217" t="s">
        <v>701</v>
      </c>
      <c r="C2217" t="s">
        <v>746</v>
      </c>
      <c r="D2217" t="s">
        <v>2195</v>
      </c>
      <c r="E2217" t="s">
        <v>3172</v>
      </c>
      <c r="F2217" t="s">
        <v>3171</v>
      </c>
    </row>
    <row r="2218" spans="1:6" x14ac:dyDescent="0.25">
      <c r="A2218" t="s">
        <v>3171</v>
      </c>
      <c r="B2218" t="s">
        <v>2105</v>
      </c>
      <c r="C2218" t="s">
        <v>746</v>
      </c>
      <c r="D2218" t="s">
        <v>2195</v>
      </c>
      <c r="E2218" t="s">
        <v>3172</v>
      </c>
      <c r="F2218" t="s">
        <v>3173</v>
      </c>
    </row>
    <row r="2219" spans="1:6" x14ac:dyDescent="0.25">
      <c r="A2219" t="s">
        <v>3174</v>
      </c>
      <c r="B2219" t="s">
        <v>701</v>
      </c>
      <c r="C2219" t="s">
        <v>746</v>
      </c>
      <c r="D2219" t="s">
        <v>2195</v>
      </c>
      <c r="E2219" t="s">
        <v>3172</v>
      </c>
      <c r="F2219" t="s">
        <v>3174</v>
      </c>
    </row>
    <row r="2220" spans="1:6" x14ac:dyDescent="0.25">
      <c r="A2220" t="s">
        <v>3174</v>
      </c>
      <c r="B2220" t="s">
        <v>2105</v>
      </c>
      <c r="C2220" t="s">
        <v>746</v>
      </c>
      <c r="D2220" t="s">
        <v>2195</v>
      </c>
      <c r="E2220" t="s">
        <v>3172</v>
      </c>
      <c r="F2220" t="s">
        <v>3175</v>
      </c>
    </row>
    <row r="2221" spans="1:6" x14ac:dyDescent="0.25">
      <c r="A2221" t="s">
        <v>3176</v>
      </c>
      <c r="B2221" t="s">
        <v>2148</v>
      </c>
      <c r="C2221" t="s">
        <v>746</v>
      </c>
      <c r="D2221" t="s">
        <v>2198</v>
      </c>
      <c r="E2221" t="s">
        <v>3177</v>
      </c>
      <c r="F2221" t="s">
        <v>3176</v>
      </c>
    </row>
    <row r="2222" spans="1:6" x14ac:dyDescent="0.25">
      <c r="A2222" t="s">
        <v>3176</v>
      </c>
      <c r="B2222" t="s">
        <v>701</v>
      </c>
      <c r="C2222" t="s">
        <v>746</v>
      </c>
      <c r="D2222" t="s">
        <v>2198</v>
      </c>
      <c r="E2222" t="s">
        <v>3177</v>
      </c>
      <c r="F2222" t="s">
        <v>3176</v>
      </c>
    </row>
    <row r="2223" spans="1:6" x14ac:dyDescent="0.25">
      <c r="A2223" t="s">
        <v>3176</v>
      </c>
      <c r="B2223" t="s">
        <v>2105</v>
      </c>
      <c r="C2223" t="s">
        <v>746</v>
      </c>
      <c r="D2223" t="s">
        <v>2198</v>
      </c>
      <c r="E2223" t="s">
        <v>3177</v>
      </c>
      <c r="F2223" t="s">
        <v>3177</v>
      </c>
    </row>
    <row r="2224" spans="1:5" x14ac:dyDescent="0.25">
      <c r="A2224" t="s">
        <v>3178</v>
      </c>
      <c r="B2224" t="s">
        <v>692</v>
      </c>
      <c r="E2224" t="s">
        <v>394</v>
      </c>
    </row>
    <row r="2225" spans="1:5" x14ac:dyDescent="0.25">
      <c r="A2225" t="s">
        <v>3179</v>
      </c>
      <c r="B2225" t="s">
        <v>692</v>
      </c>
      <c r="E2225" t="s">
        <v>394</v>
      </c>
    </row>
    <row r="2226" spans="1:5" x14ac:dyDescent="0.25">
      <c r="A2226" t="s">
        <v>3180</v>
      </c>
      <c r="B2226" t="s">
        <v>692</v>
      </c>
      <c r="E2226" t="s">
        <v>394</v>
      </c>
    </row>
    <row r="2227" spans="1:6" x14ac:dyDescent="0.25">
      <c r="A2227" t="s">
        <v>3181</v>
      </c>
      <c r="B2227" t="s">
        <v>695</v>
      </c>
      <c r="C2227" t="s">
        <v>696</v>
      </c>
      <c r="D2227" t="s">
        <v>697</v>
      </c>
      <c r="E2227" t="s">
        <v>698</v>
      </c>
      <c r="F2227" t="s">
        <v>3182</v>
      </c>
    </row>
    <row r="2228" spans="1:6" x14ac:dyDescent="0.25">
      <c r="A2228" t="s">
        <v>3183</v>
      </c>
      <c r="B2228" t="s">
        <v>695</v>
      </c>
      <c r="C2228" t="s">
        <v>696</v>
      </c>
      <c r="D2228" t="s">
        <v>697</v>
      </c>
      <c r="E2228" t="s">
        <v>698</v>
      </c>
      <c r="F2228" t="s">
        <v>3184</v>
      </c>
    </row>
    <row r="2229" spans="1:6" x14ac:dyDescent="0.25">
      <c r="A2229" t="s">
        <v>3185</v>
      </c>
      <c r="B2229" t="s">
        <v>695</v>
      </c>
      <c r="C2229" t="s">
        <v>696</v>
      </c>
      <c r="D2229" t="s">
        <v>697</v>
      </c>
      <c r="E2229" t="s">
        <v>698</v>
      </c>
      <c r="F2229" t="s">
        <v>3186</v>
      </c>
    </row>
    <row r="2230" spans="1:6" x14ac:dyDescent="0.25">
      <c r="A2230" t="s">
        <v>3187</v>
      </c>
      <c r="B2230" t="s">
        <v>695</v>
      </c>
      <c r="C2230" t="s">
        <v>696</v>
      </c>
      <c r="D2230" t="s">
        <v>697</v>
      </c>
      <c r="E2230" t="s">
        <v>698</v>
      </c>
      <c r="F2230" t="s">
        <v>3188</v>
      </c>
    </row>
    <row r="2231" spans="1:6" x14ac:dyDescent="0.25">
      <c r="A2231" t="s">
        <v>3189</v>
      </c>
      <c r="B2231" t="s">
        <v>695</v>
      </c>
      <c r="C2231" t="s">
        <v>696</v>
      </c>
      <c r="D2231" t="s">
        <v>697</v>
      </c>
      <c r="E2231" t="s">
        <v>698</v>
      </c>
      <c r="F2231" t="s">
        <v>3190</v>
      </c>
    </row>
    <row r="2232" spans="1:6" x14ac:dyDescent="0.25">
      <c r="A2232" t="s">
        <v>3191</v>
      </c>
      <c r="B2232" t="s">
        <v>695</v>
      </c>
      <c r="C2232" t="s">
        <v>696</v>
      </c>
      <c r="D2232" t="s">
        <v>697</v>
      </c>
      <c r="E2232" t="s">
        <v>698</v>
      </c>
      <c r="F2232" t="s">
        <v>3192</v>
      </c>
    </row>
    <row r="2233" spans="1:6" x14ac:dyDescent="0.25">
      <c r="A2233" t="s">
        <v>3193</v>
      </c>
      <c r="B2233" t="s">
        <v>695</v>
      </c>
      <c r="C2233" t="s">
        <v>696</v>
      </c>
      <c r="D2233" t="s">
        <v>697</v>
      </c>
      <c r="E2233" t="s">
        <v>698</v>
      </c>
      <c r="F2233" t="s">
        <v>3194</v>
      </c>
    </row>
    <row r="2234" spans="1:6" x14ac:dyDescent="0.25">
      <c r="A2234" t="s">
        <v>3195</v>
      </c>
      <c r="B2234" t="s">
        <v>695</v>
      </c>
      <c r="C2234" t="s">
        <v>696</v>
      </c>
      <c r="D2234" t="s">
        <v>697</v>
      </c>
      <c r="E2234" t="s">
        <v>698</v>
      </c>
      <c r="F2234" t="s">
        <v>3196</v>
      </c>
    </row>
    <row r="2235" spans="1:5" x14ac:dyDescent="0.25">
      <c r="A2235" t="s">
        <v>3197</v>
      </c>
      <c r="B2235" t="s">
        <v>692</v>
      </c>
      <c r="E2235" t="s">
        <v>633</v>
      </c>
    </row>
    <row r="2236" spans="1:5" x14ac:dyDescent="0.25">
      <c r="A2236" t="s">
        <v>3198</v>
      </c>
      <c r="B2236" t="s">
        <v>692</v>
      </c>
      <c r="E2236" t="s">
        <v>97</v>
      </c>
    </row>
    <row r="2237" spans="1:5" x14ac:dyDescent="0.25">
      <c r="A2237" t="s">
        <v>3199</v>
      </c>
      <c r="B2237" t="s">
        <v>692</v>
      </c>
      <c r="E2237" t="s">
        <v>90</v>
      </c>
    </row>
    <row r="2238" spans="1:6" x14ac:dyDescent="0.25">
      <c r="A2238" t="s">
        <v>3200</v>
      </c>
      <c r="B2238" t="s">
        <v>695</v>
      </c>
      <c r="C2238" t="s">
        <v>706</v>
      </c>
      <c r="D2238" t="s">
        <v>707</v>
      </c>
      <c r="E2238" t="s">
        <v>2712</v>
      </c>
      <c r="F2238" t="s">
        <v>3201</v>
      </c>
    </row>
    <row r="2239" spans="1:6" x14ac:dyDescent="0.25">
      <c r="A2239" t="s">
        <v>3202</v>
      </c>
      <c r="B2239" t="s">
        <v>692</v>
      </c>
      <c r="E2239" t="s">
        <v>606</v>
      </c>
      <c r="F2239" t="s">
        <v>120</v>
      </c>
    </row>
    <row r="2240" spans="1:5" x14ac:dyDescent="0.25">
      <c r="A2240" t="s">
        <v>3203</v>
      </c>
      <c r="B2240" t="s">
        <v>692</v>
      </c>
      <c r="E2240" t="s">
        <v>3204</v>
      </c>
    </row>
    <row r="2241" spans="1:6" x14ac:dyDescent="0.25">
      <c r="A2241" t="s">
        <v>3205</v>
      </c>
      <c r="B2241" t="s">
        <v>764</v>
      </c>
      <c r="C2241" t="s">
        <v>758</v>
      </c>
      <c r="D2241" t="s">
        <v>979</v>
      </c>
      <c r="E2241" t="s">
        <v>85</v>
      </c>
      <c r="F2241" t="s">
        <v>124</v>
      </c>
    </row>
    <row r="2242" spans="1:6" x14ac:dyDescent="0.25">
      <c r="A2242" t="s">
        <v>3205</v>
      </c>
      <c r="B2242" t="s">
        <v>794</v>
      </c>
      <c r="C2242" t="s">
        <v>758</v>
      </c>
      <c r="D2242" t="s">
        <v>979</v>
      </c>
      <c r="E2242" t="s">
        <v>85</v>
      </c>
      <c r="F2242" t="s">
        <v>1789</v>
      </c>
    </row>
    <row r="2243" spans="1:6" x14ac:dyDescent="0.25">
      <c r="A2243" t="s">
        <v>3206</v>
      </c>
      <c r="B2243" t="s">
        <v>764</v>
      </c>
      <c r="C2243" t="s">
        <v>758</v>
      </c>
      <c r="D2243" t="s">
        <v>875</v>
      </c>
      <c r="E2243" t="s">
        <v>173</v>
      </c>
      <c r="F2243" t="s">
        <v>206</v>
      </c>
    </row>
    <row r="2244" spans="1:6" x14ac:dyDescent="0.25">
      <c r="A2244" t="s">
        <v>3207</v>
      </c>
      <c r="B2244" t="s">
        <v>705</v>
      </c>
      <c r="C2244" t="s">
        <v>706</v>
      </c>
      <c r="D2244" t="s">
        <v>2184</v>
      </c>
      <c r="E2244" t="s">
        <v>2555</v>
      </c>
      <c r="F2244" t="s">
        <v>2556</v>
      </c>
    </row>
    <row r="2245" spans="1:6" x14ac:dyDescent="0.25">
      <c r="A2245" t="s">
        <v>3208</v>
      </c>
      <c r="B2245" t="s">
        <v>705</v>
      </c>
      <c r="C2245" t="s">
        <v>706</v>
      </c>
      <c r="D2245" t="s">
        <v>2184</v>
      </c>
      <c r="E2245" t="s">
        <v>2555</v>
      </c>
      <c r="F2245" t="s">
        <v>2556</v>
      </c>
    </row>
    <row r="2246" spans="1:6" x14ac:dyDescent="0.25">
      <c r="A2246" t="s">
        <v>3209</v>
      </c>
      <c r="B2246" t="s">
        <v>701</v>
      </c>
      <c r="C2246" t="s">
        <v>758</v>
      </c>
      <c r="D2246" t="s">
        <v>759</v>
      </c>
      <c r="E2246" t="s">
        <v>246</v>
      </c>
      <c r="F2246" t="s">
        <v>246</v>
      </c>
    </row>
    <row r="2247" spans="1:6" x14ac:dyDescent="0.25">
      <c r="A2247" t="s">
        <v>3210</v>
      </c>
      <c r="B2247" t="s">
        <v>701</v>
      </c>
      <c r="C2247" t="s">
        <v>758</v>
      </c>
      <c r="D2247" t="s">
        <v>759</v>
      </c>
      <c r="E2247" t="s">
        <v>246</v>
      </c>
      <c r="F2247" t="s">
        <v>246</v>
      </c>
    </row>
    <row r="2248" spans="1:6" x14ac:dyDescent="0.25">
      <c r="A2248" t="s">
        <v>3211</v>
      </c>
      <c r="B2248" t="s">
        <v>701</v>
      </c>
      <c r="C2248" t="s">
        <v>758</v>
      </c>
      <c r="D2248" t="s">
        <v>759</v>
      </c>
      <c r="E2248" t="s">
        <v>246</v>
      </c>
      <c r="F2248" t="s">
        <v>246</v>
      </c>
    </row>
    <row r="2249" spans="1:6" x14ac:dyDescent="0.25">
      <c r="A2249" t="s">
        <v>3212</v>
      </c>
      <c r="B2249" t="s">
        <v>701</v>
      </c>
      <c r="C2249" t="s">
        <v>758</v>
      </c>
      <c r="D2249" t="s">
        <v>759</v>
      </c>
      <c r="E2249" t="s">
        <v>246</v>
      </c>
      <c r="F2249" t="s">
        <v>246</v>
      </c>
    </row>
    <row r="2250" spans="1:5" x14ac:dyDescent="0.25">
      <c r="A2250" t="s">
        <v>3213</v>
      </c>
      <c r="B2250" t="s">
        <v>692</v>
      </c>
      <c r="E2250" t="s">
        <v>327</v>
      </c>
    </row>
    <row r="2251" spans="1:6" x14ac:dyDescent="0.25">
      <c r="A2251" t="s">
        <v>3214</v>
      </c>
      <c r="B2251" t="s">
        <v>701</v>
      </c>
      <c r="C2251" t="s">
        <v>702</v>
      </c>
      <c r="D2251" t="s">
        <v>134</v>
      </c>
      <c r="E2251" t="s">
        <v>135</v>
      </c>
      <c r="F2251" t="s">
        <v>916</v>
      </c>
    </row>
    <row r="2252" spans="1:6" x14ac:dyDescent="0.25">
      <c r="A2252" t="s">
        <v>3215</v>
      </c>
      <c r="B2252" t="s">
        <v>794</v>
      </c>
      <c r="C2252" t="s">
        <v>706</v>
      </c>
      <c r="D2252" t="s">
        <v>1043</v>
      </c>
      <c r="E2252" t="s">
        <v>1367</v>
      </c>
      <c r="F2252" t="s">
        <v>3216</v>
      </c>
    </row>
    <row r="2253" spans="1:8" x14ac:dyDescent="0.25">
      <c r="A2253" t="s">
        <v>3217</v>
      </c>
      <c r="B2253" t="s">
        <v>794</v>
      </c>
      <c r="C2253" t="s">
        <v>706</v>
      </c>
      <c r="D2253" t="s">
        <v>1123</v>
      </c>
      <c r="E2253" t="s">
        <v>816</v>
      </c>
      <c r="F2253" t="s">
        <v>814</v>
      </c>
      <c r="H2253" t="s">
        <v>814</v>
      </c>
    </row>
    <row r="2254" spans="1:8" x14ac:dyDescent="0.25">
      <c r="A2254" t="s">
        <v>3218</v>
      </c>
      <c r="B2254" t="s">
        <v>705</v>
      </c>
      <c r="C2254" t="s">
        <v>706</v>
      </c>
      <c r="D2254" t="s">
        <v>1918</v>
      </c>
      <c r="E2254" t="s">
        <v>816</v>
      </c>
      <c r="F2254" t="s">
        <v>2422</v>
      </c>
      <c r="H2254" t="s">
        <v>816</v>
      </c>
    </row>
    <row r="2255" spans="1:6" x14ac:dyDescent="0.25">
      <c r="A2255" t="s">
        <v>3219</v>
      </c>
      <c r="B2255" t="s">
        <v>794</v>
      </c>
      <c r="C2255" t="s">
        <v>706</v>
      </c>
      <c r="D2255" t="s">
        <v>1123</v>
      </c>
      <c r="E2255" t="s">
        <v>816</v>
      </c>
      <c r="F2255" t="s">
        <v>814</v>
      </c>
    </row>
    <row r="2256" spans="1:6" x14ac:dyDescent="0.25">
      <c r="A2256" t="s">
        <v>3220</v>
      </c>
      <c r="B2256" t="s">
        <v>695</v>
      </c>
      <c r="C2256" t="s">
        <v>706</v>
      </c>
      <c r="D2256" t="s">
        <v>1918</v>
      </c>
      <c r="E2256" t="s">
        <v>816</v>
      </c>
      <c r="F2256" t="s">
        <v>3221</v>
      </c>
    </row>
    <row r="2257" spans="1:6" x14ac:dyDescent="0.25">
      <c r="A2257" t="s">
        <v>3222</v>
      </c>
      <c r="B2257" t="s">
        <v>705</v>
      </c>
      <c r="C2257" t="s">
        <v>706</v>
      </c>
      <c r="D2257" t="s">
        <v>1918</v>
      </c>
      <c r="E2257" t="s">
        <v>816</v>
      </c>
      <c r="F2257" t="s">
        <v>2422</v>
      </c>
    </row>
    <row r="2258" spans="1:5" x14ac:dyDescent="0.25">
      <c r="A2258" t="s">
        <v>3223</v>
      </c>
      <c r="B2258" t="s">
        <v>692</v>
      </c>
      <c r="E2258" t="s">
        <v>816</v>
      </c>
    </row>
    <row r="2259" spans="1:6" x14ac:dyDescent="0.25">
      <c r="A2259" t="s">
        <v>3224</v>
      </c>
      <c r="B2259" t="s">
        <v>695</v>
      </c>
      <c r="C2259" t="s">
        <v>706</v>
      </c>
      <c r="D2259" t="s">
        <v>1918</v>
      </c>
      <c r="E2259" t="s">
        <v>816</v>
      </c>
      <c r="F2259" t="s">
        <v>3225</v>
      </c>
    </row>
    <row r="2260" spans="1:5" x14ac:dyDescent="0.25">
      <c r="A2260" t="s">
        <v>3226</v>
      </c>
      <c r="B2260" t="s">
        <v>692</v>
      </c>
      <c r="E2260" t="s">
        <v>1002</v>
      </c>
    </row>
    <row r="2261" spans="1:6" x14ac:dyDescent="0.25">
      <c r="A2261" t="s">
        <v>3226</v>
      </c>
      <c r="B2261" t="s">
        <v>705</v>
      </c>
      <c r="C2261" t="s">
        <v>1138</v>
      </c>
      <c r="D2261" t="s">
        <v>1139</v>
      </c>
      <c r="E2261" t="s">
        <v>1002</v>
      </c>
      <c r="F2261" t="s">
        <v>1140</v>
      </c>
    </row>
    <row r="2262" spans="1:5" x14ac:dyDescent="0.25">
      <c r="A2262" t="s">
        <v>3227</v>
      </c>
      <c r="B2262" t="s">
        <v>692</v>
      </c>
      <c r="E2262" t="s">
        <v>1002</v>
      </c>
    </row>
    <row r="2263" spans="1:6" x14ac:dyDescent="0.25">
      <c r="A2263" t="s">
        <v>3227</v>
      </c>
      <c r="B2263" t="s">
        <v>705</v>
      </c>
      <c r="C2263" t="s">
        <v>1138</v>
      </c>
      <c r="D2263" t="s">
        <v>1139</v>
      </c>
      <c r="E2263" t="s">
        <v>1002</v>
      </c>
      <c r="F2263" t="s">
        <v>1140</v>
      </c>
    </row>
    <row r="2264" spans="1:5" x14ac:dyDescent="0.25">
      <c r="A2264" t="s">
        <v>3228</v>
      </c>
      <c r="B2264" t="s">
        <v>692</v>
      </c>
      <c r="E2264" t="s">
        <v>103</v>
      </c>
    </row>
    <row r="2265" spans="1:5" x14ac:dyDescent="0.25">
      <c r="A2265" t="s">
        <v>3229</v>
      </c>
      <c r="B2265" t="s">
        <v>692</v>
      </c>
      <c r="E2265" t="s">
        <v>103</v>
      </c>
    </row>
    <row r="2266" spans="1:6" x14ac:dyDescent="0.25">
      <c r="A2266" t="s">
        <v>3230</v>
      </c>
      <c r="B2266" t="s">
        <v>695</v>
      </c>
      <c r="C2266" t="s">
        <v>706</v>
      </c>
      <c r="D2266" t="s">
        <v>707</v>
      </c>
      <c r="E2266" t="s">
        <v>2712</v>
      </c>
      <c r="F2266" t="s">
        <v>3231</v>
      </c>
    </row>
    <row r="2267" spans="1:6" x14ac:dyDescent="0.25">
      <c r="A2267" t="s">
        <v>3232</v>
      </c>
      <c r="B2267" t="s">
        <v>794</v>
      </c>
      <c r="C2267" t="s">
        <v>782</v>
      </c>
      <c r="D2267" t="s">
        <v>2164</v>
      </c>
      <c r="E2267" t="s">
        <v>693</v>
      </c>
      <c r="F2267" t="s">
        <v>693</v>
      </c>
    </row>
    <row r="2268" spans="1:6" x14ac:dyDescent="0.25">
      <c r="A2268" t="s">
        <v>3233</v>
      </c>
      <c r="B2268" t="s">
        <v>794</v>
      </c>
      <c r="C2268" t="s">
        <v>782</v>
      </c>
      <c r="D2268" t="s">
        <v>2164</v>
      </c>
      <c r="E2268" t="s">
        <v>693</v>
      </c>
      <c r="F2268" t="s">
        <v>693</v>
      </c>
    </row>
    <row r="2269" spans="1:6" x14ac:dyDescent="0.25">
      <c r="A2269" t="s">
        <v>3234</v>
      </c>
      <c r="B2269" t="s">
        <v>794</v>
      </c>
      <c r="C2269" t="s">
        <v>782</v>
      </c>
      <c r="D2269" t="s">
        <v>2164</v>
      </c>
      <c r="E2269" t="s">
        <v>693</v>
      </c>
      <c r="F2269" t="s">
        <v>693</v>
      </c>
    </row>
    <row r="2270" spans="1:6" x14ac:dyDescent="0.25">
      <c r="A2270" t="s">
        <v>3235</v>
      </c>
      <c r="B2270" t="s">
        <v>794</v>
      </c>
      <c r="C2270" t="s">
        <v>782</v>
      </c>
      <c r="D2270" t="s">
        <v>2164</v>
      </c>
      <c r="E2270" t="s">
        <v>693</v>
      </c>
      <c r="F2270" t="s">
        <v>693</v>
      </c>
    </row>
    <row r="2271" spans="1:6" x14ac:dyDescent="0.25">
      <c r="A2271" t="s">
        <v>3236</v>
      </c>
      <c r="B2271" t="s">
        <v>705</v>
      </c>
      <c r="C2271" t="s">
        <v>706</v>
      </c>
      <c r="D2271" t="s">
        <v>2184</v>
      </c>
      <c r="E2271" t="s">
        <v>2555</v>
      </c>
      <c r="F2271" t="s">
        <v>2556</v>
      </c>
    </row>
    <row r="2272" spans="1:6" x14ac:dyDescent="0.25">
      <c r="A2272" t="s">
        <v>3237</v>
      </c>
      <c r="B2272" t="s">
        <v>794</v>
      </c>
      <c r="C2272" t="s">
        <v>706</v>
      </c>
      <c r="D2272" t="s">
        <v>1043</v>
      </c>
      <c r="E2272" t="s">
        <v>981</v>
      </c>
      <c r="F2272" t="s">
        <v>981</v>
      </c>
    </row>
    <row r="2273" spans="1:5" x14ac:dyDescent="0.25">
      <c r="A2273" t="s">
        <v>3238</v>
      </c>
      <c r="B2273" t="s">
        <v>692</v>
      </c>
      <c r="E2273" t="s">
        <v>394</v>
      </c>
    </row>
    <row r="2274" spans="1:5" x14ac:dyDescent="0.25">
      <c r="A2274" t="s">
        <v>3239</v>
      </c>
      <c r="B2274" t="s">
        <v>692</v>
      </c>
      <c r="E2274" t="s">
        <v>342</v>
      </c>
    </row>
    <row r="2275" spans="1:6" x14ac:dyDescent="0.25">
      <c r="A2275" t="s">
        <v>3240</v>
      </c>
      <c r="B2275" t="s">
        <v>705</v>
      </c>
      <c r="C2275" t="s">
        <v>1138</v>
      </c>
      <c r="D2275" t="s">
        <v>1139</v>
      </c>
      <c r="E2275" t="s">
        <v>1566</v>
      </c>
      <c r="F2275" t="s">
        <v>2473</v>
      </c>
    </row>
    <row r="2276" spans="1:5" x14ac:dyDescent="0.25">
      <c r="A2276" t="s">
        <v>3241</v>
      </c>
      <c r="B2276" t="s">
        <v>692</v>
      </c>
      <c r="E2276" t="s">
        <v>360</v>
      </c>
    </row>
    <row r="2277" spans="1:6" x14ac:dyDescent="0.25">
      <c r="A2277" t="s">
        <v>3242</v>
      </c>
      <c r="B2277" t="s">
        <v>695</v>
      </c>
      <c r="C2277" t="s">
        <v>706</v>
      </c>
      <c r="D2277" t="s">
        <v>753</v>
      </c>
      <c r="E2277" t="s">
        <v>360</v>
      </c>
      <c r="F2277" t="s">
        <v>3243</v>
      </c>
    </row>
    <row r="2278" spans="1:5" x14ac:dyDescent="0.25">
      <c r="A2278" t="s">
        <v>3244</v>
      </c>
      <c r="B2278" t="s">
        <v>692</v>
      </c>
      <c r="E2278" t="s">
        <v>288</v>
      </c>
    </row>
    <row r="2279" spans="1:5" x14ac:dyDescent="0.25">
      <c r="A2279" t="s">
        <v>3245</v>
      </c>
      <c r="B2279" t="s">
        <v>692</v>
      </c>
      <c r="E2279" t="s">
        <v>288</v>
      </c>
    </row>
    <row r="2280" spans="1:5" x14ac:dyDescent="0.25">
      <c r="A2280" t="s">
        <v>3246</v>
      </c>
      <c r="B2280" t="s">
        <v>692</v>
      </c>
      <c r="E2280" t="s">
        <v>97</v>
      </c>
    </row>
    <row r="2281" spans="1:5" x14ac:dyDescent="0.25">
      <c r="A2281" t="s">
        <v>3247</v>
      </c>
      <c r="B2281" t="s">
        <v>692</v>
      </c>
      <c r="E2281" t="s">
        <v>97</v>
      </c>
    </row>
    <row r="2282" spans="1:5" x14ac:dyDescent="0.25">
      <c r="A2282" t="s">
        <v>3248</v>
      </c>
      <c r="B2282" t="s">
        <v>692</v>
      </c>
      <c r="E2282" t="s">
        <v>97</v>
      </c>
    </row>
    <row r="2283" spans="1:5" x14ac:dyDescent="0.25">
      <c r="A2283" t="s">
        <v>3249</v>
      </c>
      <c r="B2283" t="s">
        <v>692</v>
      </c>
      <c r="E2283" t="s">
        <v>97</v>
      </c>
    </row>
    <row r="2284" spans="1:5" x14ac:dyDescent="0.25">
      <c r="A2284" t="s">
        <v>3250</v>
      </c>
      <c r="B2284" t="s">
        <v>692</v>
      </c>
      <c r="E2284" t="s">
        <v>97</v>
      </c>
    </row>
    <row r="2285" spans="1:5" x14ac:dyDescent="0.25">
      <c r="A2285" t="s">
        <v>96</v>
      </c>
      <c r="B2285" t="s">
        <v>692</v>
      </c>
      <c r="E2285" t="s">
        <v>97</v>
      </c>
    </row>
    <row r="2286" spans="1:6" x14ac:dyDescent="0.25">
      <c r="A2286" t="s">
        <v>3251</v>
      </c>
      <c r="B2286" t="s">
        <v>695</v>
      </c>
      <c r="C2286" t="s">
        <v>702</v>
      </c>
      <c r="D2286" t="s">
        <v>2107</v>
      </c>
      <c r="E2286" t="s">
        <v>3252</v>
      </c>
      <c r="F2286" t="s">
        <v>3253</v>
      </c>
    </row>
    <row r="2287" spans="1:6" x14ac:dyDescent="0.25">
      <c r="A2287" t="s">
        <v>3251</v>
      </c>
      <c r="B2287" t="s">
        <v>2148</v>
      </c>
      <c r="C2287" t="s">
        <v>702</v>
      </c>
      <c r="D2287" t="s">
        <v>2107</v>
      </c>
      <c r="E2287" t="s">
        <v>3252</v>
      </c>
      <c r="F2287" t="s">
        <v>3254</v>
      </c>
    </row>
    <row r="2288" spans="1:5" x14ac:dyDescent="0.25">
      <c r="A2288" t="s">
        <v>3255</v>
      </c>
      <c r="B2288" t="s">
        <v>692</v>
      </c>
      <c r="E2288" t="s">
        <v>2201</v>
      </c>
    </row>
    <row r="2289" spans="1:6" x14ac:dyDescent="0.25">
      <c r="A2289" t="s">
        <v>3256</v>
      </c>
      <c r="B2289" t="s">
        <v>695</v>
      </c>
      <c r="C2289" t="s">
        <v>1138</v>
      </c>
      <c r="D2289" t="s">
        <v>2174</v>
      </c>
      <c r="E2289" t="s">
        <v>2175</v>
      </c>
      <c r="F2289" t="s">
        <v>3257</v>
      </c>
    </row>
    <row r="2290" spans="1:6" x14ac:dyDescent="0.25">
      <c r="A2290" t="s">
        <v>3258</v>
      </c>
      <c r="B2290" t="s">
        <v>764</v>
      </c>
      <c r="C2290" t="s">
        <v>758</v>
      </c>
      <c r="D2290" t="s">
        <v>765</v>
      </c>
      <c r="E2290" t="s">
        <v>337</v>
      </c>
      <c r="F2290" t="s">
        <v>337</v>
      </c>
    </row>
    <row r="2291" spans="1:6" x14ac:dyDescent="0.25">
      <c r="A2291" t="s">
        <v>3259</v>
      </c>
      <c r="B2291" t="s">
        <v>695</v>
      </c>
      <c r="C2291" t="s">
        <v>706</v>
      </c>
      <c r="D2291" t="s">
        <v>2184</v>
      </c>
      <c r="E2291" t="s">
        <v>288</v>
      </c>
      <c r="F2291" t="s">
        <v>3260</v>
      </c>
    </row>
    <row r="2292" spans="1:6" x14ac:dyDescent="0.25">
      <c r="A2292" t="s">
        <v>3261</v>
      </c>
      <c r="B2292" t="s">
        <v>695</v>
      </c>
      <c r="C2292" t="s">
        <v>706</v>
      </c>
      <c r="D2292" t="s">
        <v>2184</v>
      </c>
      <c r="E2292" t="s">
        <v>288</v>
      </c>
      <c r="F2292" t="s">
        <v>3262</v>
      </c>
    </row>
    <row r="2293" spans="1:6" x14ac:dyDescent="0.25">
      <c r="A2293" t="s">
        <v>3263</v>
      </c>
      <c r="B2293" t="s">
        <v>695</v>
      </c>
      <c r="C2293" t="s">
        <v>702</v>
      </c>
      <c r="D2293" t="s">
        <v>2107</v>
      </c>
      <c r="E2293" t="s">
        <v>2401</v>
      </c>
      <c r="F2293" t="s">
        <v>3264</v>
      </c>
    </row>
    <row r="2294" spans="1:6" x14ac:dyDescent="0.25">
      <c r="A2294" t="s">
        <v>312</v>
      </c>
      <c r="B2294" t="s">
        <v>705</v>
      </c>
      <c r="C2294" t="s">
        <v>706</v>
      </c>
      <c r="D2294" t="s">
        <v>753</v>
      </c>
      <c r="E2294" t="s">
        <v>313</v>
      </c>
      <c r="F2294" t="s">
        <v>2125</v>
      </c>
    </row>
    <row r="2295" spans="1:6" x14ac:dyDescent="0.25">
      <c r="A2295" t="s">
        <v>3265</v>
      </c>
      <c r="B2295" t="s">
        <v>695</v>
      </c>
      <c r="C2295" t="s">
        <v>706</v>
      </c>
      <c r="D2295" t="s">
        <v>753</v>
      </c>
      <c r="E2295" t="s">
        <v>360</v>
      </c>
      <c r="F2295" t="s">
        <v>3266</v>
      </c>
    </row>
    <row r="2296" spans="1:6" x14ac:dyDescent="0.25">
      <c r="A2296" t="s">
        <v>3267</v>
      </c>
      <c r="B2296" t="s">
        <v>705</v>
      </c>
      <c r="C2296" t="s">
        <v>706</v>
      </c>
      <c r="D2296" t="s">
        <v>753</v>
      </c>
      <c r="E2296" t="s">
        <v>313</v>
      </c>
      <c r="F2296" t="s">
        <v>2125</v>
      </c>
    </row>
    <row r="2297" spans="1:6" x14ac:dyDescent="0.25">
      <c r="A2297" t="s">
        <v>3268</v>
      </c>
      <c r="B2297" t="s">
        <v>695</v>
      </c>
      <c r="C2297" t="s">
        <v>706</v>
      </c>
      <c r="D2297" t="s">
        <v>753</v>
      </c>
      <c r="E2297" t="s">
        <v>360</v>
      </c>
      <c r="F2297" t="s">
        <v>3269</v>
      </c>
    </row>
    <row r="2298" spans="1:6" x14ac:dyDescent="0.25">
      <c r="A2298" t="s">
        <v>3270</v>
      </c>
      <c r="B2298" t="s">
        <v>705</v>
      </c>
      <c r="C2298" t="s">
        <v>706</v>
      </c>
      <c r="D2298" t="s">
        <v>753</v>
      </c>
      <c r="E2298" t="s">
        <v>313</v>
      </c>
      <c r="F2298" t="s">
        <v>2125</v>
      </c>
    </row>
    <row r="2299" spans="1:6" x14ac:dyDescent="0.25">
      <c r="A2299" t="s">
        <v>3271</v>
      </c>
      <c r="B2299" t="s">
        <v>695</v>
      </c>
      <c r="C2299" t="s">
        <v>696</v>
      </c>
      <c r="D2299" t="s">
        <v>2219</v>
      </c>
      <c r="E2299" t="s">
        <v>3272</v>
      </c>
      <c r="F2299" t="s">
        <v>3273</v>
      </c>
    </row>
    <row r="2300" spans="1:6" x14ac:dyDescent="0.25">
      <c r="A2300" t="s">
        <v>3274</v>
      </c>
      <c r="B2300" t="s">
        <v>695</v>
      </c>
      <c r="C2300" t="s">
        <v>696</v>
      </c>
      <c r="D2300" t="s">
        <v>2219</v>
      </c>
      <c r="E2300" t="s">
        <v>3272</v>
      </c>
      <c r="F2300" t="s">
        <v>3275</v>
      </c>
    </row>
    <row r="2301" spans="1:5" x14ac:dyDescent="0.25">
      <c r="A2301" t="s">
        <v>3276</v>
      </c>
      <c r="B2301" t="s">
        <v>692</v>
      </c>
      <c r="E2301" t="s">
        <v>805</v>
      </c>
    </row>
    <row r="2302" spans="1:6" x14ac:dyDescent="0.25">
      <c r="A2302" t="s">
        <v>3277</v>
      </c>
      <c r="B2302" t="s">
        <v>2148</v>
      </c>
      <c r="C2302" t="s">
        <v>790</v>
      </c>
      <c r="D2302" t="s">
        <v>791</v>
      </c>
      <c r="E2302" t="s">
        <v>805</v>
      </c>
      <c r="F2302" t="s">
        <v>3277</v>
      </c>
    </row>
    <row r="2303" spans="1:6" x14ac:dyDescent="0.25">
      <c r="A2303" t="s">
        <v>3277</v>
      </c>
      <c r="B2303" t="s">
        <v>2105</v>
      </c>
      <c r="C2303" t="s">
        <v>790</v>
      </c>
      <c r="D2303" t="s">
        <v>791</v>
      </c>
      <c r="E2303" t="s">
        <v>805</v>
      </c>
      <c r="F2303" t="s">
        <v>3278</v>
      </c>
    </row>
    <row r="2304" spans="1:6" x14ac:dyDescent="0.25">
      <c r="A2304" t="s">
        <v>3279</v>
      </c>
      <c r="B2304" t="s">
        <v>2105</v>
      </c>
      <c r="C2304" t="s">
        <v>790</v>
      </c>
      <c r="D2304" t="s">
        <v>791</v>
      </c>
      <c r="E2304" t="s">
        <v>805</v>
      </c>
      <c r="F2304" t="s">
        <v>3280</v>
      </c>
    </row>
    <row r="2305" spans="1:6" x14ac:dyDescent="0.25">
      <c r="A2305" t="s">
        <v>792</v>
      </c>
      <c r="B2305" t="s">
        <v>2148</v>
      </c>
      <c r="C2305" t="s">
        <v>790</v>
      </c>
      <c r="D2305" t="s">
        <v>791</v>
      </c>
      <c r="E2305" t="s">
        <v>598</v>
      </c>
      <c r="F2305" t="s">
        <v>792</v>
      </c>
    </row>
    <row r="2306" spans="1:6" x14ac:dyDescent="0.25">
      <c r="A2306" t="s">
        <v>792</v>
      </c>
      <c r="B2306" t="s">
        <v>2357</v>
      </c>
      <c r="C2306" t="s">
        <v>790</v>
      </c>
      <c r="D2306" t="s">
        <v>791</v>
      </c>
      <c r="E2306" t="s">
        <v>598</v>
      </c>
      <c r="F2306" t="s">
        <v>792</v>
      </c>
    </row>
    <row r="2307" spans="1:6" x14ac:dyDescent="0.25">
      <c r="A2307" t="s">
        <v>3281</v>
      </c>
      <c r="B2307" t="s">
        <v>695</v>
      </c>
      <c r="C2307" t="s">
        <v>790</v>
      </c>
      <c r="D2307" t="s">
        <v>791</v>
      </c>
      <c r="E2307" t="s">
        <v>598</v>
      </c>
      <c r="F2307" t="s">
        <v>3281</v>
      </c>
    </row>
    <row r="2308" spans="1:5" x14ac:dyDescent="0.25">
      <c r="A2308" t="s">
        <v>3282</v>
      </c>
      <c r="B2308" t="s">
        <v>692</v>
      </c>
      <c r="E2308" t="s">
        <v>598</v>
      </c>
    </row>
    <row r="2309" spans="1:6" x14ac:dyDescent="0.25">
      <c r="A2309" t="s">
        <v>3283</v>
      </c>
      <c r="B2309" t="s">
        <v>2105</v>
      </c>
      <c r="C2309" t="s">
        <v>790</v>
      </c>
      <c r="D2309" t="s">
        <v>791</v>
      </c>
      <c r="E2309" t="s">
        <v>598</v>
      </c>
      <c r="F2309" t="s">
        <v>3284</v>
      </c>
    </row>
    <row r="2310" spans="1:6" x14ac:dyDescent="0.25">
      <c r="A2310" t="s">
        <v>3285</v>
      </c>
      <c r="B2310" t="s">
        <v>695</v>
      </c>
      <c r="C2310" t="s">
        <v>702</v>
      </c>
      <c r="D2310" t="s">
        <v>2107</v>
      </c>
      <c r="E2310" t="s">
        <v>2108</v>
      </c>
      <c r="F2310" t="s">
        <v>3286</v>
      </c>
    </row>
    <row r="2311" spans="1:6" x14ac:dyDescent="0.25">
      <c r="A2311" t="s">
        <v>3287</v>
      </c>
      <c r="B2311" t="s">
        <v>695</v>
      </c>
      <c r="C2311" t="s">
        <v>702</v>
      </c>
      <c r="D2311" t="s">
        <v>2107</v>
      </c>
      <c r="E2311" t="s">
        <v>2108</v>
      </c>
      <c r="F2311" t="s">
        <v>3288</v>
      </c>
    </row>
    <row r="2312" spans="1:6" x14ac:dyDescent="0.25">
      <c r="A2312" t="s">
        <v>3289</v>
      </c>
      <c r="B2312" t="s">
        <v>695</v>
      </c>
      <c r="C2312" t="s">
        <v>702</v>
      </c>
      <c r="D2312" t="s">
        <v>2107</v>
      </c>
      <c r="E2312" t="s">
        <v>2831</v>
      </c>
      <c r="F2312" t="s">
        <v>3290</v>
      </c>
    </row>
    <row r="2313" spans="1:6" x14ac:dyDescent="0.25">
      <c r="A2313" t="s">
        <v>3291</v>
      </c>
      <c r="B2313" t="s">
        <v>695</v>
      </c>
      <c r="C2313" t="s">
        <v>702</v>
      </c>
      <c r="D2313" t="s">
        <v>2107</v>
      </c>
      <c r="E2313" t="s">
        <v>2108</v>
      </c>
      <c r="F2313" t="s">
        <v>3292</v>
      </c>
    </row>
    <row r="2314" spans="1:6" x14ac:dyDescent="0.25">
      <c r="A2314" t="s">
        <v>3293</v>
      </c>
      <c r="B2314" t="s">
        <v>695</v>
      </c>
      <c r="C2314" t="s">
        <v>702</v>
      </c>
      <c r="D2314" t="s">
        <v>2107</v>
      </c>
      <c r="E2314" t="s">
        <v>2108</v>
      </c>
      <c r="F2314" t="s">
        <v>3294</v>
      </c>
    </row>
    <row r="2315" spans="1:5" x14ac:dyDescent="0.25">
      <c r="A2315" t="s">
        <v>3295</v>
      </c>
      <c r="B2315" t="s">
        <v>692</v>
      </c>
      <c r="E2315" t="s">
        <v>1527</v>
      </c>
    </row>
    <row r="2316" spans="1:6" x14ac:dyDescent="0.25">
      <c r="A2316" t="s">
        <v>3296</v>
      </c>
      <c r="B2316" t="s">
        <v>695</v>
      </c>
      <c r="C2316" t="s">
        <v>1138</v>
      </c>
      <c r="D2316" t="s">
        <v>2289</v>
      </c>
      <c r="E2316" t="s">
        <v>2119</v>
      </c>
      <c r="F2316" t="s">
        <v>3297</v>
      </c>
    </row>
    <row r="2317" spans="1:5" x14ac:dyDescent="0.25">
      <c r="A2317" t="s">
        <v>3298</v>
      </c>
      <c r="B2317" t="s">
        <v>692</v>
      </c>
      <c r="E2317" t="s">
        <v>394</v>
      </c>
    </row>
    <row r="2318" spans="1:5" x14ac:dyDescent="0.25">
      <c r="A2318" t="s">
        <v>3299</v>
      </c>
      <c r="B2318" t="s">
        <v>692</v>
      </c>
      <c r="E2318" t="s">
        <v>394</v>
      </c>
    </row>
    <row r="2319" spans="1:6" x14ac:dyDescent="0.25">
      <c r="A2319" t="s">
        <v>3300</v>
      </c>
      <c r="B2319" t="s">
        <v>695</v>
      </c>
      <c r="C2319" t="s">
        <v>706</v>
      </c>
      <c r="D2319" t="s">
        <v>2184</v>
      </c>
      <c r="E2319" t="s">
        <v>288</v>
      </c>
      <c r="F2319" t="s">
        <v>3301</v>
      </c>
    </row>
    <row r="2320" spans="1:6" x14ac:dyDescent="0.25">
      <c r="A2320" t="s">
        <v>3300</v>
      </c>
      <c r="B2320" t="s">
        <v>705</v>
      </c>
      <c r="C2320" t="s">
        <v>706</v>
      </c>
      <c r="D2320" t="s">
        <v>2184</v>
      </c>
      <c r="E2320" t="s">
        <v>288</v>
      </c>
      <c r="F2320" t="s">
        <v>2370</v>
      </c>
    </row>
    <row r="2321" spans="1:6" x14ac:dyDescent="0.25">
      <c r="A2321" t="s">
        <v>3302</v>
      </c>
      <c r="B2321" t="s">
        <v>705</v>
      </c>
      <c r="C2321" t="s">
        <v>706</v>
      </c>
      <c r="D2321" t="s">
        <v>2184</v>
      </c>
      <c r="E2321" t="s">
        <v>288</v>
      </c>
      <c r="F2321" t="s">
        <v>2370</v>
      </c>
    </row>
    <row r="2322" spans="1:6" x14ac:dyDescent="0.25">
      <c r="A2322" t="s">
        <v>3303</v>
      </c>
      <c r="B2322" t="s">
        <v>2148</v>
      </c>
      <c r="C2322" t="s">
        <v>746</v>
      </c>
      <c r="D2322" t="s">
        <v>2907</v>
      </c>
      <c r="E2322" t="s">
        <v>3304</v>
      </c>
      <c r="F2322" t="s">
        <v>3303</v>
      </c>
    </row>
    <row r="2323" spans="1:6" x14ac:dyDescent="0.25">
      <c r="A2323" t="s">
        <v>3305</v>
      </c>
      <c r="B2323" t="s">
        <v>701</v>
      </c>
      <c r="C2323" t="s">
        <v>746</v>
      </c>
      <c r="D2323" t="s">
        <v>2907</v>
      </c>
      <c r="E2323" t="s">
        <v>3304</v>
      </c>
      <c r="F2323" t="s">
        <v>3306</v>
      </c>
    </row>
    <row r="2324" spans="1:6" x14ac:dyDescent="0.25">
      <c r="A2324" t="s">
        <v>3305</v>
      </c>
      <c r="B2324" t="s">
        <v>2105</v>
      </c>
      <c r="C2324" t="s">
        <v>746</v>
      </c>
      <c r="D2324" t="s">
        <v>2907</v>
      </c>
      <c r="E2324" t="s">
        <v>3304</v>
      </c>
      <c r="F2324" t="s">
        <v>3305</v>
      </c>
    </row>
    <row r="2325" spans="1:6" x14ac:dyDescent="0.25">
      <c r="A2325" t="s">
        <v>3307</v>
      </c>
      <c r="B2325" t="s">
        <v>701</v>
      </c>
      <c r="C2325" t="s">
        <v>746</v>
      </c>
      <c r="D2325" t="s">
        <v>2907</v>
      </c>
      <c r="E2325" t="s">
        <v>3304</v>
      </c>
      <c r="F2325" t="s">
        <v>3308</v>
      </c>
    </row>
    <row r="2326" spans="1:6" x14ac:dyDescent="0.25">
      <c r="A2326" t="s">
        <v>3307</v>
      </c>
      <c r="B2326" t="s">
        <v>2105</v>
      </c>
      <c r="C2326" t="s">
        <v>746</v>
      </c>
      <c r="D2326" t="s">
        <v>2907</v>
      </c>
      <c r="E2326" t="s">
        <v>3304</v>
      </c>
      <c r="F2326" t="s">
        <v>3307</v>
      </c>
    </row>
    <row r="2327" spans="1:6" x14ac:dyDescent="0.25">
      <c r="A2327" t="s">
        <v>3309</v>
      </c>
      <c r="B2327" t="s">
        <v>764</v>
      </c>
      <c r="C2327" t="s">
        <v>758</v>
      </c>
      <c r="D2327" t="s">
        <v>765</v>
      </c>
      <c r="E2327" t="s">
        <v>337</v>
      </c>
      <c r="F2327" t="s">
        <v>337</v>
      </c>
    </row>
    <row r="2328" spans="1:6" x14ac:dyDescent="0.25">
      <c r="A2328" t="s">
        <v>3310</v>
      </c>
      <c r="B2328" t="s">
        <v>764</v>
      </c>
      <c r="C2328" t="s">
        <v>758</v>
      </c>
      <c r="D2328" t="s">
        <v>765</v>
      </c>
      <c r="E2328" t="s">
        <v>337</v>
      </c>
      <c r="F2328" t="s">
        <v>337</v>
      </c>
    </row>
    <row r="2329" spans="1:6" x14ac:dyDescent="0.25">
      <c r="A2329" t="s">
        <v>3311</v>
      </c>
      <c r="B2329" t="s">
        <v>695</v>
      </c>
      <c r="C2329" t="s">
        <v>702</v>
      </c>
      <c r="D2329" t="s">
        <v>2107</v>
      </c>
      <c r="E2329" t="s">
        <v>3252</v>
      </c>
      <c r="F2329" t="s">
        <v>3312</v>
      </c>
    </row>
    <row r="2330" spans="1:5" x14ac:dyDescent="0.25">
      <c r="A2330" t="s">
        <v>3313</v>
      </c>
      <c r="B2330" t="s">
        <v>692</v>
      </c>
      <c r="E2330" t="s">
        <v>394</v>
      </c>
    </row>
    <row r="2331" spans="1:6" x14ac:dyDescent="0.25">
      <c r="A2331" t="s">
        <v>3314</v>
      </c>
      <c r="B2331" t="s">
        <v>764</v>
      </c>
      <c r="C2331" t="s">
        <v>702</v>
      </c>
      <c r="D2331" t="s">
        <v>134</v>
      </c>
      <c r="E2331" t="s">
        <v>135</v>
      </c>
      <c r="F2331" t="s">
        <v>134</v>
      </c>
    </row>
    <row r="2332" spans="1:6" x14ac:dyDescent="0.25">
      <c r="A2332" t="s">
        <v>3314</v>
      </c>
      <c r="B2332" t="s">
        <v>701</v>
      </c>
      <c r="C2332" t="s">
        <v>702</v>
      </c>
      <c r="D2332" t="s">
        <v>134</v>
      </c>
      <c r="E2332" t="s">
        <v>135</v>
      </c>
      <c r="F2332" t="s">
        <v>916</v>
      </c>
    </row>
    <row r="2333" spans="1:5" x14ac:dyDescent="0.25">
      <c r="A2333" t="s">
        <v>3315</v>
      </c>
      <c r="B2333" t="s">
        <v>692</v>
      </c>
      <c r="E2333" t="s">
        <v>90</v>
      </c>
    </row>
    <row r="2334" spans="1:6" x14ac:dyDescent="0.25">
      <c r="A2334" t="s">
        <v>3316</v>
      </c>
      <c r="B2334" t="s">
        <v>695</v>
      </c>
      <c r="C2334" t="s">
        <v>696</v>
      </c>
      <c r="D2334" t="s">
        <v>2219</v>
      </c>
      <c r="E2334" t="s">
        <v>2220</v>
      </c>
      <c r="F2334" t="s">
        <v>3317</v>
      </c>
    </row>
    <row r="2335" spans="1:5" x14ac:dyDescent="0.25">
      <c r="A2335" t="s">
        <v>3318</v>
      </c>
      <c r="B2335" t="s">
        <v>692</v>
      </c>
      <c r="E2335" t="s">
        <v>394</v>
      </c>
    </row>
    <row r="2336" spans="1:5" x14ac:dyDescent="0.25">
      <c r="A2336" t="s">
        <v>3319</v>
      </c>
      <c r="B2336" t="s">
        <v>692</v>
      </c>
      <c r="E2336" t="s">
        <v>394</v>
      </c>
    </row>
    <row r="2337" spans="1:6" x14ac:dyDescent="0.25">
      <c r="A2337" t="s">
        <v>3320</v>
      </c>
      <c r="B2337" t="s">
        <v>2357</v>
      </c>
      <c r="C2337" t="s">
        <v>706</v>
      </c>
      <c r="D2337" t="s">
        <v>753</v>
      </c>
      <c r="E2337" t="s">
        <v>360</v>
      </c>
      <c r="F2337" t="s">
        <v>3320</v>
      </c>
    </row>
    <row r="2338" spans="1:5" x14ac:dyDescent="0.25">
      <c r="A2338" t="s">
        <v>3321</v>
      </c>
      <c r="B2338" t="s">
        <v>692</v>
      </c>
      <c r="E2338" t="s">
        <v>1016</v>
      </c>
    </row>
    <row r="2339" spans="1:6" x14ac:dyDescent="0.25">
      <c r="A2339" t="s">
        <v>3322</v>
      </c>
      <c r="B2339" t="s">
        <v>794</v>
      </c>
      <c r="C2339" t="s">
        <v>706</v>
      </c>
      <c r="D2339" t="s">
        <v>2139</v>
      </c>
      <c r="E2339" t="s">
        <v>1016</v>
      </c>
      <c r="F2339" t="s">
        <v>3322</v>
      </c>
    </row>
    <row r="2340" spans="1:5" x14ac:dyDescent="0.25">
      <c r="A2340" t="s">
        <v>3323</v>
      </c>
      <c r="B2340" t="s">
        <v>692</v>
      </c>
      <c r="E2340" t="s">
        <v>1229</v>
      </c>
    </row>
    <row r="2341" spans="1:6" x14ac:dyDescent="0.25">
      <c r="A2341" t="s">
        <v>3324</v>
      </c>
      <c r="B2341" t="s">
        <v>794</v>
      </c>
      <c r="C2341" t="s">
        <v>1138</v>
      </c>
      <c r="D2341" t="s">
        <v>1139</v>
      </c>
      <c r="E2341" t="s">
        <v>1229</v>
      </c>
      <c r="F2341" t="s">
        <v>1229</v>
      </c>
    </row>
    <row r="2342" spans="1:5" x14ac:dyDescent="0.25">
      <c r="A2342" t="s">
        <v>3324</v>
      </c>
      <c r="B2342" t="s">
        <v>692</v>
      </c>
      <c r="E2342" t="s">
        <v>1229</v>
      </c>
    </row>
    <row r="2343" spans="1:6" x14ac:dyDescent="0.25">
      <c r="A2343" t="s">
        <v>3325</v>
      </c>
      <c r="B2343" t="s">
        <v>794</v>
      </c>
      <c r="C2343" t="s">
        <v>1138</v>
      </c>
      <c r="D2343" t="s">
        <v>1139</v>
      </c>
      <c r="E2343" t="s">
        <v>1229</v>
      </c>
      <c r="F2343" t="s">
        <v>1229</v>
      </c>
    </row>
    <row r="2344" spans="1:6" x14ac:dyDescent="0.25">
      <c r="A2344" t="s">
        <v>3326</v>
      </c>
      <c r="B2344" t="s">
        <v>794</v>
      </c>
      <c r="C2344" t="s">
        <v>1138</v>
      </c>
      <c r="D2344" t="s">
        <v>1139</v>
      </c>
      <c r="E2344" t="s">
        <v>1229</v>
      </c>
      <c r="F2344" t="s">
        <v>1229</v>
      </c>
    </row>
    <row r="2345" spans="1:5" x14ac:dyDescent="0.25">
      <c r="A2345" t="s">
        <v>2422</v>
      </c>
      <c r="B2345" t="s">
        <v>692</v>
      </c>
      <c r="E2345" t="s">
        <v>2150</v>
      </c>
    </row>
    <row r="2346" spans="1:5" x14ac:dyDescent="0.25">
      <c r="A2346" t="s">
        <v>3327</v>
      </c>
      <c r="B2346" t="s">
        <v>692</v>
      </c>
      <c r="E2346" t="s">
        <v>1016</v>
      </c>
    </row>
    <row r="2347" spans="1:6" x14ac:dyDescent="0.25">
      <c r="A2347" t="s">
        <v>3328</v>
      </c>
      <c r="B2347" t="s">
        <v>794</v>
      </c>
      <c r="C2347" t="s">
        <v>2530</v>
      </c>
      <c r="D2347" t="s">
        <v>2531</v>
      </c>
      <c r="E2347" t="s">
        <v>394</v>
      </c>
      <c r="F2347" t="s">
        <v>394</v>
      </c>
    </row>
    <row r="2348" spans="1:6" x14ac:dyDescent="0.25">
      <c r="A2348" t="s">
        <v>3329</v>
      </c>
      <c r="B2348" t="s">
        <v>794</v>
      </c>
      <c r="C2348" t="s">
        <v>2530</v>
      </c>
      <c r="D2348" t="s">
        <v>2531</v>
      </c>
      <c r="E2348" t="s">
        <v>394</v>
      </c>
      <c r="F2348" t="s">
        <v>394</v>
      </c>
    </row>
    <row r="2349" spans="1:6" x14ac:dyDescent="0.25">
      <c r="A2349" t="s">
        <v>3330</v>
      </c>
      <c r="B2349" t="s">
        <v>2105</v>
      </c>
      <c r="C2349" t="s">
        <v>702</v>
      </c>
      <c r="D2349" t="s">
        <v>750</v>
      </c>
      <c r="E2349" t="s">
        <v>1111</v>
      </c>
      <c r="F2349" t="s">
        <v>3331</v>
      </c>
    </row>
    <row r="2350" spans="1:6" x14ac:dyDescent="0.25">
      <c r="A2350" t="s">
        <v>3332</v>
      </c>
      <c r="B2350" t="s">
        <v>794</v>
      </c>
      <c r="C2350" t="s">
        <v>758</v>
      </c>
      <c r="D2350" t="s">
        <v>979</v>
      </c>
      <c r="E2350" t="s">
        <v>85</v>
      </c>
      <c r="F2350" t="s">
        <v>1789</v>
      </c>
    </row>
    <row r="2351" spans="1:6" x14ac:dyDescent="0.25">
      <c r="A2351" t="s">
        <v>3333</v>
      </c>
      <c r="B2351" t="s">
        <v>794</v>
      </c>
      <c r="C2351" t="s">
        <v>758</v>
      </c>
      <c r="D2351" t="s">
        <v>979</v>
      </c>
      <c r="E2351" t="s">
        <v>85</v>
      </c>
      <c r="F2351" t="s">
        <v>1789</v>
      </c>
    </row>
    <row r="2352" spans="1:6" x14ac:dyDescent="0.25">
      <c r="A2352" t="s">
        <v>3334</v>
      </c>
      <c r="B2352" t="s">
        <v>794</v>
      </c>
      <c r="C2352" t="s">
        <v>758</v>
      </c>
      <c r="D2352" t="s">
        <v>979</v>
      </c>
      <c r="E2352" t="s">
        <v>85</v>
      </c>
      <c r="F2352" t="s">
        <v>1789</v>
      </c>
    </row>
    <row r="2353" spans="1:6" x14ac:dyDescent="0.25">
      <c r="A2353" t="s">
        <v>3335</v>
      </c>
      <c r="B2353" t="s">
        <v>794</v>
      </c>
      <c r="C2353" t="s">
        <v>758</v>
      </c>
      <c r="D2353" t="s">
        <v>979</v>
      </c>
      <c r="E2353" t="s">
        <v>85</v>
      </c>
      <c r="F2353" t="s">
        <v>1789</v>
      </c>
    </row>
    <row r="2354" spans="1:6" x14ac:dyDescent="0.25">
      <c r="A2354" t="s">
        <v>3336</v>
      </c>
      <c r="B2354" t="s">
        <v>695</v>
      </c>
      <c r="C2354" t="s">
        <v>706</v>
      </c>
      <c r="D2354" t="s">
        <v>2184</v>
      </c>
      <c r="E2354" t="s">
        <v>3337</v>
      </c>
      <c r="F2354" t="s">
        <v>3336</v>
      </c>
    </row>
    <row r="2355" spans="1:6" x14ac:dyDescent="0.25">
      <c r="A2355" t="s">
        <v>748</v>
      </c>
      <c r="B2355" t="s">
        <v>2105</v>
      </c>
      <c r="C2355" t="s">
        <v>746</v>
      </c>
      <c r="D2355" t="s">
        <v>747</v>
      </c>
      <c r="E2355" t="s">
        <v>748</v>
      </c>
      <c r="F2355" t="s">
        <v>748</v>
      </c>
    </row>
    <row r="2356" spans="1:6" x14ac:dyDescent="0.25">
      <c r="A2356" t="s">
        <v>3338</v>
      </c>
      <c r="B2356" t="s">
        <v>2148</v>
      </c>
      <c r="C2356" t="s">
        <v>746</v>
      </c>
      <c r="D2356" t="s">
        <v>747</v>
      </c>
      <c r="E2356" t="s">
        <v>3339</v>
      </c>
      <c r="F2356" t="s">
        <v>3338</v>
      </c>
    </row>
    <row r="2357" spans="1:6" x14ac:dyDescent="0.25">
      <c r="A2357" t="s">
        <v>3340</v>
      </c>
      <c r="B2357" t="s">
        <v>695</v>
      </c>
      <c r="C2357" t="s">
        <v>696</v>
      </c>
      <c r="D2357" t="s">
        <v>697</v>
      </c>
      <c r="E2357" t="s">
        <v>1092</v>
      </c>
      <c r="F2357" t="s">
        <v>3340</v>
      </c>
    </row>
    <row r="2358" spans="1:6" x14ac:dyDescent="0.25">
      <c r="A2358" t="s">
        <v>3341</v>
      </c>
      <c r="B2358" t="s">
        <v>695</v>
      </c>
      <c r="C2358" t="s">
        <v>696</v>
      </c>
      <c r="D2358" t="s">
        <v>697</v>
      </c>
      <c r="E2358" t="s">
        <v>1092</v>
      </c>
      <c r="F2358" t="s">
        <v>3341</v>
      </c>
    </row>
    <row r="2359" spans="1:6" x14ac:dyDescent="0.25">
      <c r="A2359" t="s">
        <v>3342</v>
      </c>
      <c r="B2359" t="s">
        <v>695</v>
      </c>
      <c r="C2359" t="s">
        <v>696</v>
      </c>
      <c r="D2359" t="s">
        <v>697</v>
      </c>
      <c r="E2359" t="s">
        <v>1092</v>
      </c>
      <c r="F2359" t="s">
        <v>3342</v>
      </c>
    </row>
    <row r="2360" spans="1:6" x14ac:dyDescent="0.25">
      <c r="A2360" t="s">
        <v>3343</v>
      </c>
      <c r="B2360" t="s">
        <v>695</v>
      </c>
      <c r="C2360" t="s">
        <v>696</v>
      </c>
      <c r="D2360" t="s">
        <v>697</v>
      </c>
      <c r="E2360" t="s">
        <v>1092</v>
      </c>
      <c r="F2360" t="s">
        <v>3343</v>
      </c>
    </row>
    <row r="2361" spans="1:6" x14ac:dyDescent="0.25">
      <c r="A2361" t="s">
        <v>3344</v>
      </c>
      <c r="B2361" t="s">
        <v>695</v>
      </c>
      <c r="C2361" t="s">
        <v>696</v>
      </c>
      <c r="D2361" t="s">
        <v>697</v>
      </c>
      <c r="E2361" t="s">
        <v>1092</v>
      </c>
      <c r="F2361" t="s">
        <v>3344</v>
      </c>
    </row>
    <row r="2362" spans="1:6" x14ac:dyDescent="0.25">
      <c r="A2362" t="s">
        <v>3345</v>
      </c>
      <c r="B2362" t="s">
        <v>695</v>
      </c>
      <c r="C2362" t="s">
        <v>696</v>
      </c>
      <c r="D2362" t="s">
        <v>697</v>
      </c>
      <c r="E2362" t="s">
        <v>1092</v>
      </c>
      <c r="F2362" t="s">
        <v>3345</v>
      </c>
    </row>
    <row r="2363" spans="1:6" x14ac:dyDescent="0.25">
      <c r="A2363" t="s">
        <v>3346</v>
      </c>
      <c r="B2363" t="s">
        <v>695</v>
      </c>
      <c r="C2363" t="s">
        <v>696</v>
      </c>
      <c r="D2363" t="s">
        <v>697</v>
      </c>
      <c r="E2363" t="s">
        <v>1092</v>
      </c>
      <c r="F2363" t="s">
        <v>3346</v>
      </c>
    </row>
    <row r="2364" spans="1:6" x14ac:dyDescent="0.25">
      <c r="A2364" t="s">
        <v>3347</v>
      </c>
      <c r="B2364" t="s">
        <v>695</v>
      </c>
      <c r="C2364" t="s">
        <v>696</v>
      </c>
      <c r="D2364" t="s">
        <v>697</v>
      </c>
      <c r="E2364" t="s">
        <v>1092</v>
      </c>
      <c r="F2364" t="s">
        <v>3347</v>
      </c>
    </row>
    <row r="2365" spans="1:6" x14ac:dyDescent="0.25">
      <c r="A2365" t="s">
        <v>3348</v>
      </c>
      <c r="B2365" t="s">
        <v>2148</v>
      </c>
      <c r="C2365" t="s">
        <v>746</v>
      </c>
      <c r="D2365" t="s">
        <v>747</v>
      </c>
      <c r="E2365" t="s">
        <v>3349</v>
      </c>
      <c r="F2365" t="s">
        <v>3348</v>
      </c>
    </row>
    <row r="2366" spans="1:5" x14ac:dyDescent="0.25">
      <c r="A2366" t="s">
        <v>3350</v>
      </c>
      <c r="B2366" t="s">
        <v>692</v>
      </c>
      <c r="E2366" t="s">
        <v>103</v>
      </c>
    </row>
    <row r="2367" spans="1:6" x14ac:dyDescent="0.25">
      <c r="A2367" t="s">
        <v>3351</v>
      </c>
      <c r="B2367" t="s">
        <v>794</v>
      </c>
      <c r="C2367" t="s">
        <v>782</v>
      </c>
      <c r="D2367" t="s">
        <v>783</v>
      </c>
      <c r="E2367" t="s">
        <v>633</v>
      </c>
      <c r="F2367" t="s">
        <v>784</v>
      </c>
    </row>
    <row r="2368" spans="1:5" x14ac:dyDescent="0.25">
      <c r="A2368" t="s">
        <v>3352</v>
      </c>
      <c r="B2368" t="s">
        <v>692</v>
      </c>
      <c r="E2368" t="s">
        <v>265</v>
      </c>
    </row>
    <row r="2369" spans="1:6" x14ac:dyDescent="0.25">
      <c r="A2369" t="s">
        <v>3353</v>
      </c>
      <c r="B2369" t="s">
        <v>794</v>
      </c>
      <c r="C2369" t="s">
        <v>782</v>
      </c>
      <c r="D2369" t="s">
        <v>783</v>
      </c>
      <c r="E2369" t="s">
        <v>633</v>
      </c>
      <c r="F2369" t="s">
        <v>784</v>
      </c>
    </row>
    <row r="2370" spans="1:5" x14ac:dyDescent="0.25">
      <c r="A2370" t="s">
        <v>3354</v>
      </c>
      <c r="B2370" t="s">
        <v>692</v>
      </c>
      <c r="E2370" t="s">
        <v>265</v>
      </c>
    </row>
    <row r="2371" spans="1:5" x14ac:dyDescent="0.25">
      <c r="A2371" t="s">
        <v>3355</v>
      </c>
      <c r="B2371" t="s">
        <v>692</v>
      </c>
      <c r="E2371" t="s">
        <v>265</v>
      </c>
    </row>
    <row r="2372" spans="1:6" x14ac:dyDescent="0.25">
      <c r="A2372" t="s">
        <v>3356</v>
      </c>
      <c r="B2372" t="s">
        <v>695</v>
      </c>
      <c r="C2372" t="s">
        <v>696</v>
      </c>
      <c r="D2372" t="s">
        <v>697</v>
      </c>
      <c r="E2372" t="s">
        <v>698</v>
      </c>
      <c r="F2372" t="s">
        <v>3357</v>
      </c>
    </row>
    <row r="2373" spans="1:5" x14ac:dyDescent="0.25">
      <c r="A2373" t="s">
        <v>3358</v>
      </c>
      <c r="B2373" t="s">
        <v>692</v>
      </c>
      <c r="E2373" t="s">
        <v>828</v>
      </c>
    </row>
    <row r="2374" spans="1:6" x14ac:dyDescent="0.25">
      <c r="A2374" t="s">
        <v>3358</v>
      </c>
      <c r="B2374" t="s">
        <v>2148</v>
      </c>
      <c r="C2374" t="s">
        <v>702</v>
      </c>
      <c r="D2374" t="s">
        <v>827</v>
      </c>
      <c r="E2374" t="s">
        <v>828</v>
      </c>
      <c r="F2374" t="s">
        <v>3359</v>
      </c>
    </row>
    <row r="2375" spans="1:6" x14ac:dyDescent="0.25">
      <c r="A2375" t="s">
        <v>3358</v>
      </c>
      <c r="B2375" t="s">
        <v>2105</v>
      </c>
      <c r="C2375" t="s">
        <v>702</v>
      </c>
      <c r="D2375" t="s">
        <v>827</v>
      </c>
      <c r="E2375" t="s">
        <v>828</v>
      </c>
      <c r="F2375" t="s">
        <v>3360</v>
      </c>
    </row>
    <row r="2376" spans="1:5" x14ac:dyDescent="0.25">
      <c r="A2376" t="s">
        <v>3361</v>
      </c>
      <c r="B2376" t="s">
        <v>692</v>
      </c>
      <c r="E2376" t="s">
        <v>370</v>
      </c>
    </row>
    <row r="2377" spans="1:6" x14ac:dyDescent="0.25">
      <c r="A2377" t="s">
        <v>3362</v>
      </c>
      <c r="B2377" t="s">
        <v>695</v>
      </c>
      <c r="C2377" t="s">
        <v>706</v>
      </c>
      <c r="D2377" t="s">
        <v>845</v>
      </c>
      <c r="E2377" t="s">
        <v>272</v>
      </c>
      <c r="F2377" t="s">
        <v>3362</v>
      </c>
    </row>
    <row r="2378" spans="1:6" x14ac:dyDescent="0.25">
      <c r="A2378" t="s">
        <v>3363</v>
      </c>
      <c r="B2378" t="s">
        <v>695</v>
      </c>
      <c r="C2378" t="s">
        <v>706</v>
      </c>
      <c r="D2378" t="s">
        <v>1123</v>
      </c>
      <c r="E2378" t="s">
        <v>814</v>
      </c>
      <c r="F2378" t="s">
        <v>3363</v>
      </c>
    </row>
    <row r="2379" spans="1:6" x14ac:dyDescent="0.25">
      <c r="A2379" t="s">
        <v>3364</v>
      </c>
      <c r="B2379" t="s">
        <v>2357</v>
      </c>
      <c r="C2379" t="s">
        <v>706</v>
      </c>
      <c r="D2379" t="s">
        <v>1123</v>
      </c>
      <c r="E2379" t="s">
        <v>814</v>
      </c>
      <c r="F2379" t="s">
        <v>3364</v>
      </c>
    </row>
    <row r="2380" spans="1:5" x14ac:dyDescent="0.25">
      <c r="A2380" t="s">
        <v>3365</v>
      </c>
      <c r="B2380" t="s">
        <v>692</v>
      </c>
      <c r="E2380" t="s">
        <v>3107</v>
      </c>
    </row>
    <row r="2381" spans="1:5" x14ac:dyDescent="0.25">
      <c r="A2381" t="s">
        <v>3366</v>
      </c>
      <c r="B2381" t="s">
        <v>692</v>
      </c>
      <c r="E2381" t="s">
        <v>370</v>
      </c>
    </row>
    <row r="2382" spans="1:6" x14ac:dyDescent="0.25">
      <c r="A2382" t="s">
        <v>3367</v>
      </c>
      <c r="B2382" t="s">
        <v>695</v>
      </c>
      <c r="C2382" t="s">
        <v>702</v>
      </c>
      <c r="D2382" t="s">
        <v>2107</v>
      </c>
      <c r="E2382" t="s">
        <v>3368</v>
      </c>
      <c r="F2382" t="s">
        <v>3369</v>
      </c>
    </row>
    <row r="2383" spans="1:5" x14ac:dyDescent="0.25">
      <c r="A2383" t="s">
        <v>3370</v>
      </c>
      <c r="B2383" t="s">
        <v>692</v>
      </c>
      <c r="E2383" t="s">
        <v>370</v>
      </c>
    </row>
    <row r="2384" spans="1:5" x14ac:dyDescent="0.25">
      <c r="A2384" t="s">
        <v>3371</v>
      </c>
      <c r="B2384" t="s">
        <v>692</v>
      </c>
      <c r="E2384" t="s">
        <v>981</v>
      </c>
    </row>
    <row r="2385" spans="1:5" x14ac:dyDescent="0.25">
      <c r="A2385" t="s">
        <v>3372</v>
      </c>
      <c r="B2385" t="s">
        <v>692</v>
      </c>
      <c r="E2385" t="s">
        <v>394</v>
      </c>
    </row>
    <row r="2386" spans="1:5" x14ac:dyDescent="0.25">
      <c r="A2386" t="s">
        <v>3373</v>
      </c>
      <c r="B2386" t="s">
        <v>692</v>
      </c>
      <c r="E2386" t="s">
        <v>394</v>
      </c>
    </row>
    <row r="2387" spans="1:5" x14ac:dyDescent="0.25">
      <c r="A2387" t="s">
        <v>3374</v>
      </c>
      <c r="B2387" t="s">
        <v>692</v>
      </c>
      <c r="E2387" t="s">
        <v>394</v>
      </c>
    </row>
    <row r="2388" spans="1:6" x14ac:dyDescent="0.25">
      <c r="A2388" t="s">
        <v>3375</v>
      </c>
      <c r="B2388" t="s">
        <v>695</v>
      </c>
      <c r="C2388" t="s">
        <v>696</v>
      </c>
      <c r="D2388" t="s">
        <v>697</v>
      </c>
      <c r="E2388" t="s">
        <v>698</v>
      </c>
      <c r="F2388" t="s">
        <v>3376</v>
      </c>
    </row>
    <row r="2389" spans="1:6" x14ac:dyDescent="0.25">
      <c r="A2389" t="s">
        <v>3377</v>
      </c>
      <c r="B2389" t="s">
        <v>695</v>
      </c>
      <c r="C2389" t="s">
        <v>696</v>
      </c>
      <c r="D2389" t="s">
        <v>697</v>
      </c>
      <c r="E2389" t="s">
        <v>698</v>
      </c>
      <c r="F2389" t="s">
        <v>3378</v>
      </c>
    </row>
    <row r="2390" spans="1:5" x14ac:dyDescent="0.25">
      <c r="A2390" t="s">
        <v>3379</v>
      </c>
      <c r="B2390" t="s">
        <v>692</v>
      </c>
      <c r="E2390" t="s">
        <v>698</v>
      </c>
    </row>
    <row r="2391" spans="1:6" x14ac:dyDescent="0.25">
      <c r="A2391" t="s">
        <v>3380</v>
      </c>
      <c r="B2391" t="s">
        <v>794</v>
      </c>
      <c r="C2391" t="s">
        <v>758</v>
      </c>
      <c r="D2391" t="s">
        <v>3381</v>
      </c>
      <c r="E2391" t="s">
        <v>353</v>
      </c>
      <c r="F2391" t="s">
        <v>353</v>
      </c>
    </row>
    <row r="2392" spans="1:5" x14ac:dyDescent="0.25">
      <c r="A2392" t="s">
        <v>3380</v>
      </c>
      <c r="B2392" t="s">
        <v>692</v>
      </c>
      <c r="E2392" t="s">
        <v>353</v>
      </c>
    </row>
    <row r="2393" spans="1:6" x14ac:dyDescent="0.25">
      <c r="A2393" t="s">
        <v>3382</v>
      </c>
      <c r="B2393" t="s">
        <v>695</v>
      </c>
      <c r="C2393" t="s">
        <v>706</v>
      </c>
      <c r="D2393" t="s">
        <v>2184</v>
      </c>
      <c r="E2393" t="s">
        <v>288</v>
      </c>
      <c r="F2393" t="s">
        <v>3383</v>
      </c>
    </row>
    <row r="2394" spans="1:5" x14ac:dyDescent="0.25">
      <c r="A2394" t="s">
        <v>3384</v>
      </c>
      <c r="B2394" t="s">
        <v>692</v>
      </c>
      <c r="E2394" t="s">
        <v>394</v>
      </c>
    </row>
    <row r="2395" spans="1:6" x14ac:dyDescent="0.25">
      <c r="A2395" t="s">
        <v>3385</v>
      </c>
      <c r="B2395" t="s">
        <v>695</v>
      </c>
      <c r="C2395" t="s">
        <v>702</v>
      </c>
      <c r="D2395" t="s">
        <v>2107</v>
      </c>
      <c r="E2395" t="s">
        <v>129</v>
      </c>
      <c r="F2395" t="s">
        <v>3386</v>
      </c>
    </row>
    <row r="2396" spans="1:6" x14ac:dyDescent="0.25">
      <c r="A2396" t="s">
        <v>3387</v>
      </c>
      <c r="B2396" t="s">
        <v>764</v>
      </c>
      <c r="C2396" t="s">
        <v>702</v>
      </c>
      <c r="D2396" t="s">
        <v>962</v>
      </c>
      <c r="E2396" t="s">
        <v>103</v>
      </c>
      <c r="F2396" t="s">
        <v>103</v>
      </c>
    </row>
    <row r="2397" spans="1:6" x14ac:dyDescent="0.25">
      <c r="A2397" t="s">
        <v>3388</v>
      </c>
      <c r="B2397" t="s">
        <v>695</v>
      </c>
      <c r="C2397" t="s">
        <v>706</v>
      </c>
      <c r="D2397" t="s">
        <v>845</v>
      </c>
      <c r="E2397" t="s">
        <v>272</v>
      </c>
      <c r="F2397" t="s">
        <v>3389</v>
      </c>
    </row>
    <row r="2398" spans="1:6" x14ac:dyDescent="0.25">
      <c r="A2398" t="s">
        <v>3388</v>
      </c>
      <c r="B2398" t="s">
        <v>705</v>
      </c>
      <c r="C2398" t="s">
        <v>706</v>
      </c>
      <c r="D2398" t="s">
        <v>845</v>
      </c>
      <c r="E2398" t="s">
        <v>272</v>
      </c>
      <c r="F2398" t="s">
        <v>381</v>
      </c>
    </row>
    <row r="2399" spans="1:6" x14ac:dyDescent="0.25">
      <c r="A2399" t="s">
        <v>3390</v>
      </c>
      <c r="B2399" t="s">
        <v>695</v>
      </c>
      <c r="C2399" t="s">
        <v>706</v>
      </c>
      <c r="D2399" t="s">
        <v>845</v>
      </c>
      <c r="E2399" t="s">
        <v>272</v>
      </c>
      <c r="F2399" t="s">
        <v>3391</v>
      </c>
    </row>
    <row r="2400" spans="1:6" x14ac:dyDescent="0.25">
      <c r="A2400" t="s">
        <v>3390</v>
      </c>
      <c r="B2400" t="s">
        <v>705</v>
      </c>
      <c r="C2400" t="s">
        <v>706</v>
      </c>
      <c r="D2400" t="s">
        <v>845</v>
      </c>
      <c r="E2400" t="s">
        <v>272</v>
      </c>
      <c r="F2400" t="s">
        <v>381</v>
      </c>
    </row>
    <row r="2401" spans="1:6" x14ac:dyDescent="0.25">
      <c r="A2401" t="s">
        <v>3392</v>
      </c>
      <c r="B2401" t="s">
        <v>695</v>
      </c>
      <c r="C2401" t="s">
        <v>706</v>
      </c>
      <c r="D2401" t="s">
        <v>845</v>
      </c>
      <c r="E2401" t="s">
        <v>272</v>
      </c>
      <c r="F2401" t="s">
        <v>3393</v>
      </c>
    </row>
    <row r="2402" spans="1:6" x14ac:dyDescent="0.25">
      <c r="A2402" t="s">
        <v>3392</v>
      </c>
      <c r="B2402" t="s">
        <v>705</v>
      </c>
      <c r="C2402" t="s">
        <v>706</v>
      </c>
      <c r="D2402" t="s">
        <v>845</v>
      </c>
      <c r="E2402" t="s">
        <v>272</v>
      </c>
      <c r="F2402" t="s">
        <v>381</v>
      </c>
    </row>
    <row r="2403" spans="1:5" x14ac:dyDescent="0.25">
      <c r="A2403" t="s">
        <v>3394</v>
      </c>
      <c r="B2403" t="s">
        <v>692</v>
      </c>
      <c r="E2403" t="s">
        <v>272</v>
      </c>
    </row>
    <row r="2404" spans="1:6" x14ac:dyDescent="0.25">
      <c r="A2404" t="s">
        <v>3395</v>
      </c>
      <c r="B2404" t="s">
        <v>2148</v>
      </c>
      <c r="C2404" t="s">
        <v>782</v>
      </c>
      <c r="D2404" t="s">
        <v>2891</v>
      </c>
      <c r="E2404" t="s">
        <v>232</v>
      </c>
      <c r="F2404" t="s">
        <v>3395</v>
      </c>
    </row>
    <row r="2405" spans="1:5" x14ac:dyDescent="0.25">
      <c r="A2405" t="s">
        <v>3396</v>
      </c>
      <c r="B2405" t="s">
        <v>692</v>
      </c>
      <c r="E2405" t="s">
        <v>135</v>
      </c>
    </row>
    <row r="2406" spans="1:5" x14ac:dyDescent="0.25">
      <c r="A2406" t="s">
        <v>3397</v>
      </c>
      <c r="B2406" t="s">
        <v>692</v>
      </c>
      <c r="E2406" t="s">
        <v>1002</v>
      </c>
    </row>
    <row r="2407" spans="1:6" x14ac:dyDescent="0.25">
      <c r="A2407" t="s">
        <v>3398</v>
      </c>
      <c r="B2407" t="s">
        <v>695</v>
      </c>
      <c r="C2407" t="s">
        <v>1138</v>
      </c>
      <c r="D2407" t="s">
        <v>1139</v>
      </c>
      <c r="E2407" t="s">
        <v>1002</v>
      </c>
      <c r="F2407" t="s">
        <v>3399</v>
      </c>
    </row>
    <row r="2408" spans="1:5" x14ac:dyDescent="0.25">
      <c r="A2408" t="s">
        <v>3400</v>
      </c>
      <c r="B2408" t="s">
        <v>692</v>
      </c>
      <c r="E2408" t="s">
        <v>181</v>
      </c>
    </row>
    <row r="2409" spans="1:6" x14ac:dyDescent="0.25">
      <c r="A2409" t="s">
        <v>3401</v>
      </c>
      <c r="B2409" t="s">
        <v>695</v>
      </c>
      <c r="C2409" t="s">
        <v>1138</v>
      </c>
      <c r="D2409" t="s">
        <v>2155</v>
      </c>
      <c r="E2409" t="s">
        <v>2156</v>
      </c>
      <c r="F2409" t="s">
        <v>3402</v>
      </c>
    </row>
    <row r="2410" spans="1:6" x14ac:dyDescent="0.25">
      <c r="A2410" t="s">
        <v>3403</v>
      </c>
      <c r="B2410" t="s">
        <v>695</v>
      </c>
      <c r="C2410" t="s">
        <v>696</v>
      </c>
      <c r="D2410" t="s">
        <v>697</v>
      </c>
      <c r="E2410" t="s">
        <v>1092</v>
      </c>
      <c r="F2410" t="s">
        <v>3404</v>
      </c>
    </row>
    <row r="2411" spans="1:5" x14ac:dyDescent="0.25">
      <c r="A2411" t="s">
        <v>3405</v>
      </c>
      <c r="B2411" t="s">
        <v>692</v>
      </c>
      <c r="E2411" t="s">
        <v>394</v>
      </c>
    </row>
    <row r="2412" spans="1:5" x14ac:dyDescent="0.25">
      <c r="A2412" t="s">
        <v>3406</v>
      </c>
      <c r="B2412" t="s">
        <v>692</v>
      </c>
      <c r="E2412" t="s">
        <v>3407</v>
      </c>
    </row>
    <row r="2413" spans="1:6" x14ac:dyDescent="0.25">
      <c r="A2413" t="s">
        <v>3408</v>
      </c>
      <c r="B2413" t="s">
        <v>695</v>
      </c>
      <c r="C2413" t="s">
        <v>702</v>
      </c>
      <c r="D2413" t="s">
        <v>2107</v>
      </c>
      <c r="E2413" t="s">
        <v>3409</v>
      </c>
      <c r="F2413" t="s">
        <v>3410</v>
      </c>
    </row>
    <row r="2414" spans="1:6" x14ac:dyDescent="0.25">
      <c r="A2414" t="s">
        <v>3411</v>
      </c>
      <c r="B2414" t="s">
        <v>695</v>
      </c>
      <c r="C2414" t="s">
        <v>702</v>
      </c>
      <c r="D2414" t="s">
        <v>2107</v>
      </c>
      <c r="E2414" t="s">
        <v>3409</v>
      </c>
      <c r="F2414" t="s">
        <v>3412</v>
      </c>
    </row>
    <row r="2415" spans="1:6" x14ac:dyDescent="0.25">
      <c r="A2415" t="s">
        <v>3413</v>
      </c>
      <c r="B2415" t="s">
        <v>695</v>
      </c>
      <c r="C2415" t="s">
        <v>696</v>
      </c>
      <c r="D2415" t="s">
        <v>2219</v>
      </c>
      <c r="E2415" t="s">
        <v>2220</v>
      </c>
      <c r="F2415" t="s">
        <v>3414</v>
      </c>
    </row>
    <row r="2416" spans="1:6" x14ac:dyDescent="0.25">
      <c r="A2416" t="s">
        <v>3415</v>
      </c>
      <c r="B2416" t="s">
        <v>695</v>
      </c>
      <c r="C2416" t="s">
        <v>696</v>
      </c>
      <c r="D2416" t="s">
        <v>2219</v>
      </c>
      <c r="E2416" t="s">
        <v>2220</v>
      </c>
      <c r="F2416" t="s">
        <v>3415</v>
      </c>
    </row>
    <row r="2417" spans="1:6" x14ac:dyDescent="0.25">
      <c r="A2417" t="s">
        <v>3416</v>
      </c>
      <c r="B2417" t="s">
        <v>2105</v>
      </c>
      <c r="C2417" t="s">
        <v>758</v>
      </c>
      <c r="D2417" t="s">
        <v>759</v>
      </c>
      <c r="E2417" t="s">
        <v>246</v>
      </c>
      <c r="F2417" t="s">
        <v>3416</v>
      </c>
    </row>
    <row r="2418" spans="1:6" x14ac:dyDescent="0.25">
      <c r="A2418" t="s">
        <v>3417</v>
      </c>
      <c r="B2418" t="s">
        <v>2105</v>
      </c>
      <c r="C2418" t="s">
        <v>758</v>
      </c>
      <c r="D2418" t="s">
        <v>759</v>
      </c>
      <c r="E2418" t="s">
        <v>246</v>
      </c>
      <c r="F2418" t="s">
        <v>3417</v>
      </c>
    </row>
    <row r="2419" spans="1:6" x14ac:dyDescent="0.25">
      <c r="A2419" t="s">
        <v>3418</v>
      </c>
      <c r="B2419" t="s">
        <v>2105</v>
      </c>
      <c r="C2419" t="s">
        <v>758</v>
      </c>
      <c r="D2419" t="s">
        <v>759</v>
      </c>
      <c r="E2419" t="s">
        <v>246</v>
      </c>
      <c r="F2419" t="s">
        <v>3418</v>
      </c>
    </row>
    <row r="2420" spans="1:6" x14ac:dyDescent="0.25">
      <c r="A2420" t="s">
        <v>3419</v>
      </c>
      <c r="B2420" t="s">
        <v>2105</v>
      </c>
      <c r="C2420" t="s">
        <v>758</v>
      </c>
      <c r="D2420" t="s">
        <v>759</v>
      </c>
      <c r="E2420" t="s">
        <v>246</v>
      </c>
      <c r="F2420" t="s">
        <v>3419</v>
      </c>
    </row>
    <row r="2421" spans="1:6" x14ac:dyDescent="0.25">
      <c r="A2421" t="s">
        <v>3420</v>
      </c>
      <c r="B2421" t="s">
        <v>2148</v>
      </c>
      <c r="C2421" t="s">
        <v>758</v>
      </c>
      <c r="D2421" t="s">
        <v>759</v>
      </c>
      <c r="E2421" t="s">
        <v>246</v>
      </c>
      <c r="F2421" t="s">
        <v>3420</v>
      </c>
    </row>
    <row r="2422" spans="1:5" x14ac:dyDescent="0.25">
      <c r="A2422" t="s">
        <v>3421</v>
      </c>
      <c r="B2422" t="s">
        <v>692</v>
      </c>
      <c r="E2422" t="s">
        <v>246</v>
      </c>
    </row>
    <row r="2423" spans="1:5" x14ac:dyDescent="0.25">
      <c r="A2423" t="s">
        <v>3422</v>
      </c>
      <c r="B2423" t="s">
        <v>692</v>
      </c>
      <c r="E2423" t="s">
        <v>322</v>
      </c>
    </row>
    <row r="2424" spans="1:5" x14ac:dyDescent="0.25">
      <c r="A2424" t="s">
        <v>3423</v>
      </c>
      <c r="B2424" t="s">
        <v>692</v>
      </c>
      <c r="E2424" t="s">
        <v>181</v>
      </c>
    </row>
    <row r="2425" spans="1:6" x14ac:dyDescent="0.25">
      <c r="A2425" t="s">
        <v>2362</v>
      </c>
      <c r="B2425" t="s">
        <v>2357</v>
      </c>
      <c r="C2425" t="s">
        <v>696</v>
      </c>
      <c r="D2425" t="s">
        <v>697</v>
      </c>
      <c r="E2425" t="s">
        <v>2362</v>
      </c>
      <c r="F2425" t="s">
        <v>2362</v>
      </c>
    </row>
    <row r="2426" spans="1:6" x14ac:dyDescent="0.25">
      <c r="A2426" t="s">
        <v>3424</v>
      </c>
      <c r="B2426" t="s">
        <v>695</v>
      </c>
      <c r="C2426" t="s">
        <v>696</v>
      </c>
      <c r="D2426" t="s">
        <v>697</v>
      </c>
      <c r="E2426" t="s">
        <v>1092</v>
      </c>
      <c r="F2426" t="s">
        <v>3425</v>
      </c>
    </row>
    <row r="2427" spans="1:6" x14ac:dyDescent="0.25">
      <c r="A2427" t="s">
        <v>3426</v>
      </c>
      <c r="B2427" t="s">
        <v>2357</v>
      </c>
      <c r="C2427" t="s">
        <v>702</v>
      </c>
      <c r="D2427" t="s">
        <v>134</v>
      </c>
      <c r="E2427" t="s">
        <v>135</v>
      </c>
      <c r="F2427" t="s">
        <v>3426</v>
      </c>
    </row>
    <row r="2428" spans="1:6" x14ac:dyDescent="0.25">
      <c r="A2428" t="s">
        <v>3427</v>
      </c>
      <c r="B2428" t="s">
        <v>2357</v>
      </c>
      <c r="C2428" t="s">
        <v>696</v>
      </c>
      <c r="D2428" t="s">
        <v>2134</v>
      </c>
      <c r="E2428" t="s">
        <v>1609</v>
      </c>
      <c r="F2428" t="s">
        <v>3427</v>
      </c>
    </row>
    <row r="2429" spans="1:6" x14ac:dyDescent="0.25">
      <c r="A2429" t="s">
        <v>3428</v>
      </c>
      <c r="B2429" t="s">
        <v>764</v>
      </c>
      <c r="C2429" t="s">
        <v>702</v>
      </c>
      <c r="D2429" t="s">
        <v>761</v>
      </c>
      <c r="E2429" t="s">
        <v>327</v>
      </c>
      <c r="F2429" t="s">
        <v>924</v>
      </c>
    </row>
    <row r="2430" spans="1:6" x14ac:dyDescent="0.25">
      <c r="A2430" t="s">
        <v>3429</v>
      </c>
      <c r="B2430" t="s">
        <v>695</v>
      </c>
      <c r="C2430" t="s">
        <v>706</v>
      </c>
      <c r="D2430" t="s">
        <v>2689</v>
      </c>
      <c r="E2430" t="s">
        <v>2690</v>
      </c>
      <c r="F2430" t="s">
        <v>3430</v>
      </c>
    </row>
    <row r="2431" spans="1:5" x14ac:dyDescent="0.25">
      <c r="A2431" t="s">
        <v>3431</v>
      </c>
      <c r="B2431" t="s">
        <v>692</v>
      </c>
      <c r="E2431" t="s">
        <v>173</v>
      </c>
    </row>
    <row r="2432" spans="1:5" x14ac:dyDescent="0.25">
      <c r="A2432" t="s">
        <v>3432</v>
      </c>
      <c r="B2432" t="s">
        <v>692</v>
      </c>
      <c r="E2432" t="s">
        <v>2950</v>
      </c>
    </row>
    <row r="2433" spans="1:6" x14ac:dyDescent="0.25">
      <c r="A2433" t="s">
        <v>3433</v>
      </c>
      <c r="B2433" t="s">
        <v>695</v>
      </c>
      <c r="C2433" t="s">
        <v>696</v>
      </c>
      <c r="D2433" t="s">
        <v>2127</v>
      </c>
      <c r="E2433" t="s">
        <v>2128</v>
      </c>
      <c r="F2433" t="s">
        <v>3434</v>
      </c>
    </row>
    <row r="2434" spans="1:6" x14ac:dyDescent="0.25">
      <c r="A2434" t="s">
        <v>166</v>
      </c>
      <c r="B2434" t="s">
        <v>794</v>
      </c>
      <c r="C2434" t="s">
        <v>702</v>
      </c>
      <c r="D2434" t="s">
        <v>3435</v>
      </c>
      <c r="E2434" t="s">
        <v>90</v>
      </c>
      <c r="F2434" t="s">
        <v>90</v>
      </c>
    </row>
    <row r="2435" spans="1:6" x14ac:dyDescent="0.25">
      <c r="A2435" t="s">
        <v>3436</v>
      </c>
      <c r="B2435" t="s">
        <v>695</v>
      </c>
      <c r="C2435" t="s">
        <v>696</v>
      </c>
      <c r="D2435" t="s">
        <v>697</v>
      </c>
      <c r="E2435" t="s">
        <v>698</v>
      </c>
      <c r="F2435" t="s">
        <v>3437</v>
      </c>
    </row>
    <row r="2436" spans="1:6" x14ac:dyDescent="0.25">
      <c r="A2436" t="s">
        <v>3438</v>
      </c>
      <c r="B2436" t="s">
        <v>692</v>
      </c>
      <c r="E2436" t="s">
        <v>1704</v>
      </c>
      <c r="F2436" t="s">
        <v>3439</v>
      </c>
    </row>
    <row r="2437" spans="1:6" x14ac:dyDescent="0.25">
      <c r="A2437" t="s">
        <v>3440</v>
      </c>
      <c r="B2437" t="s">
        <v>692</v>
      </c>
      <c r="E2437" t="s">
        <v>1704</v>
      </c>
      <c r="F2437" t="s">
        <v>3439</v>
      </c>
    </row>
    <row r="2438" spans="1:6" x14ac:dyDescent="0.25">
      <c r="A2438" t="s">
        <v>3441</v>
      </c>
      <c r="B2438" t="s">
        <v>692</v>
      </c>
      <c r="E2438" t="s">
        <v>1704</v>
      </c>
      <c r="F2438" t="s">
        <v>3439</v>
      </c>
    </row>
    <row r="2439" spans="1:6" x14ac:dyDescent="0.25">
      <c r="A2439" t="s">
        <v>3442</v>
      </c>
      <c r="B2439" t="s">
        <v>692</v>
      </c>
      <c r="E2439" t="s">
        <v>1704</v>
      </c>
      <c r="F2439" t="s">
        <v>3439</v>
      </c>
    </row>
    <row r="2440" spans="1:6" x14ac:dyDescent="0.25">
      <c r="A2440" t="s">
        <v>3443</v>
      </c>
      <c r="B2440" t="s">
        <v>2148</v>
      </c>
      <c r="C2440" t="s">
        <v>706</v>
      </c>
      <c r="D2440" t="s">
        <v>845</v>
      </c>
      <c r="E2440" t="s">
        <v>3046</v>
      </c>
      <c r="F2440" t="s">
        <v>3443</v>
      </c>
    </row>
    <row r="2441" spans="1:6" x14ac:dyDescent="0.25">
      <c r="A2441" t="s">
        <v>3443</v>
      </c>
      <c r="B2441" t="s">
        <v>701</v>
      </c>
      <c r="C2441" t="s">
        <v>706</v>
      </c>
      <c r="D2441" t="s">
        <v>845</v>
      </c>
      <c r="E2441" t="s">
        <v>3046</v>
      </c>
      <c r="F2441" t="s">
        <v>3443</v>
      </c>
    </row>
    <row r="2442" spans="1:6" x14ac:dyDescent="0.25">
      <c r="A2442" t="s">
        <v>3443</v>
      </c>
      <c r="B2442" t="s">
        <v>2105</v>
      </c>
      <c r="C2442" t="s">
        <v>706</v>
      </c>
      <c r="D2442" t="s">
        <v>845</v>
      </c>
      <c r="E2442" t="s">
        <v>3046</v>
      </c>
      <c r="F2442" t="s">
        <v>3046</v>
      </c>
    </row>
    <row r="2443" spans="1:5" x14ac:dyDescent="0.25">
      <c r="A2443" t="s">
        <v>3444</v>
      </c>
      <c r="B2443" t="s">
        <v>692</v>
      </c>
      <c r="E2443" t="s">
        <v>353</v>
      </c>
    </row>
    <row r="2444" spans="1:5" x14ac:dyDescent="0.25">
      <c r="A2444" t="s">
        <v>3445</v>
      </c>
      <c r="B2444" t="s">
        <v>692</v>
      </c>
      <c r="E2444" t="s">
        <v>539</v>
      </c>
    </row>
    <row r="2445" spans="1:5" x14ac:dyDescent="0.25">
      <c r="A2445" t="s">
        <v>3446</v>
      </c>
      <c r="B2445" t="s">
        <v>692</v>
      </c>
      <c r="E2445" t="s">
        <v>3447</v>
      </c>
    </row>
    <row r="2446" spans="1:6" x14ac:dyDescent="0.25">
      <c r="A2446" t="s">
        <v>3448</v>
      </c>
      <c r="B2446" t="s">
        <v>695</v>
      </c>
      <c r="C2446" t="s">
        <v>696</v>
      </c>
      <c r="D2446" t="s">
        <v>697</v>
      </c>
      <c r="E2446" t="s">
        <v>698</v>
      </c>
      <c r="F2446" t="s">
        <v>3448</v>
      </c>
    </row>
    <row r="2447" spans="1:6" x14ac:dyDescent="0.25">
      <c r="A2447" t="s">
        <v>3449</v>
      </c>
      <c r="B2447" t="s">
        <v>695</v>
      </c>
      <c r="C2447" t="s">
        <v>702</v>
      </c>
      <c r="D2447" t="s">
        <v>2107</v>
      </c>
      <c r="E2447" t="s">
        <v>129</v>
      </c>
      <c r="F2447" t="s">
        <v>3450</v>
      </c>
    </row>
    <row r="2448" spans="1:5" x14ac:dyDescent="0.25">
      <c r="A2448" t="s">
        <v>3451</v>
      </c>
      <c r="B2448" t="s">
        <v>692</v>
      </c>
      <c r="E2448" t="s">
        <v>914</v>
      </c>
    </row>
    <row r="2449" spans="1:5" x14ac:dyDescent="0.25">
      <c r="A2449" t="s">
        <v>3452</v>
      </c>
      <c r="B2449" t="s">
        <v>692</v>
      </c>
      <c r="E2449" t="s">
        <v>914</v>
      </c>
    </row>
    <row r="2450" spans="1:5" x14ac:dyDescent="0.25">
      <c r="A2450" t="s">
        <v>3453</v>
      </c>
      <c r="B2450" t="s">
        <v>692</v>
      </c>
      <c r="E2450" t="s">
        <v>342</v>
      </c>
    </row>
    <row r="2451" spans="1:6" x14ac:dyDescent="0.25">
      <c r="A2451" t="s">
        <v>3454</v>
      </c>
      <c r="B2451" t="s">
        <v>695</v>
      </c>
      <c r="C2451" t="s">
        <v>696</v>
      </c>
      <c r="D2451" t="s">
        <v>2219</v>
      </c>
      <c r="E2451" t="s">
        <v>3132</v>
      </c>
      <c r="F2451" t="s">
        <v>3455</v>
      </c>
    </row>
    <row r="2452" spans="1:5" x14ac:dyDescent="0.25">
      <c r="A2452" t="s">
        <v>3456</v>
      </c>
      <c r="B2452" t="s">
        <v>692</v>
      </c>
      <c r="E2452" t="s">
        <v>110</v>
      </c>
    </row>
    <row r="2453" spans="1:5" x14ac:dyDescent="0.25">
      <c r="A2453" t="s">
        <v>3457</v>
      </c>
      <c r="B2453" t="s">
        <v>692</v>
      </c>
      <c r="E2453" t="s">
        <v>1111</v>
      </c>
    </row>
    <row r="2454" spans="1:6" x14ac:dyDescent="0.25">
      <c r="A2454" t="s">
        <v>3458</v>
      </c>
      <c r="B2454" t="s">
        <v>695</v>
      </c>
      <c r="C2454" t="s">
        <v>702</v>
      </c>
      <c r="D2454" t="s">
        <v>2107</v>
      </c>
      <c r="E2454" t="s">
        <v>2401</v>
      </c>
      <c r="F2454" t="s">
        <v>3459</v>
      </c>
    </row>
    <row r="2455" spans="1:5" x14ac:dyDescent="0.25">
      <c r="A2455" t="s">
        <v>3460</v>
      </c>
      <c r="B2455" t="s">
        <v>692</v>
      </c>
      <c r="E2455" t="s">
        <v>110</v>
      </c>
    </row>
    <row r="2456" spans="1:6" x14ac:dyDescent="0.25">
      <c r="A2456" t="s">
        <v>124</v>
      </c>
      <c r="B2456" t="s">
        <v>2148</v>
      </c>
      <c r="C2456" t="s">
        <v>758</v>
      </c>
      <c r="D2456" t="s">
        <v>979</v>
      </c>
      <c r="E2456" t="s">
        <v>85</v>
      </c>
      <c r="F2456" t="s">
        <v>124</v>
      </c>
    </row>
    <row r="2457" spans="1:6" x14ac:dyDescent="0.25">
      <c r="A2457" t="s">
        <v>124</v>
      </c>
      <c r="B2457" t="s">
        <v>794</v>
      </c>
      <c r="C2457" t="s">
        <v>758</v>
      </c>
      <c r="D2457" t="s">
        <v>979</v>
      </c>
      <c r="E2457" t="s">
        <v>85</v>
      </c>
      <c r="F2457" t="s">
        <v>1789</v>
      </c>
    </row>
    <row r="2458" spans="1:6" x14ac:dyDescent="0.25">
      <c r="A2458" t="s">
        <v>3461</v>
      </c>
      <c r="B2458" t="s">
        <v>695</v>
      </c>
      <c r="C2458" t="s">
        <v>696</v>
      </c>
      <c r="D2458" t="s">
        <v>2219</v>
      </c>
      <c r="E2458" t="s">
        <v>3272</v>
      </c>
      <c r="F2458" t="s">
        <v>3461</v>
      </c>
    </row>
    <row r="2459" spans="1:5" x14ac:dyDescent="0.25">
      <c r="A2459" t="s">
        <v>3462</v>
      </c>
      <c r="B2459" t="s">
        <v>692</v>
      </c>
      <c r="E2459" t="s">
        <v>914</v>
      </c>
    </row>
    <row r="2460" spans="1:6" x14ac:dyDescent="0.25">
      <c r="A2460" t="s">
        <v>3463</v>
      </c>
      <c r="B2460" t="s">
        <v>695</v>
      </c>
      <c r="C2460" t="s">
        <v>696</v>
      </c>
      <c r="D2460" t="s">
        <v>2219</v>
      </c>
      <c r="E2460" t="s">
        <v>2220</v>
      </c>
      <c r="F2460" t="s">
        <v>3464</v>
      </c>
    </row>
    <row r="2461" spans="1:6" x14ac:dyDescent="0.25">
      <c r="A2461" t="s">
        <v>3465</v>
      </c>
      <c r="B2461" t="s">
        <v>695</v>
      </c>
      <c r="C2461" t="s">
        <v>696</v>
      </c>
      <c r="D2461" t="s">
        <v>697</v>
      </c>
      <c r="E2461" t="s">
        <v>1092</v>
      </c>
      <c r="F2461" t="s">
        <v>3466</v>
      </c>
    </row>
    <row r="2462" spans="1:6" x14ac:dyDescent="0.25">
      <c r="A2462" t="s">
        <v>538</v>
      </c>
      <c r="B2462" t="s">
        <v>2148</v>
      </c>
      <c r="C2462" t="s">
        <v>702</v>
      </c>
      <c r="D2462" t="s">
        <v>750</v>
      </c>
      <c r="E2462" t="s">
        <v>539</v>
      </c>
      <c r="F2462" t="s">
        <v>538</v>
      </c>
    </row>
    <row r="2463" spans="1:6" x14ac:dyDescent="0.25">
      <c r="A2463" t="s">
        <v>538</v>
      </c>
      <c r="B2463" t="s">
        <v>2105</v>
      </c>
      <c r="C2463" t="s">
        <v>702</v>
      </c>
      <c r="D2463" t="s">
        <v>750</v>
      </c>
      <c r="E2463" t="s">
        <v>539</v>
      </c>
      <c r="F2463" t="s">
        <v>3467</v>
      </c>
    </row>
    <row r="2464" spans="1:5" x14ac:dyDescent="0.25">
      <c r="A2464" t="s">
        <v>561</v>
      </c>
      <c r="B2464" t="s">
        <v>692</v>
      </c>
      <c r="E2464" t="s">
        <v>110</v>
      </c>
    </row>
    <row r="2465" spans="1:5" x14ac:dyDescent="0.25">
      <c r="A2465" t="s">
        <v>3468</v>
      </c>
      <c r="B2465" t="s">
        <v>692</v>
      </c>
      <c r="E2465" t="s">
        <v>693</v>
      </c>
    </row>
    <row r="2466" spans="1:5" x14ac:dyDescent="0.25">
      <c r="A2466" t="s">
        <v>3469</v>
      </c>
      <c r="B2466" t="s">
        <v>692</v>
      </c>
      <c r="E2466" t="s">
        <v>110</v>
      </c>
    </row>
    <row r="2467" spans="1:5" x14ac:dyDescent="0.25">
      <c r="A2467" t="s">
        <v>3470</v>
      </c>
      <c r="B2467" t="s">
        <v>692</v>
      </c>
      <c r="E2467" t="s">
        <v>110</v>
      </c>
    </row>
    <row r="2468" spans="1:5" x14ac:dyDescent="0.25">
      <c r="A2468" t="s">
        <v>3471</v>
      </c>
      <c r="B2468" t="s">
        <v>692</v>
      </c>
      <c r="E2468" t="s">
        <v>110</v>
      </c>
    </row>
    <row r="2469" spans="1:5" x14ac:dyDescent="0.25">
      <c r="A2469" t="s">
        <v>3472</v>
      </c>
      <c r="B2469" t="s">
        <v>692</v>
      </c>
      <c r="E2469" t="s">
        <v>110</v>
      </c>
    </row>
    <row r="2470" spans="1:5" x14ac:dyDescent="0.25">
      <c r="A2470" t="s">
        <v>3473</v>
      </c>
      <c r="B2470" t="s">
        <v>692</v>
      </c>
      <c r="E2470" t="s">
        <v>110</v>
      </c>
    </row>
    <row r="2471" spans="1:5" x14ac:dyDescent="0.25">
      <c r="A2471" t="s">
        <v>3474</v>
      </c>
      <c r="B2471" t="s">
        <v>692</v>
      </c>
      <c r="E2471" t="s">
        <v>539</v>
      </c>
    </row>
    <row r="2472" spans="1:5" x14ac:dyDescent="0.25">
      <c r="A2472" t="s">
        <v>3475</v>
      </c>
      <c r="B2472" t="s">
        <v>692</v>
      </c>
      <c r="E2472" t="s">
        <v>539</v>
      </c>
    </row>
    <row r="2473" spans="1:6" x14ac:dyDescent="0.25">
      <c r="A2473" t="s">
        <v>3476</v>
      </c>
      <c r="B2473" t="s">
        <v>701</v>
      </c>
      <c r="C2473" t="s">
        <v>702</v>
      </c>
      <c r="D2473" t="s">
        <v>2606</v>
      </c>
      <c r="E2473" t="s">
        <v>3477</v>
      </c>
      <c r="F2473" t="s">
        <v>3478</v>
      </c>
    </row>
    <row r="2474" spans="1:5" x14ac:dyDescent="0.25">
      <c r="A2474" t="s">
        <v>3479</v>
      </c>
      <c r="B2474" t="s">
        <v>692</v>
      </c>
      <c r="E2474" t="s">
        <v>693</v>
      </c>
    </row>
    <row r="2475" spans="1:6" x14ac:dyDescent="0.25">
      <c r="A2475" t="s">
        <v>3480</v>
      </c>
      <c r="B2475" t="s">
        <v>794</v>
      </c>
      <c r="C2475" t="s">
        <v>782</v>
      </c>
      <c r="D2475" t="s">
        <v>2164</v>
      </c>
      <c r="E2475" t="s">
        <v>693</v>
      </c>
      <c r="F2475" t="s">
        <v>693</v>
      </c>
    </row>
    <row r="2476" spans="1:5" x14ac:dyDescent="0.25">
      <c r="A2476" t="s">
        <v>3481</v>
      </c>
      <c r="B2476" t="s">
        <v>692</v>
      </c>
      <c r="E2476" t="s">
        <v>342</v>
      </c>
    </row>
    <row r="2477" spans="1:6" x14ac:dyDescent="0.25">
      <c r="A2477" t="s">
        <v>762</v>
      </c>
      <c r="B2477" t="s">
        <v>2105</v>
      </c>
      <c r="C2477" t="s">
        <v>702</v>
      </c>
      <c r="D2477" t="s">
        <v>761</v>
      </c>
      <c r="E2477" t="s">
        <v>389</v>
      </c>
      <c r="F2477" t="s">
        <v>3482</v>
      </c>
    </row>
    <row r="2478" spans="1:5" x14ac:dyDescent="0.25">
      <c r="A2478" t="s">
        <v>3483</v>
      </c>
      <c r="B2478" t="s">
        <v>692</v>
      </c>
      <c r="E2478" t="s">
        <v>254</v>
      </c>
    </row>
    <row r="2479" spans="1:5" x14ac:dyDescent="0.25">
      <c r="A2479" t="s">
        <v>3484</v>
      </c>
      <c r="B2479" t="s">
        <v>692</v>
      </c>
      <c r="E2479" t="s">
        <v>327</v>
      </c>
    </row>
    <row r="2480" spans="1:5" x14ac:dyDescent="0.25">
      <c r="A2480" t="s">
        <v>3485</v>
      </c>
      <c r="B2480" t="s">
        <v>692</v>
      </c>
      <c r="E2480" t="s">
        <v>327</v>
      </c>
    </row>
    <row r="2481" spans="1:5" x14ac:dyDescent="0.25">
      <c r="A2481" t="s">
        <v>3486</v>
      </c>
      <c r="B2481" t="s">
        <v>692</v>
      </c>
      <c r="E2481" t="s">
        <v>327</v>
      </c>
    </row>
    <row r="2482" spans="1:6" x14ac:dyDescent="0.25">
      <c r="A2482" t="s">
        <v>3487</v>
      </c>
      <c r="B2482" t="s">
        <v>695</v>
      </c>
      <c r="C2482" t="s">
        <v>702</v>
      </c>
      <c r="D2482" t="s">
        <v>2107</v>
      </c>
      <c r="E2482" t="s">
        <v>2108</v>
      </c>
      <c r="F2482" t="s">
        <v>3488</v>
      </c>
    </row>
    <row r="2483" spans="1:6" x14ac:dyDescent="0.25">
      <c r="A2483" t="s">
        <v>3489</v>
      </c>
      <c r="B2483" t="s">
        <v>695</v>
      </c>
      <c r="C2483" t="s">
        <v>1138</v>
      </c>
      <c r="D2483" t="s">
        <v>2289</v>
      </c>
      <c r="E2483" t="s">
        <v>1170</v>
      </c>
      <c r="F2483" t="s">
        <v>3490</v>
      </c>
    </row>
    <row r="2484" spans="1:5" x14ac:dyDescent="0.25">
      <c r="A2484" t="s">
        <v>3491</v>
      </c>
      <c r="B2484" t="s">
        <v>692</v>
      </c>
      <c r="E2484" t="s">
        <v>867</v>
      </c>
    </row>
    <row r="2485" spans="1:6" x14ac:dyDescent="0.25">
      <c r="A2485" t="s">
        <v>3492</v>
      </c>
      <c r="B2485" t="s">
        <v>695</v>
      </c>
      <c r="C2485" t="s">
        <v>706</v>
      </c>
      <c r="D2485" t="s">
        <v>707</v>
      </c>
      <c r="E2485" t="s">
        <v>2712</v>
      </c>
      <c r="F2485" t="s">
        <v>3493</v>
      </c>
    </row>
    <row r="2486" spans="1:6" x14ac:dyDescent="0.25">
      <c r="A2486" t="s">
        <v>2312</v>
      </c>
      <c r="B2486" t="s">
        <v>2148</v>
      </c>
      <c r="C2486" t="s">
        <v>706</v>
      </c>
      <c r="D2486" t="s">
        <v>753</v>
      </c>
      <c r="E2486" t="s">
        <v>2311</v>
      </c>
      <c r="F2486" t="s">
        <v>2312</v>
      </c>
    </row>
    <row r="2487" spans="1:6" x14ac:dyDescent="0.25">
      <c r="A2487" t="s">
        <v>2312</v>
      </c>
      <c r="B2487" t="s">
        <v>2357</v>
      </c>
      <c r="C2487" t="s">
        <v>706</v>
      </c>
      <c r="D2487" t="s">
        <v>753</v>
      </c>
      <c r="E2487" t="s">
        <v>2311</v>
      </c>
      <c r="F2487" t="s">
        <v>2312</v>
      </c>
    </row>
    <row r="2488" spans="1:6" x14ac:dyDescent="0.25">
      <c r="A2488" t="s">
        <v>3494</v>
      </c>
      <c r="B2488" t="s">
        <v>794</v>
      </c>
      <c r="C2488" t="s">
        <v>2530</v>
      </c>
      <c r="D2488" t="s">
        <v>2531</v>
      </c>
      <c r="E2488" t="s">
        <v>394</v>
      </c>
      <c r="F2488" t="s">
        <v>394</v>
      </c>
    </row>
    <row r="2489" spans="1:6" x14ac:dyDescent="0.25">
      <c r="A2489" t="s">
        <v>3495</v>
      </c>
      <c r="B2489" t="s">
        <v>695</v>
      </c>
      <c r="C2489" t="s">
        <v>702</v>
      </c>
      <c r="D2489" t="s">
        <v>2107</v>
      </c>
      <c r="E2489" t="s">
        <v>129</v>
      </c>
      <c r="F2489" t="s">
        <v>3496</v>
      </c>
    </row>
    <row r="2490" spans="1:6" x14ac:dyDescent="0.25">
      <c r="A2490" t="s">
        <v>3497</v>
      </c>
      <c r="B2490" t="s">
        <v>695</v>
      </c>
      <c r="C2490" t="s">
        <v>706</v>
      </c>
      <c r="D2490" t="s">
        <v>707</v>
      </c>
      <c r="E2490" t="s">
        <v>708</v>
      </c>
      <c r="F2490" t="s">
        <v>3498</v>
      </c>
    </row>
    <row r="2491" spans="1:6" x14ac:dyDescent="0.25">
      <c r="A2491" t="s">
        <v>3499</v>
      </c>
      <c r="B2491" t="s">
        <v>695</v>
      </c>
      <c r="C2491" t="s">
        <v>706</v>
      </c>
      <c r="D2491" t="s">
        <v>707</v>
      </c>
      <c r="E2491" t="s">
        <v>708</v>
      </c>
      <c r="F2491" t="s">
        <v>3500</v>
      </c>
    </row>
    <row r="2492" spans="1:6" x14ac:dyDescent="0.25">
      <c r="A2492" t="s">
        <v>3501</v>
      </c>
      <c r="B2492" t="s">
        <v>701</v>
      </c>
      <c r="C2492" t="s">
        <v>702</v>
      </c>
      <c r="D2492" t="s">
        <v>134</v>
      </c>
      <c r="E2492" t="s">
        <v>135</v>
      </c>
      <c r="F2492" t="s">
        <v>703</v>
      </c>
    </row>
    <row r="2493" spans="1:5" x14ac:dyDescent="0.25">
      <c r="A2493" t="s">
        <v>3502</v>
      </c>
      <c r="B2493" t="s">
        <v>692</v>
      </c>
      <c r="E2493" t="s">
        <v>135</v>
      </c>
    </row>
    <row r="2494" spans="1:6" x14ac:dyDescent="0.25">
      <c r="A2494" t="s">
        <v>3503</v>
      </c>
      <c r="B2494" t="s">
        <v>701</v>
      </c>
      <c r="C2494" t="s">
        <v>702</v>
      </c>
      <c r="D2494" t="s">
        <v>134</v>
      </c>
      <c r="E2494" t="s">
        <v>135</v>
      </c>
      <c r="F2494" t="s">
        <v>703</v>
      </c>
    </row>
    <row r="2495" spans="1:6" x14ac:dyDescent="0.25">
      <c r="A2495" t="s">
        <v>3504</v>
      </c>
      <c r="B2495" t="s">
        <v>701</v>
      </c>
      <c r="C2495" t="s">
        <v>702</v>
      </c>
      <c r="D2495" t="s">
        <v>134</v>
      </c>
      <c r="E2495" t="s">
        <v>135</v>
      </c>
      <c r="F2495" t="s">
        <v>703</v>
      </c>
    </row>
    <row r="2496" spans="1:6" x14ac:dyDescent="0.25">
      <c r="A2496" t="s">
        <v>3505</v>
      </c>
      <c r="B2496" t="s">
        <v>695</v>
      </c>
      <c r="C2496" t="s">
        <v>696</v>
      </c>
      <c r="D2496" t="s">
        <v>697</v>
      </c>
      <c r="E2496" t="s">
        <v>1092</v>
      </c>
      <c r="F2496" t="s">
        <v>3506</v>
      </c>
    </row>
    <row r="2497" spans="1:6" x14ac:dyDescent="0.25">
      <c r="A2497" t="s">
        <v>3507</v>
      </c>
      <c r="B2497" t="s">
        <v>692</v>
      </c>
      <c r="E2497" t="s">
        <v>90</v>
      </c>
      <c r="F2497" t="s">
        <v>91</v>
      </c>
    </row>
    <row r="2498" spans="1:5" x14ac:dyDescent="0.25">
      <c r="A2498" t="s">
        <v>3508</v>
      </c>
      <c r="B2498" t="s">
        <v>692</v>
      </c>
      <c r="E2498" t="s">
        <v>1527</v>
      </c>
    </row>
    <row r="2499" spans="1:5" x14ac:dyDescent="0.25">
      <c r="A2499" t="s">
        <v>3509</v>
      </c>
      <c r="B2499" t="s">
        <v>692</v>
      </c>
      <c r="E2499" t="s">
        <v>1229</v>
      </c>
    </row>
    <row r="2500" spans="1:5" x14ac:dyDescent="0.25">
      <c r="A2500" t="s">
        <v>3510</v>
      </c>
      <c r="B2500" t="s">
        <v>692</v>
      </c>
      <c r="E2500" t="s">
        <v>598</v>
      </c>
    </row>
    <row r="2501" spans="1:6" x14ac:dyDescent="0.25">
      <c r="A2501" t="s">
        <v>3511</v>
      </c>
      <c r="B2501" t="s">
        <v>695</v>
      </c>
      <c r="C2501" t="s">
        <v>790</v>
      </c>
      <c r="D2501" t="s">
        <v>791</v>
      </c>
      <c r="E2501" t="s">
        <v>598</v>
      </c>
      <c r="F2501" t="s">
        <v>3512</v>
      </c>
    </row>
    <row r="2502" spans="1:6" x14ac:dyDescent="0.25">
      <c r="A2502" t="s">
        <v>3513</v>
      </c>
      <c r="B2502" t="s">
        <v>695</v>
      </c>
      <c r="C2502" t="s">
        <v>790</v>
      </c>
      <c r="D2502" t="s">
        <v>791</v>
      </c>
      <c r="E2502" t="s">
        <v>598</v>
      </c>
      <c r="F2502" t="s">
        <v>3514</v>
      </c>
    </row>
    <row r="2503" spans="1:6" x14ac:dyDescent="0.25">
      <c r="A2503" t="s">
        <v>3515</v>
      </c>
      <c r="B2503" t="s">
        <v>695</v>
      </c>
      <c r="C2503" t="s">
        <v>696</v>
      </c>
      <c r="D2503" t="s">
        <v>2101</v>
      </c>
      <c r="E2503" t="s">
        <v>2102</v>
      </c>
      <c r="F2503" t="s">
        <v>3515</v>
      </c>
    </row>
    <row r="2504" spans="1:6" x14ac:dyDescent="0.25">
      <c r="A2504" t="s">
        <v>3516</v>
      </c>
      <c r="B2504" t="s">
        <v>695</v>
      </c>
      <c r="C2504" t="s">
        <v>696</v>
      </c>
      <c r="D2504" t="s">
        <v>2101</v>
      </c>
      <c r="E2504" t="s">
        <v>2102</v>
      </c>
      <c r="F2504" t="s">
        <v>3516</v>
      </c>
    </row>
    <row r="2505" spans="1:5" x14ac:dyDescent="0.25">
      <c r="A2505" t="s">
        <v>3517</v>
      </c>
      <c r="B2505" t="s">
        <v>692</v>
      </c>
      <c r="E2505" t="s">
        <v>1994</v>
      </c>
    </row>
    <row r="2506" spans="1:5" x14ac:dyDescent="0.25">
      <c r="A2506" t="s">
        <v>3518</v>
      </c>
      <c r="B2506" t="s">
        <v>692</v>
      </c>
      <c r="E2506" t="s">
        <v>1002</v>
      </c>
    </row>
    <row r="2507" spans="1:5" x14ac:dyDescent="0.25">
      <c r="A2507" t="s">
        <v>3519</v>
      </c>
      <c r="B2507" t="s">
        <v>692</v>
      </c>
      <c r="E2507" t="s">
        <v>1002</v>
      </c>
    </row>
    <row r="2508" spans="1:5" x14ac:dyDescent="0.25">
      <c r="A2508" t="s">
        <v>3520</v>
      </c>
      <c r="B2508" t="s">
        <v>692</v>
      </c>
      <c r="E2508" t="s">
        <v>1002</v>
      </c>
    </row>
    <row r="2509" spans="1:6" x14ac:dyDescent="0.25">
      <c r="A2509" t="s">
        <v>3521</v>
      </c>
      <c r="B2509" t="s">
        <v>794</v>
      </c>
      <c r="C2509" t="s">
        <v>782</v>
      </c>
      <c r="D2509" t="s">
        <v>783</v>
      </c>
      <c r="E2509" t="s">
        <v>633</v>
      </c>
      <c r="F2509" t="s">
        <v>784</v>
      </c>
    </row>
    <row r="2510" spans="1:5" x14ac:dyDescent="0.25">
      <c r="A2510" t="s">
        <v>3522</v>
      </c>
      <c r="B2510" t="s">
        <v>692</v>
      </c>
      <c r="E2510" t="s">
        <v>539</v>
      </c>
    </row>
    <row r="2511" spans="1:6" x14ac:dyDescent="0.25">
      <c r="A2511" t="s">
        <v>3523</v>
      </c>
      <c r="B2511" t="s">
        <v>692</v>
      </c>
      <c r="E2511" t="s">
        <v>1002</v>
      </c>
      <c r="F2511" t="s">
        <v>183</v>
      </c>
    </row>
    <row r="2512" spans="1:5" x14ac:dyDescent="0.25">
      <c r="A2512" t="s">
        <v>3524</v>
      </c>
      <c r="B2512" t="s">
        <v>692</v>
      </c>
      <c r="E2512" t="s">
        <v>1387</v>
      </c>
    </row>
    <row r="2513" spans="1:6" x14ac:dyDescent="0.25">
      <c r="A2513" t="s">
        <v>3525</v>
      </c>
      <c r="B2513" t="s">
        <v>701</v>
      </c>
      <c r="C2513" t="s">
        <v>746</v>
      </c>
      <c r="D2513" t="s">
        <v>2198</v>
      </c>
      <c r="E2513" t="s">
        <v>3526</v>
      </c>
      <c r="F2513" t="s">
        <v>3525</v>
      </c>
    </row>
    <row r="2514" spans="1:6" x14ac:dyDescent="0.25">
      <c r="A2514" t="s">
        <v>3527</v>
      </c>
      <c r="B2514" t="s">
        <v>2148</v>
      </c>
      <c r="C2514" t="s">
        <v>746</v>
      </c>
      <c r="D2514" t="s">
        <v>2198</v>
      </c>
      <c r="E2514" t="s">
        <v>3526</v>
      </c>
      <c r="F2514" t="s">
        <v>3527</v>
      </c>
    </row>
    <row r="2515" spans="1:6" x14ac:dyDescent="0.25">
      <c r="A2515" t="s">
        <v>3528</v>
      </c>
      <c r="B2515" t="s">
        <v>701</v>
      </c>
      <c r="C2515" t="s">
        <v>746</v>
      </c>
      <c r="D2515" t="s">
        <v>2198</v>
      </c>
      <c r="E2515" t="s">
        <v>2268</v>
      </c>
      <c r="F2515" t="s">
        <v>3528</v>
      </c>
    </row>
    <row r="2516" spans="1:6" x14ac:dyDescent="0.25">
      <c r="A2516" t="s">
        <v>3529</v>
      </c>
      <c r="B2516" t="s">
        <v>701</v>
      </c>
      <c r="C2516" t="s">
        <v>746</v>
      </c>
      <c r="D2516" t="s">
        <v>2198</v>
      </c>
      <c r="E2516" t="s">
        <v>2268</v>
      </c>
      <c r="F2516" t="s">
        <v>3529</v>
      </c>
    </row>
    <row r="2517" spans="1:6" x14ac:dyDescent="0.25">
      <c r="A2517" t="s">
        <v>3530</v>
      </c>
      <c r="B2517" t="s">
        <v>2148</v>
      </c>
      <c r="C2517" t="s">
        <v>746</v>
      </c>
      <c r="D2517" t="s">
        <v>2198</v>
      </c>
      <c r="E2517" t="s">
        <v>2321</v>
      </c>
      <c r="F2517" t="s">
        <v>3530</v>
      </c>
    </row>
    <row r="2518" spans="1:6" x14ac:dyDescent="0.25">
      <c r="A2518" t="s">
        <v>3531</v>
      </c>
      <c r="B2518" t="s">
        <v>701</v>
      </c>
      <c r="C2518" t="s">
        <v>746</v>
      </c>
      <c r="D2518" t="s">
        <v>2198</v>
      </c>
      <c r="E2518" t="s">
        <v>2273</v>
      </c>
      <c r="F2518" t="s">
        <v>3531</v>
      </c>
    </row>
    <row r="2519" spans="1:6" x14ac:dyDescent="0.25">
      <c r="A2519" t="s">
        <v>3532</v>
      </c>
      <c r="B2519" t="s">
        <v>701</v>
      </c>
      <c r="C2519" t="s">
        <v>746</v>
      </c>
      <c r="D2519" t="s">
        <v>2198</v>
      </c>
      <c r="E2519" t="s">
        <v>3526</v>
      </c>
      <c r="F2519" t="s">
        <v>3532</v>
      </c>
    </row>
    <row r="2520" spans="1:6" x14ac:dyDescent="0.25">
      <c r="A2520" t="s">
        <v>3532</v>
      </c>
      <c r="B2520" t="s">
        <v>2105</v>
      </c>
      <c r="C2520" t="s">
        <v>746</v>
      </c>
      <c r="D2520" t="s">
        <v>2198</v>
      </c>
      <c r="E2520" t="s">
        <v>3526</v>
      </c>
      <c r="F2520" t="s">
        <v>3533</v>
      </c>
    </row>
    <row r="2521" spans="1:6" x14ac:dyDescent="0.25">
      <c r="A2521" t="s">
        <v>3534</v>
      </c>
      <c r="B2521" t="s">
        <v>701</v>
      </c>
      <c r="C2521" t="s">
        <v>746</v>
      </c>
      <c r="D2521" t="s">
        <v>2198</v>
      </c>
      <c r="E2521" t="s">
        <v>3526</v>
      </c>
      <c r="F2521" t="s">
        <v>3534</v>
      </c>
    </row>
    <row r="2522" spans="1:6" x14ac:dyDescent="0.25">
      <c r="A2522" t="s">
        <v>3534</v>
      </c>
      <c r="B2522" t="s">
        <v>2105</v>
      </c>
      <c r="C2522" t="s">
        <v>746</v>
      </c>
      <c r="D2522" t="s">
        <v>2198</v>
      </c>
      <c r="E2522" t="s">
        <v>3526</v>
      </c>
      <c r="F2522" t="s">
        <v>3535</v>
      </c>
    </row>
    <row r="2523" spans="1:5" x14ac:dyDescent="0.25">
      <c r="A2523" t="s">
        <v>3536</v>
      </c>
      <c r="B2523" t="s">
        <v>692</v>
      </c>
      <c r="E2523" t="s">
        <v>97</v>
      </c>
    </row>
    <row r="2524" spans="1:6" x14ac:dyDescent="0.25">
      <c r="A2524" t="s">
        <v>3537</v>
      </c>
      <c r="B2524" t="s">
        <v>2357</v>
      </c>
      <c r="C2524" t="s">
        <v>702</v>
      </c>
      <c r="D2524" t="s">
        <v>786</v>
      </c>
      <c r="E2524" t="s">
        <v>787</v>
      </c>
      <c r="F2524" t="s">
        <v>3537</v>
      </c>
    </row>
    <row r="2525" spans="1:6" x14ac:dyDescent="0.25">
      <c r="A2525" t="s">
        <v>3538</v>
      </c>
      <c r="B2525" t="s">
        <v>794</v>
      </c>
      <c r="C2525" t="s">
        <v>702</v>
      </c>
      <c r="D2525" t="s">
        <v>761</v>
      </c>
      <c r="E2525" t="s">
        <v>3538</v>
      </c>
      <c r="F2525" t="s">
        <v>3538</v>
      </c>
    </row>
    <row r="2526" spans="1:5" x14ac:dyDescent="0.25">
      <c r="A2526" t="s">
        <v>3539</v>
      </c>
      <c r="B2526" t="s">
        <v>692</v>
      </c>
      <c r="E2526" t="s">
        <v>1527</v>
      </c>
    </row>
    <row r="2527" spans="1:6" x14ac:dyDescent="0.25">
      <c r="A2527" t="s">
        <v>3540</v>
      </c>
      <c r="B2527" t="s">
        <v>695</v>
      </c>
      <c r="C2527" t="s">
        <v>706</v>
      </c>
      <c r="D2527" t="s">
        <v>845</v>
      </c>
      <c r="E2527" t="s">
        <v>2953</v>
      </c>
      <c r="F2527" t="s">
        <v>3541</v>
      </c>
    </row>
    <row r="2528" spans="1:6" x14ac:dyDescent="0.25">
      <c r="A2528" t="s">
        <v>3542</v>
      </c>
      <c r="B2528" t="s">
        <v>692</v>
      </c>
      <c r="E2528" t="s">
        <v>327</v>
      </c>
      <c r="F2528" t="s">
        <v>91</v>
      </c>
    </row>
    <row r="2529" spans="1:6" x14ac:dyDescent="0.25">
      <c r="A2529" t="s">
        <v>3543</v>
      </c>
      <c r="B2529" t="s">
        <v>692</v>
      </c>
      <c r="E2529" t="s">
        <v>606</v>
      </c>
      <c r="F2529" t="s">
        <v>120</v>
      </c>
    </row>
    <row r="2530" spans="1:6" x14ac:dyDescent="0.25">
      <c r="A2530" t="s">
        <v>3544</v>
      </c>
      <c r="B2530" t="s">
        <v>695</v>
      </c>
      <c r="C2530" t="s">
        <v>758</v>
      </c>
      <c r="D2530" t="s">
        <v>2680</v>
      </c>
      <c r="E2530" t="s">
        <v>2681</v>
      </c>
      <c r="F2530" t="s">
        <v>3544</v>
      </c>
    </row>
    <row r="2531" spans="1:6" x14ac:dyDescent="0.25">
      <c r="A2531" t="s">
        <v>3545</v>
      </c>
      <c r="B2531" t="s">
        <v>695</v>
      </c>
      <c r="C2531" t="s">
        <v>758</v>
      </c>
      <c r="D2531" t="s">
        <v>2680</v>
      </c>
      <c r="E2531" t="s">
        <v>2681</v>
      </c>
      <c r="F2531" t="s">
        <v>3545</v>
      </c>
    </row>
    <row r="2532" spans="1:6" x14ac:dyDescent="0.25">
      <c r="A2532" t="s">
        <v>3546</v>
      </c>
      <c r="B2532" t="s">
        <v>695</v>
      </c>
      <c r="C2532" t="s">
        <v>758</v>
      </c>
      <c r="D2532" t="s">
        <v>2680</v>
      </c>
      <c r="E2532" t="s">
        <v>2681</v>
      </c>
      <c r="F2532" t="s">
        <v>3546</v>
      </c>
    </row>
    <row r="2533" spans="1:6" x14ac:dyDescent="0.25">
      <c r="A2533" t="s">
        <v>3547</v>
      </c>
      <c r="B2533" t="s">
        <v>695</v>
      </c>
      <c r="C2533" t="s">
        <v>1138</v>
      </c>
      <c r="D2533" t="s">
        <v>2289</v>
      </c>
      <c r="E2533" t="s">
        <v>1170</v>
      </c>
      <c r="F2533" t="s">
        <v>3547</v>
      </c>
    </row>
    <row r="2534" spans="1:6" x14ac:dyDescent="0.25">
      <c r="A2534" t="s">
        <v>3548</v>
      </c>
      <c r="B2534" t="s">
        <v>695</v>
      </c>
      <c r="C2534" t="s">
        <v>1138</v>
      </c>
      <c r="D2534" t="s">
        <v>2289</v>
      </c>
      <c r="E2534" t="s">
        <v>1170</v>
      </c>
      <c r="F2534" t="s">
        <v>3548</v>
      </c>
    </row>
    <row r="2535" spans="1:6" x14ac:dyDescent="0.25">
      <c r="A2535" t="s">
        <v>103</v>
      </c>
      <c r="B2535" t="s">
        <v>2148</v>
      </c>
      <c r="C2535" t="s">
        <v>702</v>
      </c>
      <c r="D2535" t="s">
        <v>962</v>
      </c>
      <c r="E2535" t="s">
        <v>103</v>
      </c>
      <c r="F2535" t="s">
        <v>103</v>
      </c>
    </row>
    <row r="2536" spans="1:6" x14ac:dyDescent="0.25">
      <c r="A2536" t="s">
        <v>103</v>
      </c>
      <c r="B2536" t="s">
        <v>701</v>
      </c>
      <c r="C2536" t="s">
        <v>702</v>
      </c>
      <c r="D2536" t="s">
        <v>962</v>
      </c>
      <c r="E2536" t="s">
        <v>103</v>
      </c>
      <c r="F2536" t="s">
        <v>103</v>
      </c>
    </row>
    <row r="2537" spans="1:6" x14ac:dyDescent="0.25">
      <c r="A2537" t="s">
        <v>103</v>
      </c>
      <c r="B2537" t="s">
        <v>2105</v>
      </c>
      <c r="C2537" t="s">
        <v>702</v>
      </c>
      <c r="D2537" t="s">
        <v>962</v>
      </c>
      <c r="E2537" t="s">
        <v>103</v>
      </c>
      <c r="F2537" t="s">
        <v>103</v>
      </c>
    </row>
    <row r="2538" spans="1:5" x14ac:dyDescent="0.25">
      <c r="A2538" t="s">
        <v>3549</v>
      </c>
      <c r="B2538" t="s">
        <v>692</v>
      </c>
      <c r="E2538" t="s">
        <v>2237</v>
      </c>
    </row>
    <row r="2539" spans="1:5" x14ac:dyDescent="0.25">
      <c r="A2539" t="s">
        <v>3550</v>
      </c>
      <c r="B2539" t="s">
        <v>692</v>
      </c>
      <c r="E2539" t="s">
        <v>1002</v>
      </c>
    </row>
    <row r="2540" spans="1:6" x14ac:dyDescent="0.25">
      <c r="A2540" t="s">
        <v>118</v>
      </c>
      <c r="B2540" t="s">
        <v>794</v>
      </c>
      <c r="C2540" t="s">
        <v>706</v>
      </c>
      <c r="D2540" t="s">
        <v>2139</v>
      </c>
      <c r="E2540" t="s">
        <v>118</v>
      </c>
      <c r="F2540" t="s">
        <v>118</v>
      </c>
    </row>
    <row r="2541" spans="1:5" x14ac:dyDescent="0.25">
      <c r="A2541" t="s">
        <v>3551</v>
      </c>
      <c r="B2541" t="s">
        <v>692</v>
      </c>
      <c r="E2541" t="s">
        <v>118</v>
      </c>
    </row>
    <row r="2542" spans="1:6" x14ac:dyDescent="0.25">
      <c r="A2542" t="s">
        <v>3552</v>
      </c>
      <c r="B2542" t="s">
        <v>695</v>
      </c>
      <c r="C2542" t="s">
        <v>706</v>
      </c>
      <c r="D2542" t="s">
        <v>1043</v>
      </c>
      <c r="E2542" t="s">
        <v>981</v>
      </c>
      <c r="F2542" t="s">
        <v>3553</v>
      </c>
    </row>
    <row r="2543" spans="1:6" x14ac:dyDescent="0.25">
      <c r="A2543" t="s">
        <v>3554</v>
      </c>
      <c r="B2543" t="s">
        <v>695</v>
      </c>
      <c r="C2543" t="s">
        <v>1138</v>
      </c>
      <c r="D2543" t="s">
        <v>2174</v>
      </c>
      <c r="E2543" t="s">
        <v>2175</v>
      </c>
      <c r="F2543" t="s">
        <v>3554</v>
      </c>
    </row>
    <row r="2544" spans="1:6" x14ac:dyDescent="0.25">
      <c r="A2544" t="s">
        <v>3555</v>
      </c>
      <c r="B2544" t="s">
        <v>2105</v>
      </c>
      <c r="C2544" t="s">
        <v>782</v>
      </c>
      <c r="D2544" t="s">
        <v>2891</v>
      </c>
      <c r="E2544" t="s">
        <v>232</v>
      </c>
      <c r="F2544" t="s">
        <v>3555</v>
      </c>
    </row>
    <row r="2545" spans="1:5" x14ac:dyDescent="0.25">
      <c r="A2545" t="s">
        <v>3556</v>
      </c>
      <c r="B2545" t="s">
        <v>692</v>
      </c>
      <c r="E2545" t="s">
        <v>539</v>
      </c>
    </row>
    <row r="2546" spans="1:6" x14ac:dyDescent="0.25">
      <c r="A2546" t="s">
        <v>3557</v>
      </c>
      <c r="B2546" t="s">
        <v>2105</v>
      </c>
      <c r="C2546" t="s">
        <v>746</v>
      </c>
      <c r="D2546" t="s">
        <v>2907</v>
      </c>
      <c r="E2546" t="s">
        <v>3083</v>
      </c>
      <c r="F2546" t="s">
        <v>3557</v>
      </c>
    </row>
    <row r="2547" spans="1:6" x14ac:dyDescent="0.25">
      <c r="A2547" t="s">
        <v>3558</v>
      </c>
      <c r="B2547" t="s">
        <v>2105</v>
      </c>
      <c r="C2547" t="s">
        <v>746</v>
      </c>
      <c r="D2547" t="s">
        <v>2904</v>
      </c>
      <c r="E2547" t="s">
        <v>1034</v>
      </c>
      <c r="F2547" t="s">
        <v>3559</v>
      </c>
    </row>
    <row r="2548" spans="1:5" x14ac:dyDescent="0.25">
      <c r="A2548" t="s">
        <v>3560</v>
      </c>
      <c r="B2548" t="s">
        <v>692</v>
      </c>
      <c r="E2548" t="s">
        <v>638</v>
      </c>
    </row>
    <row r="2549" spans="1:6" x14ac:dyDescent="0.25">
      <c r="A2549" t="s">
        <v>3561</v>
      </c>
      <c r="B2549" t="s">
        <v>695</v>
      </c>
      <c r="C2549" t="s">
        <v>706</v>
      </c>
      <c r="D2549" t="s">
        <v>753</v>
      </c>
      <c r="E2549" t="s">
        <v>638</v>
      </c>
      <c r="F2549" t="s">
        <v>3562</v>
      </c>
    </row>
    <row r="2550" spans="1:5" x14ac:dyDescent="0.25">
      <c r="A2550" t="s">
        <v>637</v>
      </c>
      <c r="B2550" t="s">
        <v>692</v>
      </c>
      <c r="E2550" t="s">
        <v>638</v>
      </c>
    </row>
    <row r="2551" spans="1:6" x14ac:dyDescent="0.25">
      <c r="A2551" t="s">
        <v>3563</v>
      </c>
      <c r="B2551" t="s">
        <v>794</v>
      </c>
      <c r="C2551" t="s">
        <v>706</v>
      </c>
      <c r="D2551" t="s">
        <v>753</v>
      </c>
      <c r="E2551" t="s">
        <v>638</v>
      </c>
      <c r="F2551" t="s">
        <v>3564</v>
      </c>
    </row>
    <row r="2552" spans="1:6" x14ac:dyDescent="0.25">
      <c r="A2552" t="s">
        <v>3565</v>
      </c>
      <c r="B2552" t="s">
        <v>695</v>
      </c>
      <c r="C2552" t="s">
        <v>706</v>
      </c>
      <c r="D2552" t="s">
        <v>753</v>
      </c>
      <c r="E2552" t="s">
        <v>638</v>
      </c>
      <c r="F2552" t="s">
        <v>3566</v>
      </c>
    </row>
    <row r="2553" spans="1:6" x14ac:dyDescent="0.25">
      <c r="A2553" t="s">
        <v>3567</v>
      </c>
      <c r="B2553" t="s">
        <v>705</v>
      </c>
      <c r="C2553" t="s">
        <v>706</v>
      </c>
      <c r="D2553" t="s">
        <v>753</v>
      </c>
      <c r="E2553" t="s">
        <v>638</v>
      </c>
      <c r="F2553" t="s">
        <v>3568</v>
      </c>
    </row>
    <row r="2554" spans="1:5" x14ac:dyDescent="0.25">
      <c r="A2554" t="s">
        <v>3569</v>
      </c>
      <c r="B2554" t="s">
        <v>692</v>
      </c>
      <c r="E2554" t="s">
        <v>1170</v>
      </c>
    </row>
    <row r="2555" spans="1:6" x14ac:dyDescent="0.25">
      <c r="A2555" t="s">
        <v>3569</v>
      </c>
      <c r="B2555" t="s">
        <v>695</v>
      </c>
      <c r="C2555" t="s">
        <v>1138</v>
      </c>
      <c r="D2555" t="s">
        <v>2289</v>
      </c>
      <c r="E2555" t="s">
        <v>1170</v>
      </c>
      <c r="F2555" t="s">
        <v>3570</v>
      </c>
    </row>
    <row r="2556" spans="1:6" x14ac:dyDescent="0.25">
      <c r="A2556" t="s">
        <v>3571</v>
      </c>
      <c r="B2556" t="s">
        <v>2148</v>
      </c>
      <c r="C2556" t="s">
        <v>746</v>
      </c>
      <c r="D2556" t="s">
        <v>2374</v>
      </c>
      <c r="E2556" t="s">
        <v>3572</v>
      </c>
      <c r="F2556" t="s">
        <v>3573</v>
      </c>
    </row>
    <row r="2557" spans="1:6" x14ac:dyDescent="0.25">
      <c r="A2557" t="s">
        <v>3574</v>
      </c>
      <c r="B2557" t="s">
        <v>764</v>
      </c>
      <c r="C2557" t="s">
        <v>758</v>
      </c>
      <c r="D2557" t="s">
        <v>979</v>
      </c>
      <c r="E2557" t="s">
        <v>85</v>
      </c>
      <c r="F2557" t="s">
        <v>124</v>
      </c>
    </row>
    <row r="2558" spans="1:6" x14ac:dyDescent="0.25">
      <c r="A2558" t="s">
        <v>3575</v>
      </c>
      <c r="B2558" t="s">
        <v>2148</v>
      </c>
      <c r="C2558" t="s">
        <v>702</v>
      </c>
      <c r="D2558" t="s">
        <v>962</v>
      </c>
      <c r="E2558" t="s">
        <v>2563</v>
      </c>
      <c r="F2558" t="s">
        <v>3575</v>
      </c>
    </row>
    <row r="2559" spans="1:6" x14ac:dyDescent="0.25">
      <c r="A2559" t="s">
        <v>3576</v>
      </c>
      <c r="B2559" t="s">
        <v>695</v>
      </c>
      <c r="C2559" t="s">
        <v>696</v>
      </c>
      <c r="D2559" t="s">
        <v>3577</v>
      </c>
      <c r="E2559" t="s">
        <v>3578</v>
      </c>
      <c r="F2559" t="s">
        <v>3576</v>
      </c>
    </row>
    <row r="2560" spans="1:5" x14ac:dyDescent="0.25">
      <c r="A2560" t="s">
        <v>3579</v>
      </c>
      <c r="B2560" t="s">
        <v>692</v>
      </c>
      <c r="E2560" t="s">
        <v>135</v>
      </c>
    </row>
    <row r="2561" spans="1:5" x14ac:dyDescent="0.25">
      <c r="A2561" t="s">
        <v>3580</v>
      </c>
      <c r="B2561" t="s">
        <v>692</v>
      </c>
      <c r="E2561" t="s">
        <v>606</v>
      </c>
    </row>
    <row r="2562" spans="1:5" x14ac:dyDescent="0.25">
      <c r="A2562" t="s">
        <v>3581</v>
      </c>
      <c r="B2562" t="s">
        <v>692</v>
      </c>
      <c r="E2562" t="s">
        <v>110</v>
      </c>
    </row>
    <row r="2563" spans="1:6" x14ac:dyDescent="0.25">
      <c r="A2563" t="s">
        <v>3582</v>
      </c>
      <c r="B2563" t="s">
        <v>695</v>
      </c>
      <c r="C2563" t="s">
        <v>702</v>
      </c>
      <c r="D2563" t="s">
        <v>2107</v>
      </c>
      <c r="E2563" t="s">
        <v>3252</v>
      </c>
      <c r="F2563" t="s">
        <v>3583</v>
      </c>
    </row>
    <row r="2564" spans="1:6" x14ac:dyDescent="0.25">
      <c r="A2564" t="s">
        <v>3584</v>
      </c>
      <c r="B2564" t="s">
        <v>695</v>
      </c>
      <c r="C2564" t="s">
        <v>702</v>
      </c>
      <c r="D2564" t="s">
        <v>2107</v>
      </c>
      <c r="E2564" t="s">
        <v>3252</v>
      </c>
      <c r="F2564" t="s">
        <v>3585</v>
      </c>
    </row>
    <row r="2565" spans="1:6" x14ac:dyDescent="0.25">
      <c r="A2565" t="s">
        <v>3586</v>
      </c>
      <c r="B2565" t="s">
        <v>695</v>
      </c>
      <c r="C2565" t="s">
        <v>696</v>
      </c>
      <c r="D2565" t="s">
        <v>697</v>
      </c>
      <c r="E2565" t="s">
        <v>1092</v>
      </c>
      <c r="F2565" t="s">
        <v>3587</v>
      </c>
    </row>
    <row r="2566" spans="1:6" x14ac:dyDescent="0.25">
      <c r="A2566" t="s">
        <v>3588</v>
      </c>
      <c r="B2566" t="s">
        <v>701</v>
      </c>
      <c r="C2566" t="s">
        <v>758</v>
      </c>
      <c r="D2566" t="s">
        <v>759</v>
      </c>
      <c r="E2566" t="s">
        <v>246</v>
      </c>
      <c r="F2566" t="s">
        <v>246</v>
      </c>
    </row>
    <row r="2567" spans="1:6" x14ac:dyDescent="0.25">
      <c r="A2567" t="s">
        <v>3589</v>
      </c>
      <c r="B2567" t="s">
        <v>695</v>
      </c>
      <c r="C2567" t="s">
        <v>706</v>
      </c>
      <c r="D2567" t="s">
        <v>2689</v>
      </c>
      <c r="E2567" t="s">
        <v>2690</v>
      </c>
      <c r="F2567" t="s">
        <v>3590</v>
      </c>
    </row>
    <row r="2568" spans="1:5" x14ac:dyDescent="0.25">
      <c r="A2568" t="s">
        <v>3591</v>
      </c>
      <c r="B2568" t="s">
        <v>692</v>
      </c>
      <c r="E2568" t="s">
        <v>327</v>
      </c>
    </row>
    <row r="2569" spans="1:6" x14ac:dyDescent="0.25">
      <c r="A2569" t="s">
        <v>3592</v>
      </c>
      <c r="B2569" t="s">
        <v>695</v>
      </c>
      <c r="C2569" t="s">
        <v>696</v>
      </c>
      <c r="D2569" t="s">
        <v>2127</v>
      </c>
      <c r="E2569" t="s">
        <v>2128</v>
      </c>
      <c r="F2569" t="s">
        <v>3592</v>
      </c>
    </row>
    <row r="2570" spans="1:5" x14ac:dyDescent="0.25">
      <c r="A2570" t="s">
        <v>3593</v>
      </c>
      <c r="B2570" t="s">
        <v>692</v>
      </c>
      <c r="E2570" t="s">
        <v>246</v>
      </c>
    </row>
    <row r="2571" spans="1:5" x14ac:dyDescent="0.25">
      <c r="A2571" t="s">
        <v>3594</v>
      </c>
      <c r="B2571" t="s">
        <v>692</v>
      </c>
      <c r="E2571" t="s">
        <v>3595</v>
      </c>
    </row>
    <row r="2572" spans="1:6" x14ac:dyDescent="0.25">
      <c r="A2572" t="s">
        <v>3596</v>
      </c>
      <c r="B2572" t="s">
        <v>705</v>
      </c>
      <c r="C2572" t="s">
        <v>1138</v>
      </c>
      <c r="D2572" t="s">
        <v>1139</v>
      </c>
      <c r="E2572" t="s">
        <v>1002</v>
      </c>
      <c r="F2572" t="s">
        <v>1140</v>
      </c>
    </row>
    <row r="2573" spans="1:5" x14ac:dyDescent="0.25">
      <c r="A2573" t="s">
        <v>3596</v>
      </c>
      <c r="B2573" t="s">
        <v>692</v>
      </c>
      <c r="E2573" t="s">
        <v>1002</v>
      </c>
    </row>
    <row r="2574" spans="1:6" x14ac:dyDescent="0.25">
      <c r="A2574" t="s">
        <v>3597</v>
      </c>
      <c r="B2574" t="s">
        <v>695</v>
      </c>
      <c r="C2574" t="s">
        <v>702</v>
      </c>
      <c r="D2574" t="s">
        <v>2107</v>
      </c>
      <c r="E2574" t="s">
        <v>2401</v>
      </c>
      <c r="F2574" t="s">
        <v>3598</v>
      </c>
    </row>
    <row r="2575" spans="1:6" x14ac:dyDescent="0.25">
      <c r="A2575" t="s">
        <v>3599</v>
      </c>
      <c r="B2575" t="s">
        <v>695</v>
      </c>
      <c r="C2575" t="s">
        <v>702</v>
      </c>
      <c r="D2575" t="s">
        <v>2107</v>
      </c>
      <c r="E2575" t="s">
        <v>2401</v>
      </c>
      <c r="F2575" t="s">
        <v>3600</v>
      </c>
    </row>
    <row r="2576" spans="1:5" x14ac:dyDescent="0.25">
      <c r="A2576" t="s">
        <v>3601</v>
      </c>
      <c r="B2576" t="s">
        <v>692</v>
      </c>
      <c r="E2576" t="s">
        <v>327</v>
      </c>
    </row>
    <row r="2577" spans="1:6" x14ac:dyDescent="0.25">
      <c r="A2577" t="s">
        <v>3602</v>
      </c>
      <c r="B2577" t="s">
        <v>701</v>
      </c>
      <c r="C2577" t="s">
        <v>702</v>
      </c>
      <c r="D2577" t="s">
        <v>750</v>
      </c>
      <c r="E2577" t="s">
        <v>539</v>
      </c>
      <c r="F2577" t="s">
        <v>751</v>
      </c>
    </row>
    <row r="2578" spans="1:6" x14ac:dyDescent="0.25">
      <c r="A2578" t="s">
        <v>3603</v>
      </c>
      <c r="B2578" t="s">
        <v>764</v>
      </c>
      <c r="C2578" t="s">
        <v>702</v>
      </c>
      <c r="D2578" t="s">
        <v>761</v>
      </c>
      <c r="E2578" t="s">
        <v>327</v>
      </c>
      <c r="F2578" t="s">
        <v>924</v>
      </c>
    </row>
    <row r="2579" spans="1:6" x14ac:dyDescent="0.25">
      <c r="A2579" t="s">
        <v>3604</v>
      </c>
      <c r="B2579" t="s">
        <v>764</v>
      </c>
      <c r="C2579" t="s">
        <v>702</v>
      </c>
      <c r="D2579" t="s">
        <v>761</v>
      </c>
      <c r="E2579" t="s">
        <v>327</v>
      </c>
      <c r="F2579" t="s">
        <v>924</v>
      </c>
    </row>
    <row r="2580" spans="1:6" x14ac:dyDescent="0.25">
      <c r="A2580" t="s">
        <v>3605</v>
      </c>
      <c r="B2580" t="s">
        <v>695</v>
      </c>
      <c r="C2580" t="s">
        <v>702</v>
      </c>
      <c r="D2580" t="s">
        <v>2107</v>
      </c>
      <c r="E2580" t="s">
        <v>2401</v>
      </c>
      <c r="F2580" t="s">
        <v>3606</v>
      </c>
    </row>
    <row r="2581" spans="1:6" x14ac:dyDescent="0.25">
      <c r="A2581" t="s">
        <v>3607</v>
      </c>
      <c r="B2581" t="s">
        <v>692</v>
      </c>
      <c r="E2581" t="s">
        <v>265</v>
      </c>
      <c r="F2581" t="s">
        <v>267</v>
      </c>
    </row>
    <row r="2582" spans="1:6" x14ac:dyDescent="0.25">
      <c r="A2582" t="s">
        <v>3608</v>
      </c>
      <c r="B2582" t="s">
        <v>701</v>
      </c>
      <c r="C2582" t="s">
        <v>702</v>
      </c>
      <c r="D2582" t="s">
        <v>750</v>
      </c>
      <c r="E2582" t="s">
        <v>1111</v>
      </c>
      <c r="F2582" t="s">
        <v>1112</v>
      </c>
    </row>
    <row r="2583" spans="1:6" x14ac:dyDescent="0.25">
      <c r="A2583" t="s">
        <v>3609</v>
      </c>
      <c r="B2583" t="s">
        <v>701</v>
      </c>
      <c r="C2583" t="s">
        <v>702</v>
      </c>
      <c r="D2583" t="s">
        <v>750</v>
      </c>
      <c r="E2583" t="s">
        <v>1111</v>
      </c>
      <c r="F2583" t="s">
        <v>1112</v>
      </c>
    </row>
    <row r="2584" spans="1:6" x14ac:dyDescent="0.25">
      <c r="A2584" t="s">
        <v>3610</v>
      </c>
      <c r="B2584" t="s">
        <v>701</v>
      </c>
      <c r="C2584" t="s">
        <v>702</v>
      </c>
      <c r="D2584" t="s">
        <v>750</v>
      </c>
      <c r="E2584" t="s">
        <v>1111</v>
      </c>
      <c r="F2584" t="s">
        <v>1112</v>
      </c>
    </row>
    <row r="2585" spans="1:6" x14ac:dyDescent="0.25">
      <c r="A2585" t="s">
        <v>3611</v>
      </c>
      <c r="B2585" t="s">
        <v>695</v>
      </c>
      <c r="C2585" t="s">
        <v>702</v>
      </c>
      <c r="D2585" t="s">
        <v>2107</v>
      </c>
      <c r="E2585" t="s">
        <v>3252</v>
      </c>
      <c r="F2585" t="s">
        <v>3612</v>
      </c>
    </row>
    <row r="2586" spans="1:5" x14ac:dyDescent="0.25">
      <c r="A2586" t="s">
        <v>128</v>
      </c>
      <c r="B2586" t="s">
        <v>692</v>
      </c>
      <c r="E2586" t="s">
        <v>129</v>
      </c>
    </row>
    <row r="2587" spans="1:5" x14ac:dyDescent="0.25">
      <c r="A2587" t="s">
        <v>3613</v>
      </c>
      <c r="B2587" t="s">
        <v>692</v>
      </c>
      <c r="E2587" t="s">
        <v>129</v>
      </c>
    </row>
    <row r="2588" spans="1:5" x14ac:dyDescent="0.25">
      <c r="A2588" t="s">
        <v>3614</v>
      </c>
      <c r="B2588" t="s">
        <v>692</v>
      </c>
      <c r="E2588" t="s">
        <v>129</v>
      </c>
    </row>
    <row r="2589" spans="1:5" x14ac:dyDescent="0.25">
      <c r="A2589" t="s">
        <v>3615</v>
      </c>
      <c r="B2589" t="s">
        <v>692</v>
      </c>
      <c r="E2589" t="s">
        <v>129</v>
      </c>
    </row>
    <row r="2590" spans="1:5" x14ac:dyDescent="0.25">
      <c r="A2590" t="s">
        <v>3616</v>
      </c>
      <c r="B2590" t="s">
        <v>692</v>
      </c>
      <c r="E2590" t="s">
        <v>272</v>
      </c>
    </row>
    <row r="2591" spans="1:5" x14ac:dyDescent="0.25">
      <c r="A2591" t="s">
        <v>3617</v>
      </c>
      <c r="B2591" t="s">
        <v>692</v>
      </c>
      <c r="E2591" t="s">
        <v>272</v>
      </c>
    </row>
    <row r="2592" spans="1:6" x14ac:dyDescent="0.25">
      <c r="A2592" t="s">
        <v>3618</v>
      </c>
      <c r="B2592" t="s">
        <v>695</v>
      </c>
      <c r="C2592" t="s">
        <v>706</v>
      </c>
      <c r="D2592" t="s">
        <v>845</v>
      </c>
      <c r="E2592" t="s">
        <v>272</v>
      </c>
      <c r="F2592" t="s">
        <v>3619</v>
      </c>
    </row>
    <row r="2593" spans="1:6" x14ac:dyDescent="0.25">
      <c r="A2593" t="s">
        <v>3620</v>
      </c>
      <c r="B2593" t="s">
        <v>695</v>
      </c>
      <c r="C2593" t="s">
        <v>706</v>
      </c>
      <c r="D2593" t="s">
        <v>845</v>
      </c>
      <c r="E2593" t="s">
        <v>272</v>
      </c>
      <c r="F2593" t="s">
        <v>3621</v>
      </c>
    </row>
    <row r="2594" spans="1:6" x14ac:dyDescent="0.25">
      <c r="A2594" t="s">
        <v>3620</v>
      </c>
      <c r="B2594" t="s">
        <v>794</v>
      </c>
      <c r="C2594" t="s">
        <v>706</v>
      </c>
      <c r="D2594" t="s">
        <v>845</v>
      </c>
      <c r="E2594" t="s">
        <v>272</v>
      </c>
      <c r="F2594" t="s">
        <v>272</v>
      </c>
    </row>
    <row r="2595" spans="1:6" x14ac:dyDescent="0.25">
      <c r="A2595" t="s">
        <v>3620</v>
      </c>
      <c r="B2595" t="s">
        <v>705</v>
      </c>
      <c r="C2595" t="s">
        <v>706</v>
      </c>
      <c r="D2595" t="s">
        <v>845</v>
      </c>
      <c r="E2595" t="s">
        <v>272</v>
      </c>
      <c r="F2595" t="s">
        <v>381</v>
      </c>
    </row>
    <row r="2596" spans="1:5" x14ac:dyDescent="0.25">
      <c r="A2596" t="s">
        <v>3620</v>
      </c>
      <c r="B2596" t="s">
        <v>692</v>
      </c>
      <c r="E2596" t="s">
        <v>272</v>
      </c>
    </row>
    <row r="2597" spans="1:5" x14ac:dyDescent="0.25">
      <c r="A2597" t="s">
        <v>3622</v>
      </c>
      <c r="B2597" t="s">
        <v>692</v>
      </c>
      <c r="E2597" t="s">
        <v>814</v>
      </c>
    </row>
    <row r="2598" spans="1:5" x14ac:dyDescent="0.25">
      <c r="A2598" t="s">
        <v>3623</v>
      </c>
      <c r="B2598" t="s">
        <v>692</v>
      </c>
      <c r="E2598" t="s">
        <v>181</v>
      </c>
    </row>
    <row r="2599" spans="1:6" x14ac:dyDescent="0.25">
      <c r="A2599" t="s">
        <v>3624</v>
      </c>
      <c r="B2599" t="s">
        <v>695</v>
      </c>
      <c r="C2599" t="s">
        <v>790</v>
      </c>
      <c r="D2599" t="s">
        <v>791</v>
      </c>
      <c r="E2599" t="s">
        <v>598</v>
      </c>
      <c r="F2599" t="s">
        <v>3625</v>
      </c>
    </row>
    <row r="2600" spans="1:5" x14ac:dyDescent="0.25">
      <c r="A2600" t="s">
        <v>3626</v>
      </c>
      <c r="B2600" t="s">
        <v>692</v>
      </c>
      <c r="E2600" t="s">
        <v>598</v>
      </c>
    </row>
    <row r="2601" spans="1:6" x14ac:dyDescent="0.25">
      <c r="A2601" t="s">
        <v>3627</v>
      </c>
      <c r="B2601" t="s">
        <v>695</v>
      </c>
      <c r="C2601" t="s">
        <v>706</v>
      </c>
      <c r="D2601" t="s">
        <v>845</v>
      </c>
      <c r="E2601" t="s">
        <v>272</v>
      </c>
      <c r="F2601" t="s">
        <v>3628</v>
      </c>
    </row>
    <row r="2602" spans="1:6" x14ac:dyDescent="0.25">
      <c r="A2602" t="s">
        <v>3627</v>
      </c>
      <c r="B2602" t="s">
        <v>705</v>
      </c>
      <c r="C2602" t="s">
        <v>706</v>
      </c>
      <c r="D2602" t="s">
        <v>845</v>
      </c>
      <c r="E2602" t="s">
        <v>272</v>
      </c>
      <c r="F2602" t="s">
        <v>381</v>
      </c>
    </row>
    <row r="2603" spans="1:5" x14ac:dyDescent="0.25">
      <c r="A2603" t="s">
        <v>3627</v>
      </c>
      <c r="B2603" t="s">
        <v>692</v>
      </c>
      <c r="E2603" t="s">
        <v>272</v>
      </c>
    </row>
    <row r="2604" spans="1:6" x14ac:dyDescent="0.25">
      <c r="A2604" t="s">
        <v>3629</v>
      </c>
      <c r="B2604" t="s">
        <v>695</v>
      </c>
      <c r="C2604" t="s">
        <v>706</v>
      </c>
      <c r="D2604" t="s">
        <v>845</v>
      </c>
      <c r="E2604" t="s">
        <v>272</v>
      </c>
      <c r="F2604" t="s">
        <v>3630</v>
      </c>
    </row>
    <row r="2605" spans="1:6" x14ac:dyDescent="0.25">
      <c r="A2605" t="s">
        <v>3629</v>
      </c>
      <c r="B2605" t="s">
        <v>705</v>
      </c>
      <c r="C2605" t="s">
        <v>706</v>
      </c>
      <c r="D2605" t="s">
        <v>845</v>
      </c>
      <c r="E2605" t="s">
        <v>272</v>
      </c>
      <c r="F2605" t="s">
        <v>381</v>
      </c>
    </row>
    <row r="2606" spans="1:6" x14ac:dyDescent="0.25">
      <c r="A2606" t="s">
        <v>3631</v>
      </c>
      <c r="B2606" t="s">
        <v>695</v>
      </c>
      <c r="C2606" t="s">
        <v>706</v>
      </c>
      <c r="D2606" t="s">
        <v>845</v>
      </c>
      <c r="E2606" t="s">
        <v>272</v>
      </c>
      <c r="F2606" t="s">
        <v>3632</v>
      </c>
    </row>
    <row r="2607" spans="1:6" x14ac:dyDescent="0.25">
      <c r="A2607" t="s">
        <v>3631</v>
      </c>
      <c r="B2607" t="s">
        <v>705</v>
      </c>
      <c r="C2607" t="s">
        <v>706</v>
      </c>
      <c r="D2607" t="s">
        <v>845</v>
      </c>
      <c r="E2607" t="s">
        <v>272</v>
      </c>
      <c r="F2607" t="s">
        <v>381</v>
      </c>
    </row>
    <row r="2608" spans="1:6" x14ac:dyDescent="0.25">
      <c r="A2608" t="s">
        <v>3633</v>
      </c>
      <c r="B2608" t="s">
        <v>705</v>
      </c>
      <c r="C2608" t="s">
        <v>706</v>
      </c>
      <c r="D2608" t="s">
        <v>845</v>
      </c>
      <c r="E2608" t="s">
        <v>272</v>
      </c>
      <c r="F2608" t="s">
        <v>381</v>
      </c>
    </row>
    <row r="2609" spans="1:5" x14ac:dyDescent="0.25">
      <c r="A2609" t="s">
        <v>3634</v>
      </c>
      <c r="B2609" t="s">
        <v>692</v>
      </c>
      <c r="E2609" t="s">
        <v>394</v>
      </c>
    </row>
    <row r="2610" spans="1:5" x14ac:dyDescent="0.25">
      <c r="A2610" t="s">
        <v>3635</v>
      </c>
      <c r="B2610" t="s">
        <v>692</v>
      </c>
      <c r="E2610" t="s">
        <v>693</v>
      </c>
    </row>
    <row r="2611" spans="1:6" x14ac:dyDescent="0.25">
      <c r="A2611" t="s">
        <v>3636</v>
      </c>
      <c r="B2611" t="s">
        <v>764</v>
      </c>
      <c r="C2611" t="s">
        <v>702</v>
      </c>
      <c r="D2611" t="s">
        <v>962</v>
      </c>
      <c r="E2611" t="s">
        <v>103</v>
      </c>
      <c r="F2611" t="s">
        <v>103</v>
      </c>
    </row>
    <row r="2612" spans="1:6" x14ac:dyDescent="0.25">
      <c r="A2612" t="s">
        <v>3637</v>
      </c>
      <c r="B2612" t="s">
        <v>764</v>
      </c>
      <c r="C2612" t="s">
        <v>758</v>
      </c>
      <c r="D2612" t="s">
        <v>875</v>
      </c>
      <c r="E2612" t="s">
        <v>173</v>
      </c>
      <c r="F2612" t="s">
        <v>206</v>
      </c>
    </row>
    <row r="2613" spans="1:6" x14ac:dyDescent="0.25">
      <c r="A2613" t="s">
        <v>3638</v>
      </c>
      <c r="B2613" t="s">
        <v>764</v>
      </c>
      <c r="C2613" t="s">
        <v>758</v>
      </c>
      <c r="D2613" t="s">
        <v>875</v>
      </c>
      <c r="E2613" t="s">
        <v>173</v>
      </c>
      <c r="F2613" t="s">
        <v>206</v>
      </c>
    </row>
    <row r="2614" spans="1:6" x14ac:dyDescent="0.25">
      <c r="A2614" t="s">
        <v>3639</v>
      </c>
      <c r="B2614" t="s">
        <v>764</v>
      </c>
      <c r="C2614" t="s">
        <v>758</v>
      </c>
      <c r="D2614" t="s">
        <v>875</v>
      </c>
      <c r="E2614" t="s">
        <v>173</v>
      </c>
      <c r="F2614" t="s">
        <v>206</v>
      </c>
    </row>
    <row r="2615" spans="1:6" x14ac:dyDescent="0.25">
      <c r="A2615" t="s">
        <v>3640</v>
      </c>
      <c r="B2615" t="s">
        <v>764</v>
      </c>
      <c r="C2615" t="s">
        <v>758</v>
      </c>
      <c r="D2615" t="s">
        <v>875</v>
      </c>
      <c r="E2615" t="s">
        <v>173</v>
      </c>
      <c r="F2615" t="s">
        <v>206</v>
      </c>
    </row>
    <row r="2616" spans="1:5" x14ac:dyDescent="0.25">
      <c r="A2616" t="s">
        <v>3641</v>
      </c>
      <c r="B2616" t="s">
        <v>692</v>
      </c>
      <c r="E2616" t="s">
        <v>394</v>
      </c>
    </row>
    <row r="2617" spans="1:5" x14ac:dyDescent="0.25">
      <c r="A2617" t="s">
        <v>3642</v>
      </c>
      <c r="B2617" t="s">
        <v>692</v>
      </c>
      <c r="E2617" t="s">
        <v>394</v>
      </c>
    </row>
    <row r="2618" spans="1:6" x14ac:dyDescent="0.25">
      <c r="A2618" t="s">
        <v>3643</v>
      </c>
      <c r="B2618" t="s">
        <v>692</v>
      </c>
      <c r="E2618" t="s">
        <v>90</v>
      </c>
      <c r="F2618" t="s">
        <v>91</v>
      </c>
    </row>
    <row r="2619" spans="1:5" x14ac:dyDescent="0.25">
      <c r="A2619" t="s">
        <v>3644</v>
      </c>
      <c r="B2619" t="s">
        <v>692</v>
      </c>
      <c r="E2619" t="s">
        <v>90</v>
      </c>
    </row>
    <row r="2620" spans="1:5" x14ac:dyDescent="0.25">
      <c r="A2620" t="s">
        <v>3645</v>
      </c>
      <c r="B2620" t="s">
        <v>692</v>
      </c>
      <c r="E2620" t="s">
        <v>90</v>
      </c>
    </row>
    <row r="2621" spans="1:5" x14ac:dyDescent="0.25">
      <c r="A2621" t="s">
        <v>3646</v>
      </c>
      <c r="B2621" t="s">
        <v>692</v>
      </c>
      <c r="E2621" t="s">
        <v>97</v>
      </c>
    </row>
    <row r="2622" spans="1:5" x14ac:dyDescent="0.25">
      <c r="A2622" t="s">
        <v>3647</v>
      </c>
      <c r="B2622" t="s">
        <v>692</v>
      </c>
      <c r="E2622" t="s">
        <v>97</v>
      </c>
    </row>
    <row r="2623" spans="1:5" x14ac:dyDescent="0.25">
      <c r="A2623" t="s">
        <v>3648</v>
      </c>
      <c r="B2623" t="s">
        <v>692</v>
      </c>
      <c r="E2623" t="s">
        <v>327</v>
      </c>
    </row>
    <row r="2624" spans="1:6" x14ac:dyDescent="0.25">
      <c r="A2624" t="s">
        <v>3649</v>
      </c>
      <c r="B2624" t="s">
        <v>692</v>
      </c>
      <c r="E2624" t="s">
        <v>353</v>
      </c>
      <c r="F2624" t="s">
        <v>73</v>
      </c>
    </row>
    <row r="2625" spans="1:6" x14ac:dyDescent="0.25">
      <c r="A2625" t="s">
        <v>3650</v>
      </c>
      <c r="B2625" t="s">
        <v>701</v>
      </c>
      <c r="C2625" t="s">
        <v>758</v>
      </c>
      <c r="D2625" t="s">
        <v>759</v>
      </c>
      <c r="E2625" t="s">
        <v>246</v>
      </c>
      <c r="F2625" t="s">
        <v>246</v>
      </c>
    </row>
    <row r="2626" spans="1:6" x14ac:dyDescent="0.25">
      <c r="A2626" t="s">
        <v>3651</v>
      </c>
      <c r="B2626" t="s">
        <v>701</v>
      </c>
      <c r="C2626" t="s">
        <v>758</v>
      </c>
      <c r="D2626" t="s">
        <v>759</v>
      </c>
      <c r="E2626" t="s">
        <v>246</v>
      </c>
      <c r="F2626" t="s">
        <v>246</v>
      </c>
    </row>
    <row r="2627" spans="1:6" x14ac:dyDescent="0.25">
      <c r="A2627" t="s">
        <v>3652</v>
      </c>
      <c r="B2627" t="s">
        <v>701</v>
      </c>
      <c r="C2627" t="s">
        <v>758</v>
      </c>
      <c r="D2627" t="s">
        <v>759</v>
      </c>
      <c r="E2627" t="s">
        <v>246</v>
      </c>
      <c r="F2627" t="s">
        <v>246</v>
      </c>
    </row>
    <row r="2628" spans="1:6" x14ac:dyDescent="0.25">
      <c r="A2628" t="s">
        <v>3653</v>
      </c>
      <c r="B2628" t="s">
        <v>701</v>
      </c>
      <c r="C2628" t="s">
        <v>758</v>
      </c>
      <c r="D2628" t="s">
        <v>759</v>
      </c>
      <c r="E2628" t="s">
        <v>246</v>
      </c>
      <c r="F2628" t="s">
        <v>246</v>
      </c>
    </row>
    <row r="2629" spans="1:6" x14ac:dyDescent="0.25">
      <c r="A2629" t="s">
        <v>3654</v>
      </c>
      <c r="B2629" t="s">
        <v>701</v>
      </c>
      <c r="C2629" t="s">
        <v>758</v>
      </c>
      <c r="D2629" t="s">
        <v>759</v>
      </c>
      <c r="E2629" t="s">
        <v>246</v>
      </c>
      <c r="F2629" t="s">
        <v>246</v>
      </c>
    </row>
    <row r="2630" spans="1:5" x14ac:dyDescent="0.25">
      <c r="A2630" t="s">
        <v>3655</v>
      </c>
      <c r="B2630" t="s">
        <v>692</v>
      </c>
      <c r="E2630" t="s">
        <v>246</v>
      </c>
    </row>
    <row r="2631" spans="1:6" x14ac:dyDescent="0.25">
      <c r="A2631" t="s">
        <v>3656</v>
      </c>
      <c r="B2631" t="s">
        <v>701</v>
      </c>
      <c r="C2631" t="s">
        <v>758</v>
      </c>
      <c r="D2631" t="s">
        <v>759</v>
      </c>
      <c r="E2631" t="s">
        <v>246</v>
      </c>
      <c r="F2631" t="s">
        <v>246</v>
      </c>
    </row>
    <row r="2632" spans="1:6" x14ac:dyDescent="0.25">
      <c r="A2632" t="s">
        <v>3657</v>
      </c>
      <c r="B2632" t="s">
        <v>701</v>
      </c>
      <c r="C2632" t="s">
        <v>758</v>
      </c>
      <c r="D2632" t="s">
        <v>759</v>
      </c>
      <c r="E2632" t="s">
        <v>246</v>
      </c>
      <c r="F2632" t="s">
        <v>246</v>
      </c>
    </row>
    <row r="2633" spans="1:6" x14ac:dyDescent="0.25">
      <c r="A2633" t="s">
        <v>3658</v>
      </c>
      <c r="B2633" t="s">
        <v>701</v>
      </c>
      <c r="C2633" t="s">
        <v>758</v>
      </c>
      <c r="D2633" t="s">
        <v>759</v>
      </c>
      <c r="E2633" t="s">
        <v>246</v>
      </c>
      <c r="F2633" t="s">
        <v>246</v>
      </c>
    </row>
    <row r="2634" spans="1:6" x14ac:dyDescent="0.25">
      <c r="A2634" t="s">
        <v>3659</v>
      </c>
      <c r="B2634" t="s">
        <v>701</v>
      </c>
      <c r="C2634" t="s">
        <v>758</v>
      </c>
      <c r="D2634" t="s">
        <v>759</v>
      </c>
      <c r="E2634" t="s">
        <v>246</v>
      </c>
      <c r="F2634" t="s">
        <v>246</v>
      </c>
    </row>
    <row r="2635" spans="1:6" x14ac:dyDescent="0.25">
      <c r="A2635" t="s">
        <v>3660</v>
      </c>
      <c r="B2635" t="s">
        <v>701</v>
      </c>
      <c r="C2635" t="s">
        <v>758</v>
      </c>
      <c r="D2635" t="s">
        <v>759</v>
      </c>
      <c r="E2635" t="s">
        <v>246</v>
      </c>
      <c r="F2635" t="s">
        <v>246</v>
      </c>
    </row>
    <row r="2636" spans="1:5" x14ac:dyDescent="0.25">
      <c r="A2636" t="s">
        <v>3661</v>
      </c>
      <c r="B2636" t="s">
        <v>692</v>
      </c>
      <c r="E2636" t="s">
        <v>327</v>
      </c>
    </row>
    <row r="2637" spans="1:6" x14ac:dyDescent="0.25">
      <c r="A2637" t="s">
        <v>402</v>
      </c>
      <c r="B2637" t="s">
        <v>764</v>
      </c>
      <c r="C2637" t="s">
        <v>702</v>
      </c>
      <c r="D2637" t="s">
        <v>761</v>
      </c>
      <c r="E2637" t="s">
        <v>327</v>
      </c>
      <c r="F2637" t="s">
        <v>924</v>
      </c>
    </row>
    <row r="2638" spans="1:6" x14ac:dyDescent="0.25">
      <c r="A2638" t="s">
        <v>402</v>
      </c>
      <c r="B2638" t="s">
        <v>692</v>
      </c>
      <c r="E2638" t="s">
        <v>327</v>
      </c>
      <c r="F2638" t="s">
        <v>3662</v>
      </c>
    </row>
    <row r="2639" spans="1:6" x14ac:dyDescent="0.25">
      <c r="A2639" t="s">
        <v>3663</v>
      </c>
      <c r="B2639" t="s">
        <v>692</v>
      </c>
      <c r="E2639" t="s">
        <v>327</v>
      </c>
      <c r="F2639" t="s">
        <v>3664</v>
      </c>
    </row>
    <row r="2640" spans="1:5" x14ac:dyDescent="0.25">
      <c r="A2640" t="s">
        <v>3663</v>
      </c>
      <c r="B2640" t="s">
        <v>692</v>
      </c>
      <c r="E2640" t="s">
        <v>327</v>
      </c>
    </row>
    <row r="2641" spans="1:6" x14ac:dyDescent="0.25">
      <c r="A2641" t="s">
        <v>3665</v>
      </c>
      <c r="B2641" t="s">
        <v>692</v>
      </c>
      <c r="E2641" t="s">
        <v>327</v>
      </c>
      <c r="F2641" t="s">
        <v>3664</v>
      </c>
    </row>
    <row r="2642" spans="1:6" x14ac:dyDescent="0.25">
      <c r="A2642" t="s">
        <v>3666</v>
      </c>
      <c r="B2642" t="s">
        <v>701</v>
      </c>
      <c r="C2642" t="s">
        <v>758</v>
      </c>
      <c r="D2642" t="s">
        <v>759</v>
      </c>
      <c r="E2642" t="s">
        <v>246</v>
      </c>
      <c r="F2642" t="s">
        <v>246</v>
      </c>
    </row>
    <row r="2643" spans="1:6" x14ac:dyDescent="0.25">
      <c r="A2643" t="s">
        <v>3667</v>
      </c>
      <c r="B2643" t="s">
        <v>701</v>
      </c>
      <c r="C2643" t="s">
        <v>758</v>
      </c>
      <c r="D2643" t="s">
        <v>759</v>
      </c>
      <c r="E2643" t="s">
        <v>246</v>
      </c>
      <c r="F2643" t="s">
        <v>246</v>
      </c>
    </row>
    <row r="2644" spans="1:6" x14ac:dyDescent="0.25">
      <c r="A2644" t="s">
        <v>3668</v>
      </c>
      <c r="B2644" t="s">
        <v>701</v>
      </c>
      <c r="C2644" t="s">
        <v>758</v>
      </c>
      <c r="D2644" t="s">
        <v>759</v>
      </c>
      <c r="E2644" t="s">
        <v>246</v>
      </c>
      <c r="F2644" t="s">
        <v>246</v>
      </c>
    </row>
    <row r="2645" spans="1:6" x14ac:dyDescent="0.25">
      <c r="A2645" t="s">
        <v>3669</v>
      </c>
      <c r="B2645" t="s">
        <v>701</v>
      </c>
      <c r="C2645" t="s">
        <v>758</v>
      </c>
      <c r="D2645" t="s">
        <v>759</v>
      </c>
      <c r="E2645" t="s">
        <v>246</v>
      </c>
      <c r="F2645" t="s">
        <v>246</v>
      </c>
    </row>
    <row r="2646" spans="1:6" x14ac:dyDescent="0.25">
      <c r="A2646" t="s">
        <v>3670</v>
      </c>
      <c r="B2646" t="s">
        <v>701</v>
      </c>
      <c r="C2646" t="s">
        <v>758</v>
      </c>
      <c r="D2646" t="s">
        <v>759</v>
      </c>
      <c r="E2646" t="s">
        <v>246</v>
      </c>
      <c r="F2646" t="s">
        <v>246</v>
      </c>
    </row>
    <row r="2647" spans="1:5" x14ac:dyDescent="0.25">
      <c r="A2647" t="s">
        <v>3671</v>
      </c>
      <c r="B2647" t="s">
        <v>692</v>
      </c>
      <c r="E2647" t="s">
        <v>3595</v>
      </c>
    </row>
    <row r="2648" spans="1:5" x14ac:dyDescent="0.25">
      <c r="A2648" t="s">
        <v>3672</v>
      </c>
      <c r="B2648" t="s">
        <v>692</v>
      </c>
      <c r="E2648" t="s">
        <v>3595</v>
      </c>
    </row>
    <row r="2649" spans="1:6" x14ac:dyDescent="0.25">
      <c r="A2649" t="s">
        <v>3673</v>
      </c>
      <c r="B2649" t="s">
        <v>701</v>
      </c>
      <c r="C2649" t="s">
        <v>706</v>
      </c>
      <c r="D2649" t="s">
        <v>845</v>
      </c>
      <c r="E2649" t="s">
        <v>3673</v>
      </c>
      <c r="F2649" t="s">
        <v>3673</v>
      </c>
    </row>
    <row r="2650" spans="1:6" x14ac:dyDescent="0.25">
      <c r="A2650" t="s">
        <v>3673</v>
      </c>
      <c r="B2650" t="s">
        <v>2105</v>
      </c>
      <c r="C2650" t="s">
        <v>706</v>
      </c>
      <c r="D2650" t="s">
        <v>845</v>
      </c>
      <c r="E2650" t="s">
        <v>3673</v>
      </c>
      <c r="F2650" t="s">
        <v>3674</v>
      </c>
    </row>
    <row r="2651" spans="1:6" x14ac:dyDescent="0.25">
      <c r="A2651" t="s">
        <v>3675</v>
      </c>
      <c r="B2651" t="s">
        <v>695</v>
      </c>
      <c r="C2651" t="s">
        <v>706</v>
      </c>
      <c r="D2651" t="s">
        <v>707</v>
      </c>
      <c r="E2651" t="s">
        <v>2712</v>
      </c>
      <c r="F2651" t="s">
        <v>3676</v>
      </c>
    </row>
    <row r="2652" spans="1:6" x14ac:dyDescent="0.25">
      <c r="A2652" t="s">
        <v>3677</v>
      </c>
      <c r="B2652" t="s">
        <v>695</v>
      </c>
      <c r="C2652" t="s">
        <v>696</v>
      </c>
      <c r="D2652" t="s">
        <v>697</v>
      </c>
      <c r="E2652" t="s">
        <v>1092</v>
      </c>
      <c r="F2652" t="s">
        <v>3678</v>
      </c>
    </row>
    <row r="2653" spans="1:6" x14ac:dyDescent="0.25">
      <c r="A2653" t="s">
        <v>3679</v>
      </c>
      <c r="B2653" t="s">
        <v>692</v>
      </c>
      <c r="E2653" t="s">
        <v>173</v>
      </c>
      <c r="F2653" t="s">
        <v>267</v>
      </c>
    </row>
    <row r="2654" spans="1:6" x14ac:dyDescent="0.25">
      <c r="A2654" t="s">
        <v>3680</v>
      </c>
      <c r="B2654" t="s">
        <v>695</v>
      </c>
      <c r="C2654" t="s">
        <v>1138</v>
      </c>
      <c r="D2654" t="s">
        <v>1139</v>
      </c>
      <c r="E2654" t="s">
        <v>181</v>
      </c>
      <c r="F2654" t="s">
        <v>3681</v>
      </c>
    </row>
    <row r="2655" spans="1:6" x14ac:dyDescent="0.25">
      <c r="A2655" t="s">
        <v>3682</v>
      </c>
      <c r="B2655" t="s">
        <v>695</v>
      </c>
      <c r="C2655" t="s">
        <v>1138</v>
      </c>
      <c r="D2655" t="s">
        <v>1139</v>
      </c>
      <c r="E2655" t="s">
        <v>181</v>
      </c>
      <c r="F2655" t="s">
        <v>3683</v>
      </c>
    </row>
    <row r="2656" spans="1:6" x14ac:dyDescent="0.25">
      <c r="A2656" t="s">
        <v>3684</v>
      </c>
      <c r="B2656" t="s">
        <v>705</v>
      </c>
      <c r="C2656" t="s">
        <v>1138</v>
      </c>
      <c r="D2656" t="s">
        <v>1139</v>
      </c>
      <c r="E2656" t="s">
        <v>1002</v>
      </c>
      <c r="F2656" t="s">
        <v>1140</v>
      </c>
    </row>
    <row r="2657" spans="1:5" x14ac:dyDescent="0.25">
      <c r="A2657" t="s">
        <v>3685</v>
      </c>
      <c r="B2657" t="s">
        <v>692</v>
      </c>
      <c r="E2657" t="s">
        <v>288</v>
      </c>
    </row>
    <row r="2658" spans="1:5" x14ac:dyDescent="0.25">
      <c r="A2658" t="s">
        <v>3686</v>
      </c>
      <c r="B2658" t="s">
        <v>692</v>
      </c>
      <c r="E2658" t="s">
        <v>288</v>
      </c>
    </row>
    <row r="2659" spans="1:5" x14ac:dyDescent="0.25">
      <c r="A2659" t="s">
        <v>3687</v>
      </c>
      <c r="B2659" t="s">
        <v>692</v>
      </c>
      <c r="E2659" t="s">
        <v>288</v>
      </c>
    </row>
    <row r="2660" spans="1:6" x14ac:dyDescent="0.25">
      <c r="A2660" t="s">
        <v>3688</v>
      </c>
      <c r="B2660" t="s">
        <v>695</v>
      </c>
      <c r="C2660" t="s">
        <v>1138</v>
      </c>
      <c r="D2660" t="s">
        <v>1139</v>
      </c>
      <c r="E2660" t="s">
        <v>181</v>
      </c>
      <c r="F2660" t="s">
        <v>3689</v>
      </c>
    </row>
    <row r="2661" spans="1:6" x14ac:dyDescent="0.25">
      <c r="A2661" t="s">
        <v>3688</v>
      </c>
      <c r="B2661" t="s">
        <v>705</v>
      </c>
      <c r="C2661" t="s">
        <v>1138</v>
      </c>
      <c r="D2661" t="s">
        <v>1139</v>
      </c>
      <c r="E2661" t="s">
        <v>181</v>
      </c>
      <c r="F2661" t="s">
        <v>2758</v>
      </c>
    </row>
    <row r="2662" spans="1:6" x14ac:dyDescent="0.25">
      <c r="A2662" t="s">
        <v>3690</v>
      </c>
      <c r="B2662" t="s">
        <v>705</v>
      </c>
      <c r="C2662" t="s">
        <v>1138</v>
      </c>
      <c r="D2662" t="s">
        <v>1139</v>
      </c>
      <c r="E2662" t="s">
        <v>1002</v>
      </c>
      <c r="F2662" t="s">
        <v>1140</v>
      </c>
    </row>
    <row r="2663" spans="1:5" x14ac:dyDescent="0.25">
      <c r="A2663" t="s">
        <v>3690</v>
      </c>
      <c r="B2663" t="s">
        <v>692</v>
      </c>
      <c r="E2663" t="s">
        <v>1002</v>
      </c>
    </row>
    <row r="2664" spans="1:5" x14ac:dyDescent="0.25">
      <c r="A2664" t="s">
        <v>3691</v>
      </c>
      <c r="B2664" t="s">
        <v>692</v>
      </c>
      <c r="E2664" t="s">
        <v>1002</v>
      </c>
    </row>
    <row r="2665" spans="1:6" x14ac:dyDescent="0.25">
      <c r="A2665" t="s">
        <v>3692</v>
      </c>
      <c r="B2665" t="s">
        <v>705</v>
      </c>
      <c r="C2665" t="s">
        <v>1138</v>
      </c>
      <c r="D2665" t="s">
        <v>1139</v>
      </c>
      <c r="E2665" t="s">
        <v>1002</v>
      </c>
      <c r="F2665" t="s">
        <v>1140</v>
      </c>
    </row>
    <row r="2666" spans="1:6" x14ac:dyDescent="0.25">
      <c r="A2666" t="s">
        <v>3693</v>
      </c>
      <c r="B2666" t="s">
        <v>692</v>
      </c>
      <c r="E2666" t="s">
        <v>90</v>
      </c>
      <c r="F2666" t="s">
        <v>91</v>
      </c>
    </row>
    <row r="2667" spans="1:5" x14ac:dyDescent="0.25">
      <c r="A2667" t="s">
        <v>3694</v>
      </c>
      <c r="B2667" t="s">
        <v>692</v>
      </c>
      <c r="E2667" t="s">
        <v>1229</v>
      </c>
    </row>
    <row r="2668" spans="1:5" x14ac:dyDescent="0.25">
      <c r="A2668" t="s">
        <v>3695</v>
      </c>
      <c r="B2668" t="s">
        <v>692</v>
      </c>
      <c r="E2668" t="s">
        <v>90</v>
      </c>
    </row>
    <row r="2669" spans="1:5" x14ac:dyDescent="0.25">
      <c r="A2669" t="s">
        <v>3696</v>
      </c>
      <c r="B2669" t="s">
        <v>692</v>
      </c>
      <c r="E2669" t="s">
        <v>598</v>
      </c>
    </row>
    <row r="2670" spans="1:6" x14ac:dyDescent="0.25">
      <c r="A2670" t="s">
        <v>534</v>
      </c>
      <c r="B2670" t="s">
        <v>695</v>
      </c>
      <c r="C2670" t="s">
        <v>706</v>
      </c>
      <c r="D2670" t="s">
        <v>845</v>
      </c>
      <c r="E2670" t="s">
        <v>272</v>
      </c>
      <c r="F2670" t="s">
        <v>3697</v>
      </c>
    </row>
    <row r="2671" spans="1:6" x14ac:dyDescent="0.25">
      <c r="A2671" t="s">
        <v>534</v>
      </c>
      <c r="B2671" t="s">
        <v>705</v>
      </c>
      <c r="C2671" t="s">
        <v>706</v>
      </c>
      <c r="D2671" t="s">
        <v>845</v>
      </c>
      <c r="E2671" t="s">
        <v>272</v>
      </c>
      <c r="F2671" t="s">
        <v>381</v>
      </c>
    </row>
    <row r="2672" spans="1:6" x14ac:dyDescent="0.25">
      <c r="A2672" t="s">
        <v>3698</v>
      </c>
      <c r="B2672" t="s">
        <v>695</v>
      </c>
      <c r="C2672" t="s">
        <v>706</v>
      </c>
      <c r="D2672" t="s">
        <v>845</v>
      </c>
      <c r="E2672" t="s">
        <v>272</v>
      </c>
      <c r="F2672" t="s">
        <v>3699</v>
      </c>
    </row>
    <row r="2673" spans="1:6" x14ac:dyDescent="0.25">
      <c r="A2673" t="s">
        <v>3698</v>
      </c>
      <c r="B2673" t="s">
        <v>705</v>
      </c>
      <c r="C2673" t="s">
        <v>706</v>
      </c>
      <c r="D2673" t="s">
        <v>845</v>
      </c>
      <c r="E2673" t="s">
        <v>272</v>
      </c>
      <c r="F2673" t="s">
        <v>381</v>
      </c>
    </row>
    <row r="2674" spans="1:6" x14ac:dyDescent="0.25">
      <c r="A2674" t="s">
        <v>3700</v>
      </c>
      <c r="B2674" t="s">
        <v>695</v>
      </c>
      <c r="C2674" t="s">
        <v>706</v>
      </c>
      <c r="D2674" t="s">
        <v>845</v>
      </c>
      <c r="E2674" t="s">
        <v>272</v>
      </c>
      <c r="F2674" t="s">
        <v>3701</v>
      </c>
    </row>
    <row r="2675" spans="1:6" x14ac:dyDescent="0.25">
      <c r="A2675" t="s">
        <v>3702</v>
      </c>
      <c r="B2675" t="s">
        <v>695</v>
      </c>
      <c r="C2675" t="s">
        <v>706</v>
      </c>
      <c r="D2675" t="s">
        <v>845</v>
      </c>
      <c r="E2675" t="s">
        <v>272</v>
      </c>
      <c r="F2675" t="s">
        <v>3703</v>
      </c>
    </row>
    <row r="2676" spans="1:6" x14ac:dyDescent="0.25">
      <c r="A2676" t="s">
        <v>3702</v>
      </c>
      <c r="B2676" t="s">
        <v>705</v>
      </c>
      <c r="C2676" t="s">
        <v>706</v>
      </c>
      <c r="D2676" t="s">
        <v>845</v>
      </c>
      <c r="E2676" t="s">
        <v>272</v>
      </c>
      <c r="F2676" t="s">
        <v>381</v>
      </c>
    </row>
    <row r="2677" spans="1:6" x14ac:dyDescent="0.25">
      <c r="A2677" t="s">
        <v>3704</v>
      </c>
      <c r="B2677" t="s">
        <v>705</v>
      </c>
      <c r="C2677" t="s">
        <v>706</v>
      </c>
      <c r="D2677" t="s">
        <v>845</v>
      </c>
      <c r="E2677" t="s">
        <v>272</v>
      </c>
      <c r="F2677" t="s">
        <v>381</v>
      </c>
    </row>
    <row r="2678" spans="1:6" x14ac:dyDescent="0.25">
      <c r="A2678" t="s">
        <v>3705</v>
      </c>
      <c r="B2678" t="s">
        <v>705</v>
      </c>
      <c r="C2678" t="s">
        <v>706</v>
      </c>
      <c r="D2678" t="s">
        <v>845</v>
      </c>
      <c r="E2678" t="s">
        <v>272</v>
      </c>
      <c r="F2678" t="s">
        <v>381</v>
      </c>
    </row>
    <row r="2679" spans="1:6" x14ac:dyDescent="0.25">
      <c r="A2679" t="s">
        <v>3706</v>
      </c>
      <c r="B2679" t="s">
        <v>705</v>
      </c>
      <c r="C2679" t="s">
        <v>706</v>
      </c>
      <c r="D2679" t="s">
        <v>845</v>
      </c>
      <c r="E2679" t="s">
        <v>272</v>
      </c>
      <c r="F2679" t="s">
        <v>381</v>
      </c>
    </row>
    <row r="2680" spans="1:6" x14ac:dyDescent="0.25">
      <c r="A2680" t="s">
        <v>3707</v>
      </c>
      <c r="B2680" t="s">
        <v>695</v>
      </c>
      <c r="C2680" t="s">
        <v>706</v>
      </c>
      <c r="D2680" t="s">
        <v>845</v>
      </c>
      <c r="E2680" t="s">
        <v>272</v>
      </c>
      <c r="F2680" t="s">
        <v>3708</v>
      </c>
    </row>
    <row r="2681" spans="1:5" x14ac:dyDescent="0.25">
      <c r="A2681" t="s">
        <v>3709</v>
      </c>
      <c r="B2681" t="s">
        <v>692</v>
      </c>
      <c r="E2681" t="s">
        <v>90</v>
      </c>
    </row>
    <row r="2682" spans="1:5" x14ac:dyDescent="0.25">
      <c r="A2682" t="s">
        <v>3710</v>
      </c>
      <c r="B2682" t="s">
        <v>692</v>
      </c>
      <c r="E2682" t="s">
        <v>90</v>
      </c>
    </row>
    <row r="2683" spans="1:5" x14ac:dyDescent="0.25">
      <c r="A2683" t="s">
        <v>3711</v>
      </c>
      <c r="B2683" t="s">
        <v>692</v>
      </c>
      <c r="E2683" t="s">
        <v>181</v>
      </c>
    </row>
    <row r="2684" spans="1:6" x14ac:dyDescent="0.25">
      <c r="A2684" t="s">
        <v>3712</v>
      </c>
      <c r="B2684" t="s">
        <v>695</v>
      </c>
      <c r="C2684" t="s">
        <v>1138</v>
      </c>
      <c r="D2684" t="s">
        <v>1139</v>
      </c>
      <c r="E2684" t="s">
        <v>181</v>
      </c>
      <c r="F2684" t="s">
        <v>3713</v>
      </c>
    </row>
    <row r="2685" spans="1:6" x14ac:dyDescent="0.25">
      <c r="A2685" t="s">
        <v>181</v>
      </c>
      <c r="B2685" t="s">
        <v>2357</v>
      </c>
      <c r="C2685" t="s">
        <v>1138</v>
      </c>
      <c r="D2685" t="s">
        <v>1139</v>
      </c>
      <c r="E2685" t="s">
        <v>181</v>
      </c>
      <c r="F2685" t="s">
        <v>181</v>
      </c>
    </row>
    <row r="2686" spans="1:5" x14ac:dyDescent="0.25">
      <c r="A2686" t="s">
        <v>3714</v>
      </c>
      <c r="B2686" t="s">
        <v>692</v>
      </c>
      <c r="E2686" t="s">
        <v>2119</v>
      </c>
    </row>
    <row r="2687" spans="1:6" x14ac:dyDescent="0.25">
      <c r="A2687" t="s">
        <v>3715</v>
      </c>
      <c r="B2687" t="s">
        <v>695</v>
      </c>
      <c r="C2687" t="s">
        <v>1138</v>
      </c>
      <c r="D2687" t="s">
        <v>1139</v>
      </c>
      <c r="E2687" t="s">
        <v>181</v>
      </c>
      <c r="F2687" t="s">
        <v>3716</v>
      </c>
    </row>
    <row r="2688" spans="1:6" x14ac:dyDescent="0.25">
      <c r="A2688" t="s">
        <v>3715</v>
      </c>
      <c r="B2688" t="s">
        <v>705</v>
      </c>
      <c r="C2688" t="s">
        <v>1138</v>
      </c>
      <c r="D2688" t="s">
        <v>1139</v>
      </c>
      <c r="E2688" t="s">
        <v>181</v>
      </c>
      <c r="F2688" t="s">
        <v>3717</v>
      </c>
    </row>
    <row r="2689" spans="1:5" x14ac:dyDescent="0.25">
      <c r="A2689" t="s">
        <v>3718</v>
      </c>
      <c r="B2689" t="s">
        <v>692</v>
      </c>
      <c r="E2689" t="s">
        <v>288</v>
      </c>
    </row>
    <row r="2690" spans="1:6" x14ac:dyDescent="0.25">
      <c r="A2690" t="s">
        <v>3719</v>
      </c>
      <c r="B2690" t="s">
        <v>695</v>
      </c>
      <c r="C2690" t="s">
        <v>706</v>
      </c>
      <c r="D2690" t="s">
        <v>2184</v>
      </c>
      <c r="E2690" t="s">
        <v>288</v>
      </c>
      <c r="F2690" t="s">
        <v>3720</v>
      </c>
    </row>
    <row r="2691" spans="1:6" x14ac:dyDescent="0.25">
      <c r="A2691" t="s">
        <v>3719</v>
      </c>
      <c r="B2691" t="s">
        <v>705</v>
      </c>
      <c r="C2691" t="s">
        <v>706</v>
      </c>
      <c r="D2691" t="s">
        <v>2184</v>
      </c>
      <c r="E2691" t="s">
        <v>288</v>
      </c>
      <c r="F2691" t="s">
        <v>2370</v>
      </c>
    </row>
    <row r="2692" spans="1:6" x14ac:dyDescent="0.25">
      <c r="A2692" t="s">
        <v>3721</v>
      </c>
      <c r="B2692" t="s">
        <v>705</v>
      </c>
      <c r="C2692" t="s">
        <v>706</v>
      </c>
      <c r="D2692" t="s">
        <v>2184</v>
      </c>
      <c r="E2692" t="s">
        <v>288</v>
      </c>
      <c r="F2692" t="s">
        <v>2370</v>
      </c>
    </row>
    <row r="2693" spans="1:6" x14ac:dyDescent="0.25">
      <c r="A2693" t="s">
        <v>3722</v>
      </c>
      <c r="B2693" t="s">
        <v>692</v>
      </c>
      <c r="E2693" t="s">
        <v>90</v>
      </c>
      <c r="F2693" t="s">
        <v>91</v>
      </c>
    </row>
    <row r="2694" spans="1:5" x14ac:dyDescent="0.25">
      <c r="A2694" t="s">
        <v>3723</v>
      </c>
      <c r="B2694" t="s">
        <v>692</v>
      </c>
      <c r="E2694" t="s">
        <v>90</v>
      </c>
    </row>
    <row r="2695" spans="1:6" x14ac:dyDescent="0.25">
      <c r="A2695" t="s">
        <v>3724</v>
      </c>
      <c r="B2695" t="s">
        <v>794</v>
      </c>
      <c r="C2695" t="s">
        <v>702</v>
      </c>
      <c r="D2695" t="s">
        <v>761</v>
      </c>
      <c r="E2695" t="s">
        <v>389</v>
      </c>
      <c r="F2695" t="s">
        <v>1007</v>
      </c>
    </row>
    <row r="2696" spans="1:6" x14ac:dyDescent="0.25">
      <c r="A2696" t="s">
        <v>3725</v>
      </c>
      <c r="B2696" t="s">
        <v>695</v>
      </c>
      <c r="C2696" t="s">
        <v>702</v>
      </c>
      <c r="D2696" t="s">
        <v>786</v>
      </c>
      <c r="E2696" t="s">
        <v>824</v>
      </c>
      <c r="F2696" t="s">
        <v>3726</v>
      </c>
    </row>
    <row r="2697" spans="1:6" x14ac:dyDescent="0.25">
      <c r="A2697" t="s">
        <v>3727</v>
      </c>
      <c r="B2697" t="s">
        <v>695</v>
      </c>
      <c r="C2697" t="s">
        <v>706</v>
      </c>
      <c r="D2697" t="s">
        <v>707</v>
      </c>
      <c r="E2697" t="s">
        <v>2712</v>
      </c>
      <c r="F2697" t="s">
        <v>3728</v>
      </c>
    </row>
    <row r="2698" spans="1:6" x14ac:dyDescent="0.25">
      <c r="A2698" t="s">
        <v>3729</v>
      </c>
      <c r="B2698" t="s">
        <v>695</v>
      </c>
      <c r="C2698" t="s">
        <v>1138</v>
      </c>
      <c r="D2698" t="s">
        <v>1139</v>
      </c>
      <c r="E2698" t="s">
        <v>1002</v>
      </c>
      <c r="F2698" t="s">
        <v>3730</v>
      </c>
    </row>
    <row r="2699" spans="1:5" x14ac:dyDescent="0.25">
      <c r="A2699" t="s">
        <v>3731</v>
      </c>
      <c r="B2699" t="s">
        <v>692</v>
      </c>
      <c r="E2699" t="s">
        <v>1002</v>
      </c>
    </row>
    <row r="2700" spans="1:6" x14ac:dyDescent="0.25">
      <c r="A2700" t="s">
        <v>3732</v>
      </c>
      <c r="B2700" t="s">
        <v>695</v>
      </c>
      <c r="C2700" t="s">
        <v>696</v>
      </c>
      <c r="D2700" t="s">
        <v>697</v>
      </c>
      <c r="E2700" t="s">
        <v>698</v>
      </c>
      <c r="F2700" t="s">
        <v>3733</v>
      </c>
    </row>
    <row r="2701" spans="1:6" x14ac:dyDescent="0.25">
      <c r="A2701" t="s">
        <v>3734</v>
      </c>
      <c r="B2701" t="s">
        <v>695</v>
      </c>
      <c r="C2701" t="s">
        <v>696</v>
      </c>
      <c r="D2701" t="s">
        <v>697</v>
      </c>
      <c r="E2701" t="s">
        <v>698</v>
      </c>
      <c r="F2701" t="s">
        <v>3735</v>
      </c>
    </row>
    <row r="2702" spans="1:6" x14ac:dyDescent="0.25">
      <c r="A2702" t="s">
        <v>3736</v>
      </c>
      <c r="B2702" t="s">
        <v>695</v>
      </c>
      <c r="C2702" t="s">
        <v>702</v>
      </c>
      <c r="D2702" t="s">
        <v>2107</v>
      </c>
      <c r="E2702" t="s">
        <v>2108</v>
      </c>
      <c r="F2702" t="s">
        <v>3737</v>
      </c>
    </row>
    <row r="2703" spans="1:5" x14ac:dyDescent="0.25">
      <c r="A2703" t="s">
        <v>3738</v>
      </c>
      <c r="B2703" t="s">
        <v>692</v>
      </c>
      <c r="E2703" t="s">
        <v>3739</v>
      </c>
    </row>
    <row r="2704" spans="1:5" x14ac:dyDescent="0.25">
      <c r="A2704" t="s">
        <v>709</v>
      </c>
      <c r="B2704" t="s">
        <v>692</v>
      </c>
      <c r="E2704" t="s">
        <v>708</v>
      </c>
    </row>
    <row r="2705" spans="1:5" x14ac:dyDescent="0.25">
      <c r="A2705" t="s">
        <v>3740</v>
      </c>
      <c r="B2705" t="s">
        <v>692</v>
      </c>
      <c r="E2705" t="s">
        <v>1002</v>
      </c>
    </row>
    <row r="2706" spans="1:6" x14ac:dyDescent="0.25">
      <c r="A2706" t="s">
        <v>3741</v>
      </c>
      <c r="B2706" t="s">
        <v>695</v>
      </c>
      <c r="C2706" t="s">
        <v>1138</v>
      </c>
      <c r="D2706" t="s">
        <v>1139</v>
      </c>
      <c r="E2706" t="s">
        <v>1002</v>
      </c>
      <c r="F2706" t="s">
        <v>3742</v>
      </c>
    </row>
    <row r="2707" spans="1:6" x14ac:dyDescent="0.25">
      <c r="A2707" t="s">
        <v>3741</v>
      </c>
      <c r="B2707" t="s">
        <v>705</v>
      </c>
      <c r="C2707" t="s">
        <v>1138</v>
      </c>
      <c r="D2707" t="s">
        <v>1139</v>
      </c>
      <c r="E2707" t="s">
        <v>1002</v>
      </c>
      <c r="F2707" t="s">
        <v>1140</v>
      </c>
    </row>
    <row r="2708" spans="1:6" x14ac:dyDescent="0.25">
      <c r="A2708" t="s">
        <v>3743</v>
      </c>
      <c r="B2708" t="s">
        <v>692</v>
      </c>
      <c r="E2708" t="s">
        <v>905</v>
      </c>
      <c r="F2708" t="s">
        <v>189</v>
      </c>
    </row>
    <row r="2709" spans="1:5" x14ac:dyDescent="0.25">
      <c r="A2709" t="s">
        <v>3744</v>
      </c>
      <c r="B2709" t="s">
        <v>692</v>
      </c>
      <c r="E2709" t="s">
        <v>322</v>
      </c>
    </row>
    <row r="2710" spans="1:6" x14ac:dyDescent="0.25">
      <c r="A2710" t="s">
        <v>3745</v>
      </c>
      <c r="B2710" t="s">
        <v>695</v>
      </c>
      <c r="C2710" t="s">
        <v>790</v>
      </c>
      <c r="D2710" t="s">
        <v>791</v>
      </c>
      <c r="E2710" t="s">
        <v>598</v>
      </c>
      <c r="F2710" t="s">
        <v>3746</v>
      </c>
    </row>
    <row r="2711" spans="1:6" x14ac:dyDescent="0.25">
      <c r="A2711" t="s">
        <v>3747</v>
      </c>
      <c r="B2711" t="s">
        <v>695</v>
      </c>
      <c r="C2711" t="s">
        <v>696</v>
      </c>
      <c r="D2711" t="s">
        <v>697</v>
      </c>
      <c r="E2711" t="s">
        <v>698</v>
      </c>
      <c r="F2711" t="s">
        <v>3747</v>
      </c>
    </row>
    <row r="2712" spans="1:6" x14ac:dyDescent="0.25">
      <c r="A2712" t="s">
        <v>3748</v>
      </c>
      <c r="B2712" t="s">
        <v>695</v>
      </c>
      <c r="C2712" t="s">
        <v>696</v>
      </c>
      <c r="D2712" t="s">
        <v>697</v>
      </c>
      <c r="E2712" t="s">
        <v>698</v>
      </c>
      <c r="F2712" t="s">
        <v>3748</v>
      </c>
    </row>
    <row r="2713" spans="1:6" x14ac:dyDescent="0.25">
      <c r="A2713" t="s">
        <v>3749</v>
      </c>
      <c r="B2713" t="s">
        <v>695</v>
      </c>
      <c r="C2713" t="s">
        <v>696</v>
      </c>
      <c r="D2713" t="s">
        <v>697</v>
      </c>
      <c r="E2713" t="s">
        <v>698</v>
      </c>
      <c r="F2713" t="s">
        <v>3749</v>
      </c>
    </row>
    <row r="2714" spans="1:6" x14ac:dyDescent="0.25">
      <c r="A2714" t="s">
        <v>3750</v>
      </c>
      <c r="B2714" t="s">
        <v>695</v>
      </c>
      <c r="C2714" t="s">
        <v>696</v>
      </c>
      <c r="D2714" t="s">
        <v>697</v>
      </c>
      <c r="E2714" t="s">
        <v>698</v>
      </c>
      <c r="F2714" t="s">
        <v>3750</v>
      </c>
    </row>
    <row r="2715" spans="1:6" x14ac:dyDescent="0.25">
      <c r="A2715" t="s">
        <v>3751</v>
      </c>
      <c r="B2715" t="s">
        <v>695</v>
      </c>
      <c r="C2715" t="s">
        <v>696</v>
      </c>
      <c r="D2715" t="s">
        <v>697</v>
      </c>
      <c r="E2715" t="s">
        <v>698</v>
      </c>
      <c r="F2715" t="s">
        <v>3751</v>
      </c>
    </row>
    <row r="2716" spans="1:6" x14ac:dyDescent="0.25">
      <c r="A2716" t="s">
        <v>3752</v>
      </c>
      <c r="B2716" t="s">
        <v>695</v>
      </c>
      <c r="C2716" t="s">
        <v>696</v>
      </c>
      <c r="D2716" t="s">
        <v>697</v>
      </c>
      <c r="E2716" t="s">
        <v>698</v>
      </c>
      <c r="F2716" t="s">
        <v>3752</v>
      </c>
    </row>
    <row r="2717" spans="1:5" x14ac:dyDescent="0.25">
      <c r="A2717" t="s">
        <v>3753</v>
      </c>
      <c r="B2717" t="s">
        <v>692</v>
      </c>
      <c r="E2717" t="s">
        <v>2119</v>
      </c>
    </row>
    <row r="2718" spans="1:5" x14ac:dyDescent="0.25">
      <c r="A2718" t="s">
        <v>3754</v>
      </c>
      <c r="B2718" t="s">
        <v>692</v>
      </c>
      <c r="E2718" t="s">
        <v>394</v>
      </c>
    </row>
    <row r="2719" spans="1:5" x14ac:dyDescent="0.25">
      <c r="A2719" t="s">
        <v>3755</v>
      </c>
      <c r="B2719" t="s">
        <v>692</v>
      </c>
      <c r="E2719" t="s">
        <v>1527</v>
      </c>
    </row>
    <row r="2720" spans="1:6" x14ac:dyDescent="0.25">
      <c r="A2720" t="s">
        <v>360</v>
      </c>
      <c r="B2720" t="s">
        <v>2357</v>
      </c>
      <c r="C2720" t="s">
        <v>706</v>
      </c>
      <c r="D2720" t="s">
        <v>753</v>
      </c>
      <c r="E2720" t="s">
        <v>360</v>
      </c>
      <c r="F2720" t="s">
        <v>360</v>
      </c>
    </row>
    <row r="2721" spans="1:6" x14ac:dyDescent="0.25">
      <c r="A2721" t="s">
        <v>3756</v>
      </c>
      <c r="B2721" t="s">
        <v>695</v>
      </c>
      <c r="C2721" t="s">
        <v>706</v>
      </c>
      <c r="D2721" t="s">
        <v>2330</v>
      </c>
      <c r="E2721" t="s">
        <v>2331</v>
      </c>
      <c r="F2721" t="s">
        <v>3757</v>
      </c>
    </row>
    <row r="2722" spans="1:5" x14ac:dyDescent="0.25">
      <c r="A2722" t="s">
        <v>3758</v>
      </c>
      <c r="B2722" t="s">
        <v>692</v>
      </c>
      <c r="E2722" t="s">
        <v>1194</v>
      </c>
    </row>
    <row r="2723" spans="1:6" x14ac:dyDescent="0.25">
      <c r="A2723" t="s">
        <v>3759</v>
      </c>
      <c r="B2723" t="s">
        <v>695</v>
      </c>
      <c r="C2723" t="s">
        <v>702</v>
      </c>
      <c r="D2723" t="s">
        <v>2606</v>
      </c>
      <c r="E2723" t="s">
        <v>1194</v>
      </c>
      <c r="F2723" t="s">
        <v>3760</v>
      </c>
    </row>
    <row r="2724" spans="1:5" x14ac:dyDescent="0.25">
      <c r="A2724" t="s">
        <v>3759</v>
      </c>
      <c r="B2724" t="s">
        <v>692</v>
      </c>
      <c r="E2724" t="s">
        <v>1194</v>
      </c>
    </row>
    <row r="2725" spans="1:5" x14ac:dyDescent="0.25">
      <c r="A2725" t="s">
        <v>3761</v>
      </c>
      <c r="B2725" t="s">
        <v>692</v>
      </c>
      <c r="E2725" t="s">
        <v>135</v>
      </c>
    </row>
    <row r="2726" spans="1:5" x14ac:dyDescent="0.25">
      <c r="A2726" t="s">
        <v>3762</v>
      </c>
      <c r="B2726" t="s">
        <v>692</v>
      </c>
      <c r="E2726" t="s">
        <v>90</v>
      </c>
    </row>
    <row r="2727" spans="1:5" x14ac:dyDescent="0.25">
      <c r="A2727" t="s">
        <v>3763</v>
      </c>
      <c r="B2727" t="s">
        <v>692</v>
      </c>
      <c r="E2727" t="s">
        <v>322</v>
      </c>
    </row>
    <row r="2728" spans="1:5" x14ac:dyDescent="0.25">
      <c r="A2728" t="s">
        <v>3764</v>
      </c>
      <c r="B2728" t="s">
        <v>692</v>
      </c>
      <c r="E2728" t="s">
        <v>322</v>
      </c>
    </row>
    <row r="2729" spans="1:5" x14ac:dyDescent="0.25">
      <c r="A2729" t="s">
        <v>3765</v>
      </c>
      <c r="B2729" t="s">
        <v>692</v>
      </c>
      <c r="E2729" t="s">
        <v>322</v>
      </c>
    </row>
    <row r="2730" spans="1:5" x14ac:dyDescent="0.25">
      <c r="A2730" t="s">
        <v>3766</v>
      </c>
      <c r="B2730" t="s">
        <v>692</v>
      </c>
      <c r="E2730" t="s">
        <v>322</v>
      </c>
    </row>
    <row r="2731" spans="1:5" x14ac:dyDescent="0.25">
      <c r="A2731" t="s">
        <v>3767</v>
      </c>
      <c r="B2731" t="s">
        <v>692</v>
      </c>
      <c r="E2731" t="s">
        <v>322</v>
      </c>
    </row>
    <row r="2732" spans="1:5" x14ac:dyDescent="0.25">
      <c r="A2732" t="s">
        <v>3768</v>
      </c>
      <c r="B2732" t="s">
        <v>692</v>
      </c>
      <c r="E2732" t="s">
        <v>322</v>
      </c>
    </row>
    <row r="2733" spans="1:5" x14ac:dyDescent="0.25">
      <c r="A2733" t="s">
        <v>3769</v>
      </c>
      <c r="B2733" t="s">
        <v>692</v>
      </c>
      <c r="E2733" t="s">
        <v>322</v>
      </c>
    </row>
    <row r="2734" spans="1:5" x14ac:dyDescent="0.25">
      <c r="A2734" t="s">
        <v>3770</v>
      </c>
      <c r="B2734" t="s">
        <v>692</v>
      </c>
      <c r="E2734" t="s">
        <v>322</v>
      </c>
    </row>
    <row r="2735" spans="1:5" x14ac:dyDescent="0.25">
      <c r="A2735" t="s">
        <v>3771</v>
      </c>
      <c r="B2735" t="s">
        <v>692</v>
      </c>
      <c r="E2735" t="s">
        <v>322</v>
      </c>
    </row>
    <row r="2736" spans="1:5" x14ac:dyDescent="0.25">
      <c r="A2736" t="s">
        <v>3772</v>
      </c>
      <c r="B2736" t="s">
        <v>692</v>
      </c>
      <c r="E2736" t="s">
        <v>322</v>
      </c>
    </row>
    <row r="2737" spans="1:5" x14ac:dyDescent="0.25">
      <c r="A2737" t="s">
        <v>3773</v>
      </c>
      <c r="B2737" t="s">
        <v>692</v>
      </c>
      <c r="E2737" t="s">
        <v>322</v>
      </c>
    </row>
    <row r="2738" spans="1:5" x14ac:dyDescent="0.25">
      <c r="A2738" t="s">
        <v>3774</v>
      </c>
      <c r="B2738" t="s">
        <v>692</v>
      </c>
      <c r="E2738" t="s">
        <v>1002</v>
      </c>
    </row>
    <row r="2739" spans="1:5" x14ac:dyDescent="0.25">
      <c r="A2739" t="s">
        <v>3775</v>
      </c>
      <c r="B2739" t="s">
        <v>692</v>
      </c>
      <c r="E2739" t="s">
        <v>288</v>
      </c>
    </row>
    <row r="2740" spans="1:5" x14ac:dyDescent="0.25">
      <c r="A2740" t="s">
        <v>287</v>
      </c>
      <c r="B2740" t="s">
        <v>692</v>
      </c>
      <c r="E2740" t="s">
        <v>288</v>
      </c>
    </row>
    <row r="2741" spans="1:6" x14ac:dyDescent="0.25">
      <c r="A2741" t="s">
        <v>3776</v>
      </c>
      <c r="B2741" t="s">
        <v>695</v>
      </c>
      <c r="C2741" t="s">
        <v>702</v>
      </c>
      <c r="D2741" t="s">
        <v>2107</v>
      </c>
      <c r="E2741" t="s">
        <v>129</v>
      </c>
      <c r="F2741" t="s">
        <v>3777</v>
      </c>
    </row>
    <row r="2742" spans="1:5" x14ac:dyDescent="0.25">
      <c r="A2742" t="s">
        <v>3778</v>
      </c>
      <c r="B2742" t="s">
        <v>692</v>
      </c>
      <c r="E2742" t="s">
        <v>272</v>
      </c>
    </row>
    <row r="2743" spans="1:5" x14ac:dyDescent="0.25">
      <c r="A2743" t="s">
        <v>3779</v>
      </c>
      <c r="B2743" t="s">
        <v>692</v>
      </c>
      <c r="E2743" t="s">
        <v>360</v>
      </c>
    </row>
    <row r="2744" spans="1:6" x14ac:dyDescent="0.25">
      <c r="A2744" t="s">
        <v>3780</v>
      </c>
      <c r="B2744" t="s">
        <v>705</v>
      </c>
      <c r="C2744" t="s">
        <v>706</v>
      </c>
      <c r="D2744" t="s">
        <v>1043</v>
      </c>
      <c r="E2744" t="s">
        <v>981</v>
      </c>
      <c r="F2744" t="s">
        <v>2142</v>
      </c>
    </row>
    <row r="2745" spans="1:6" x14ac:dyDescent="0.25">
      <c r="A2745" t="s">
        <v>3781</v>
      </c>
      <c r="B2745" t="s">
        <v>692</v>
      </c>
      <c r="E2745" t="s">
        <v>327</v>
      </c>
      <c r="F2745" t="s">
        <v>91</v>
      </c>
    </row>
    <row r="2746" spans="1:6" x14ac:dyDescent="0.25">
      <c r="A2746" t="s">
        <v>3782</v>
      </c>
      <c r="B2746" t="s">
        <v>692</v>
      </c>
      <c r="E2746" t="s">
        <v>110</v>
      </c>
      <c r="F2746" t="s">
        <v>91</v>
      </c>
    </row>
    <row r="2747" spans="1:6" x14ac:dyDescent="0.25">
      <c r="A2747" t="s">
        <v>3783</v>
      </c>
      <c r="B2747" t="s">
        <v>692</v>
      </c>
      <c r="E2747" t="s">
        <v>110</v>
      </c>
      <c r="F2747" t="s">
        <v>91</v>
      </c>
    </row>
    <row r="2748" spans="1:5" x14ac:dyDescent="0.25">
      <c r="A2748" t="s">
        <v>3784</v>
      </c>
      <c r="B2748" t="s">
        <v>692</v>
      </c>
      <c r="E2748" t="s">
        <v>327</v>
      </c>
    </row>
    <row r="2749" spans="1:5" x14ac:dyDescent="0.25">
      <c r="A2749" t="s">
        <v>3785</v>
      </c>
      <c r="B2749" t="s">
        <v>692</v>
      </c>
      <c r="E2749" t="s">
        <v>1002</v>
      </c>
    </row>
    <row r="2750" spans="1:5" x14ac:dyDescent="0.25">
      <c r="A2750" t="s">
        <v>3786</v>
      </c>
      <c r="B2750" t="s">
        <v>692</v>
      </c>
      <c r="E2750" t="s">
        <v>1002</v>
      </c>
    </row>
    <row r="2751" spans="1:5" x14ac:dyDescent="0.25">
      <c r="A2751" t="s">
        <v>3787</v>
      </c>
      <c r="B2751" t="s">
        <v>692</v>
      </c>
      <c r="E2751" t="s">
        <v>1002</v>
      </c>
    </row>
    <row r="2752" spans="1:5" x14ac:dyDescent="0.25">
      <c r="A2752" t="s">
        <v>3788</v>
      </c>
      <c r="B2752" t="s">
        <v>692</v>
      </c>
      <c r="E2752" t="s">
        <v>135</v>
      </c>
    </row>
    <row r="2753" spans="1:6" x14ac:dyDescent="0.25">
      <c r="A2753" t="s">
        <v>3789</v>
      </c>
      <c r="B2753" t="s">
        <v>2148</v>
      </c>
      <c r="C2753" t="s">
        <v>702</v>
      </c>
      <c r="D2753" t="s">
        <v>909</v>
      </c>
      <c r="E2753" t="s">
        <v>370</v>
      </c>
      <c r="F2753" t="s">
        <v>3789</v>
      </c>
    </row>
    <row r="2754" spans="1:5" x14ac:dyDescent="0.25">
      <c r="A2754" t="s">
        <v>3789</v>
      </c>
      <c r="B2754" t="s">
        <v>692</v>
      </c>
      <c r="E2754" t="s">
        <v>370</v>
      </c>
    </row>
    <row r="2755" spans="1:5" x14ac:dyDescent="0.25">
      <c r="A2755" t="s">
        <v>3790</v>
      </c>
      <c r="B2755" t="s">
        <v>692</v>
      </c>
      <c r="E2755" t="s">
        <v>135</v>
      </c>
    </row>
    <row r="2756" spans="1:6" x14ac:dyDescent="0.25">
      <c r="A2756" t="s">
        <v>3791</v>
      </c>
      <c r="B2756" t="s">
        <v>692</v>
      </c>
      <c r="E2756" t="s">
        <v>90</v>
      </c>
      <c r="F2756" t="s">
        <v>91</v>
      </c>
    </row>
    <row r="2757" spans="1:6" x14ac:dyDescent="0.25">
      <c r="A2757" t="s">
        <v>3792</v>
      </c>
      <c r="B2757" t="s">
        <v>764</v>
      </c>
      <c r="C2757" t="s">
        <v>790</v>
      </c>
      <c r="D2757" t="s">
        <v>791</v>
      </c>
      <c r="E2757" t="s">
        <v>598</v>
      </c>
      <c r="F2757" t="s">
        <v>792</v>
      </c>
    </row>
    <row r="2758" spans="1:6" x14ac:dyDescent="0.25">
      <c r="A2758" t="s">
        <v>3792</v>
      </c>
      <c r="B2758" t="s">
        <v>701</v>
      </c>
      <c r="C2758" t="s">
        <v>790</v>
      </c>
      <c r="D2758" t="s">
        <v>791</v>
      </c>
      <c r="E2758" t="s">
        <v>598</v>
      </c>
      <c r="F2758" t="s">
        <v>793</v>
      </c>
    </row>
    <row r="2759" spans="1:6" x14ac:dyDescent="0.25">
      <c r="A2759" t="s">
        <v>3793</v>
      </c>
      <c r="B2759" t="s">
        <v>692</v>
      </c>
      <c r="E2759" t="s">
        <v>265</v>
      </c>
      <c r="F2759" t="s">
        <v>267</v>
      </c>
    </row>
    <row r="2760" spans="1:6" x14ac:dyDescent="0.25">
      <c r="A2760" t="s">
        <v>3794</v>
      </c>
      <c r="B2760" t="s">
        <v>695</v>
      </c>
      <c r="C2760" t="s">
        <v>696</v>
      </c>
      <c r="D2760" t="s">
        <v>697</v>
      </c>
      <c r="E2760" t="s">
        <v>1092</v>
      </c>
      <c r="F2760" t="s">
        <v>3795</v>
      </c>
    </row>
    <row r="2761" spans="1:6" x14ac:dyDescent="0.25">
      <c r="A2761" t="s">
        <v>3796</v>
      </c>
      <c r="B2761" t="s">
        <v>692</v>
      </c>
      <c r="E2761" t="s">
        <v>181</v>
      </c>
      <c r="F2761" t="s">
        <v>120</v>
      </c>
    </row>
    <row r="2762" spans="1:6" x14ac:dyDescent="0.25">
      <c r="A2762" t="s">
        <v>3797</v>
      </c>
      <c r="B2762" t="s">
        <v>695</v>
      </c>
      <c r="C2762" t="s">
        <v>1138</v>
      </c>
      <c r="D2762" t="s">
        <v>1139</v>
      </c>
      <c r="E2762" t="s">
        <v>181</v>
      </c>
      <c r="F2762" t="s">
        <v>3798</v>
      </c>
    </row>
    <row r="2763" spans="1:6" x14ac:dyDescent="0.25">
      <c r="A2763" t="s">
        <v>481</v>
      </c>
      <c r="B2763" t="s">
        <v>794</v>
      </c>
      <c r="C2763" t="s">
        <v>702</v>
      </c>
      <c r="D2763" t="s">
        <v>2606</v>
      </c>
      <c r="E2763" t="s">
        <v>110</v>
      </c>
      <c r="F2763" t="s">
        <v>110</v>
      </c>
    </row>
    <row r="2764" spans="1:6" x14ac:dyDescent="0.25">
      <c r="A2764" t="s">
        <v>3799</v>
      </c>
      <c r="B2764" t="s">
        <v>705</v>
      </c>
      <c r="C2764" t="s">
        <v>706</v>
      </c>
      <c r="D2764" t="s">
        <v>1918</v>
      </c>
      <c r="E2764" t="s">
        <v>816</v>
      </c>
      <c r="F2764" t="s">
        <v>3800</v>
      </c>
    </row>
    <row r="2765" spans="1:6" x14ac:dyDescent="0.25">
      <c r="A2765" t="s">
        <v>3801</v>
      </c>
      <c r="B2765" t="s">
        <v>705</v>
      </c>
      <c r="C2765" t="s">
        <v>706</v>
      </c>
      <c r="D2765" t="s">
        <v>2184</v>
      </c>
      <c r="E2765" t="s">
        <v>288</v>
      </c>
      <c r="F2765" t="s">
        <v>2370</v>
      </c>
    </row>
    <row r="2766" spans="1:6" x14ac:dyDescent="0.25">
      <c r="A2766" t="s">
        <v>3802</v>
      </c>
      <c r="B2766" t="s">
        <v>705</v>
      </c>
      <c r="C2766" t="s">
        <v>706</v>
      </c>
      <c r="D2766" t="s">
        <v>2184</v>
      </c>
      <c r="E2766" t="s">
        <v>288</v>
      </c>
      <c r="F2766" t="s">
        <v>2370</v>
      </c>
    </row>
    <row r="2767" spans="1:6" x14ac:dyDescent="0.25">
      <c r="A2767" t="s">
        <v>3803</v>
      </c>
      <c r="B2767" t="s">
        <v>705</v>
      </c>
      <c r="C2767" t="s">
        <v>706</v>
      </c>
      <c r="D2767" t="s">
        <v>2184</v>
      </c>
      <c r="E2767" t="s">
        <v>288</v>
      </c>
      <c r="F2767" t="s">
        <v>2370</v>
      </c>
    </row>
    <row r="2768" spans="1:5" x14ac:dyDescent="0.25">
      <c r="A2768" t="s">
        <v>3804</v>
      </c>
      <c r="B2768" t="s">
        <v>692</v>
      </c>
      <c r="E2768" t="s">
        <v>246</v>
      </c>
    </row>
    <row r="2769" spans="1:5" x14ac:dyDescent="0.25">
      <c r="A2769" t="s">
        <v>3805</v>
      </c>
      <c r="B2769" t="s">
        <v>692</v>
      </c>
      <c r="E2769" t="s">
        <v>246</v>
      </c>
    </row>
    <row r="2770" spans="1:6" x14ac:dyDescent="0.25">
      <c r="A2770" t="s">
        <v>3806</v>
      </c>
      <c r="B2770" t="s">
        <v>2148</v>
      </c>
      <c r="C2770" t="s">
        <v>746</v>
      </c>
      <c r="D2770" t="s">
        <v>2907</v>
      </c>
      <c r="E2770" t="s">
        <v>3807</v>
      </c>
      <c r="F2770" t="s">
        <v>3806</v>
      </c>
    </row>
    <row r="2771" spans="1:6" x14ac:dyDescent="0.25">
      <c r="A2771" t="s">
        <v>3808</v>
      </c>
      <c r="B2771" t="s">
        <v>2105</v>
      </c>
      <c r="C2771" t="s">
        <v>746</v>
      </c>
      <c r="D2771" t="s">
        <v>2907</v>
      </c>
      <c r="E2771" t="s">
        <v>3807</v>
      </c>
      <c r="F2771" t="s">
        <v>3809</v>
      </c>
    </row>
    <row r="2772" spans="1:6" x14ac:dyDescent="0.25">
      <c r="A2772" t="s">
        <v>3810</v>
      </c>
      <c r="B2772" t="s">
        <v>701</v>
      </c>
      <c r="C2772" t="s">
        <v>746</v>
      </c>
      <c r="D2772" t="s">
        <v>2907</v>
      </c>
      <c r="E2772" t="s">
        <v>3807</v>
      </c>
      <c r="F2772" t="s">
        <v>3810</v>
      </c>
    </row>
    <row r="2773" spans="1:6" x14ac:dyDescent="0.25">
      <c r="A2773" t="s">
        <v>3810</v>
      </c>
      <c r="B2773" t="s">
        <v>2105</v>
      </c>
      <c r="C2773" t="s">
        <v>746</v>
      </c>
      <c r="D2773" t="s">
        <v>2907</v>
      </c>
      <c r="E2773" t="s">
        <v>3807</v>
      </c>
      <c r="F2773" t="s">
        <v>3811</v>
      </c>
    </row>
    <row r="2774" spans="1:6" x14ac:dyDescent="0.25">
      <c r="A2774" t="s">
        <v>3812</v>
      </c>
      <c r="B2774" t="s">
        <v>701</v>
      </c>
      <c r="C2774" t="s">
        <v>746</v>
      </c>
      <c r="D2774" t="s">
        <v>2904</v>
      </c>
      <c r="E2774" t="s">
        <v>3813</v>
      </c>
      <c r="F2774" t="s">
        <v>3812</v>
      </c>
    </row>
    <row r="2775" spans="1:6" x14ac:dyDescent="0.25">
      <c r="A2775" t="s">
        <v>3812</v>
      </c>
      <c r="B2775" t="s">
        <v>2105</v>
      </c>
      <c r="C2775" t="s">
        <v>746</v>
      </c>
      <c r="D2775" t="s">
        <v>2904</v>
      </c>
      <c r="E2775" t="s">
        <v>3813</v>
      </c>
      <c r="F2775" t="s">
        <v>3814</v>
      </c>
    </row>
    <row r="2776" spans="1:6" x14ac:dyDescent="0.25">
      <c r="A2776" t="s">
        <v>3815</v>
      </c>
      <c r="B2776" t="s">
        <v>701</v>
      </c>
      <c r="C2776" t="s">
        <v>746</v>
      </c>
      <c r="D2776" t="s">
        <v>2904</v>
      </c>
      <c r="E2776" t="s">
        <v>3813</v>
      </c>
      <c r="F2776" t="s">
        <v>3815</v>
      </c>
    </row>
    <row r="2777" spans="1:6" x14ac:dyDescent="0.25">
      <c r="A2777" t="s">
        <v>3815</v>
      </c>
      <c r="B2777" t="s">
        <v>2105</v>
      </c>
      <c r="C2777" t="s">
        <v>746</v>
      </c>
      <c r="D2777" t="s">
        <v>2904</v>
      </c>
      <c r="E2777" t="s">
        <v>3813</v>
      </c>
      <c r="F2777" t="s">
        <v>3816</v>
      </c>
    </row>
    <row r="2778" spans="1:6" x14ac:dyDescent="0.25">
      <c r="A2778" t="s">
        <v>3817</v>
      </c>
      <c r="B2778" t="s">
        <v>2148</v>
      </c>
      <c r="C2778" t="s">
        <v>746</v>
      </c>
      <c r="D2778" t="s">
        <v>2904</v>
      </c>
      <c r="E2778" t="s">
        <v>3818</v>
      </c>
      <c r="F2778" t="s">
        <v>3819</v>
      </c>
    </row>
    <row r="2779" spans="1:6" x14ac:dyDescent="0.25">
      <c r="A2779" t="s">
        <v>3820</v>
      </c>
      <c r="B2779" t="s">
        <v>692</v>
      </c>
      <c r="E2779" t="s">
        <v>181</v>
      </c>
      <c r="F2779" t="s">
        <v>183</v>
      </c>
    </row>
    <row r="2780" spans="1:5" x14ac:dyDescent="0.25">
      <c r="A2780" t="s">
        <v>3821</v>
      </c>
      <c r="B2780" t="s">
        <v>692</v>
      </c>
      <c r="E2780" t="s">
        <v>181</v>
      </c>
    </row>
    <row r="2781" spans="1:6" x14ac:dyDescent="0.25">
      <c r="A2781" t="s">
        <v>3822</v>
      </c>
      <c r="B2781" t="s">
        <v>2148</v>
      </c>
      <c r="C2781" t="s">
        <v>706</v>
      </c>
      <c r="D2781" t="s">
        <v>2330</v>
      </c>
      <c r="E2781" t="s">
        <v>2331</v>
      </c>
      <c r="F2781" t="s">
        <v>3822</v>
      </c>
    </row>
    <row r="2782" spans="1:5" x14ac:dyDescent="0.25">
      <c r="A2782" t="s">
        <v>3823</v>
      </c>
      <c r="B2782" t="s">
        <v>692</v>
      </c>
      <c r="E2782" t="s">
        <v>110</v>
      </c>
    </row>
    <row r="2783" spans="1:6" x14ac:dyDescent="0.25">
      <c r="A2783" t="s">
        <v>3824</v>
      </c>
      <c r="B2783" t="s">
        <v>692</v>
      </c>
      <c r="E2783" t="s">
        <v>90</v>
      </c>
      <c r="F2783" t="s">
        <v>91</v>
      </c>
    </row>
    <row r="2784" spans="1:6" x14ac:dyDescent="0.25">
      <c r="A2784" t="s">
        <v>3825</v>
      </c>
      <c r="B2784" t="s">
        <v>695</v>
      </c>
      <c r="C2784" t="s">
        <v>706</v>
      </c>
      <c r="D2784" t="s">
        <v>845</v>
      </c>
      <c r="E2784" t="s">
        <v>272</v>
      </c>
      <c r="F2784" t="s">
        <v>3826</v>
      </c>
    </row>
    <row r="2785" spans="1:6" x14ac:dyDescent="0.25">
      <c r="A2785" t="s">
        <v>3827</v>
      </c>
      <c r="B2785" t="s">
        <v>695</v>
      </c>
      <c r="C2785" t="s">
        <v>706</v>
      </c>
      <c r="D2785" t="s">
        <v>845</v>
      </c>
      <c r="E2785" t="s">
        <v>272</v>
      </c>
      <c r="F2785" t="s">
        <v>3828</v>
      </c>
    </row>
    <row r="2786" spans="1:6" x14ac:dyDescent="0.25">
      <c r="A2786" t="s">
        <v>3827</v>
      </c>
      <c r="B2786" t="s">
        <v>794</v>
      </c>
      <c r="C2786" t="s">
        <v>706</v>
      </c>
      <c r="D2786" t="s">
        <v>845</v>
      </c>
      <c r="E2786" t="s">
        <v>272</v>
      </c>
      <c r="F2786" t="s">
        <v>272</v>
      </c>
    </row>
    <row r="2787" spans="1:6" x14ac:dyDescent="0.25">
      <c r="A2787" t="s">
        <v>3827</v>
      </c>
      <c r="B2787" t="s">
        <v>705</v>
      </c>
      <c r="C2787" t="s">
        <v>706</v>
      </c>
      <c r="D2787" t="s">
        <v>845</v>
      </c>
      <c r="E2787" t="s">
        <v>272</v>
      </c>
      <c r="F2787" t="s">
        <v>381</v>
      </c>
    </row>
    <row r="2788" spans="1:5" x14ac:dyDescent="0.25">
      <c r="A2788" t="s">
        <v>3829</v>
      </c>
      <c r="B2788" t="s">
        <v>692</v>
      </c>
      <c r="E2788" t="s">
        <v>3830</v>
      </c>
    </row>
    <row r="2789" spans="1:6" x14ac:dyDescent="0.25">
      <c r="A2789" t="s">
        <v>3831</v>
      </c>
      <c r="B2789" t="s">
        <v>764</v>
      </c>
      <c r="C2789" t="s">
        <v>758</v>
      </c>
      <c r="D2789" t="s">
        <v>765</v>
      </c>
      <c r="E2789" t="s">
        <v>337</v>
      </c>
      <c r="F2789" t="s">
        <v>337</v>
      </c>
    </row>
    <row r="2790" spans="1:6" x14ac:dyDescent="0.25">
      <c r="A2790" t="s">
        <v>3832</v>
      </c>
      <c r="B2790" t="s">
        <v>764</v>
      </c>
      <c r="C2790" t="s">
        <v>758</v>
      </c>
      <c r="D2790" t="s">
        <v>765</v>
      </c>
      <c r="E2790" t="s">
        <v>337</v>
      </c>
      <c r="F2790" t="s">
        <v>337</v>
      </c>
    </row>
    <row r="2791" spans="1:5" x14ac:dyDescent="0.25">
      <c r="A2791" t="s">
        <v>3833</v>
      </c>
      <c r="B2791" t="s">
        <v>692</v>
      </c>
      <c r="E2791" t="s">
        <v>1002</v>
      </c>
    </row>
    <row r="2792" spans="1:5" x14ac:dyDescent="0.25">
      <c r="A2792" t="s">
        <v>3834</v>
      </c>
      <c r="B2792" t="s">
        <v>692</v>
      </c>
      <c r="E2792" t="s">
        <v>867</v>
      </c>
    </row>
    <row r="2793" spans="1:6" x14ac:dyDescent="0.25">
      <c r="A2793" t="s">
        <v>3835</v>
      </c>
      <c r="B2793" t="s">
        <v>2105</v>
      </c>
      <c r="C2793" t="s">
        <v>746</v>
      </c>
      <c r="D2793" t="s">
        <v>2907</v>
      </c>
      <c r="E2793" t="s">
        <v>3083</v>
      </c>
      <c r="F2793" t="s">
        <v>3835</v>
      </c>
    </row>
    <row r="2794" spans="1:5" x14ac:dyDescent="0.25">
      <c r="A2794" t="s">
        <v>3836</v>
      </c>
      <c r="B2794" t="s">
        <v>692</v>
      </c>
      <c r="E2794" t="s">
        <v>110</v>
      </c>
    </row>
    <row r="2795" spans="1:5" x14ac:dyDescent="0.25">
      <c r="A2795" t="s">
        <v>3837</v>
      </c>
      <c r="B2795" t="s">
        <v>692</v>
      </c>
      <c r="E2795" t="s">
        <v>693</v>
      </c>
    </row>
    <row r="2796" spans="1:6" x14ac:dyDescent="0.25">
      <c r="A2796" t="s">
        <v>3838</v>
      </c>
      <c r="B2796" t="s">
        <v>695</v>
      </c>
      <c r="C2796" t="s">
        <v>696</v>
      </c>
      <c r="D2796" t="s">
        <v>697</v>
      </c>
      <c r="E2796" t="s">
        <v>698</v>
      </c>
      <c r="F2796" t="s">
        <v>3839</v>
      </c>
    </row>
    <row r="2797" spans="1:6" x14ac:dyDescent="0.25">
      <c r="A2797" t="s">
        <v>3840</v>
      </c>
      <c r="B2797" t="s">
        <v>695</v>
      </c>
      <c r="C2797" t="s">
        <v>706</v>
      </c>
      <c r="D2797" t="s">
        <v>845</v>
      </c>
      <c r="E2797" t="s">
        <v>272</v>
      </c>
      <c r="F2797" t="s">
        <v>3841</v>
      </c>
    </row>
    <row r="2798" spans="1:6" x14ac:dyDescent="0.25">
      <c r="A2798" t="s">
        <v>3840</v>
      </c>
      <c r="B2798" t="s">
        <v>705</v>
      </c>
      <c r="C2798" t="s">
        <v>706</v>
      </c>
      <c r="D2798" t="s">
        <v>845</v>
      </c>
      <c r="E2798" t="s">
        <v>272</v>
      </c>
      <c r="F2798" t="s">
        <v>381</v>
      </c>
    </row>
    <row r="2799" spans="1:6" x14ac:dyDescent="0.25">
      <c r="A2799" t="s">
        <v>3842</v>
      </c>
      <c r="B2799" t="s">
        <v>695</v>
      </c>
      <c r="C2799" t="s">
        <v>696</v>
      </c>
      <c r="D2799" t="s">
        <v>697</v>
      </c>
      <c r="E2799" t="s">
        <v>1092</v>
      </c>
      <c r="F2799" t="s">
        <v>3843</v>
      </c>
    </row>
    <row r="2800" spans="1:5" x14ac:dyDescent="0.25">
      <c r="A2800" t="s">
        <v>3844</v>
      </c>
      <c r="B2800" t="s">
        <v>692</v>
      </c>
      <c r="E2800" t="s">
        <v>313</v>
      </c>
    </row>
    <row r="2801" spans="1:6" x14ac:dyDescent="0.25">
      <c r="A2801" t="s">
        <v>3845</v>
      </c>
      <c r="B2801" t="s">
        <v>705</v>
      </c>
      <c r="C2801" t="s">
        <v>706</v>
      </c>
      <c r="D2801" t="s">
        <v>2184</v>
      </c>
      <c r="E2801" t="s">
        <v>288</v>
      </c>
      <c r="F2801" t="s">
        <v>2370</v>
      </c>
    </row>
    <row r="2802" spans="1:5" x14ac:dyDescent="0.25">
      <c r="A2802" t="s">
        <v>3846</v>
      </c>
      <c r="B2802" t="s">
        <v>692</v>
      </c>
      <c r="E2802" t="s">
        <v>254</v>
      </c>
    </row>
    <row r="2803" spans="1:6" x14ac:dyDescent="0.25">
      <c r="A2803" t="s">
        <v>3847</v>
      </c>
      <c r="B2803" t="s">
        <v>695</v>
      </c>
      <c r="C2803" t="s">
        <v>702</v>
      </c>
      <c r="D2803" t="s">
        <v>786</v>
      </c>
      <c r="E2803" t="s">
        <v>824</v>
      </c>
      <c r="F2803" t="s">
        <v>3848</v>
      </c>
    </row>
    <row r="2804" spans="1:5" x14ac:dyDescent="0.25">
      <c r="A2804" t="s">
        <v>3849</v>
      </c>
      <c r="B2804" t="s">
        <v>692</v>
      </c>
      <c r="E2804" t="s">
        <v>394</v>
      </c>
    </row>
    <row r="2805" spans="1:6" x14ac:dyDescent="0.25">
      <c r="A2805" t="s">
        <v>3850</v>
      </c>
      <c r="B2805" t="s">
        <v>764</v>
      </c>
      <c r="C2805" t="s">
        <v>758</v>
      </c>
      <c r="D2805" t="s">
        <v>979</v>
      </c>
      <c r="E2805" t="s">
        <v>85</v>
      </c>
      <c r="F2805" t="s">
        <v>124</v>
      </c>
    </row>
    <row r="2806" spans="1:6" x14ac:dyDescent="0.25">
      <c r="A2806" t="s">
        <v>3851</v>
      </c>
      <c r="B2806" t="s">
        <v>692</v>
      </c>
      <c r="E2806" t="s">
        <v>322</v>
      </c>
      <c r="F2806" t="s">
        <v>2560</v>
      </c>
    </row>
    <row r="2807" spans="1:5" x14ac:dyDescent="0.25">
      <c r="A2807" t="s">
        <v>3852</v>
      </c>
      <c r="B2807" t="s">
        <v>692</v>
      </c>
      <c r="E2807" t="s">
        <v>322</v>
      </c>
    </row>
    <row r="2808" spans="1:6" x14ac:dyDescent="0.25">
      <c r="A2808" t="s">
        <v>3853</v>
      </c>
      <c r="B2808" t="s">
        <v>695</v>
      </c>
      <c r="C2808" t="s">
        <v>706</v>
      </c>
      <c r="D2808" t="s">
        <v>845</v>
      </c>
      <c r="E2808" t="s">
        <v>2953</v>
      </c>
      <c r="F2808" t="s">
        <v>3854</v>
      </c>
    </row>
    <row r="2809" spans="1:6" x14ac:dyDescent="0.25">
      <c r="A2809" t="s">
        <v>3853</v>
      </c>
      <c r="B2809" t="s">
        <v>705</v>
      </c>
      <c r="C2809" t="s">
        <v>706</v>
      </c>
      <c r="D2809" t="s">
        <v>845</v>
      </c>
      <c r="E2809" t="s">
        <v>2953</v>
      </c>
      <c r="F2809" t="s">
        <v>2954</v>
      </c>
    </row>
    <row r="2810" spans="1:6" x14ac:dyDescent="0.25">
      <c r="A2810" t="s">
        <v>3855</v>
      </c>
      <c r="B2810" t="s">
        <v>695</v>
      </c>
      <c r="C2810" t="s">
        <v>706</v>
      </c>
      <c r="D2810" t="s">
        <v>845</v>
      </c>
      <c r="E2810" t="s">
        <v>272</v>
      </c>
      <c r="F2810" t="s">
        <v>3856</v>
      </c>
    </row>
    <row r="2811" spans="1:6" x14ac:dyDescent="0.25">
      <c r="A2811" t="s">
        <v>3855</v>
      </c>
      <c r="B2811" t="s">
        <v>705</v>
      </c>
      <c r="C2811" t="s">
        <v>706</v>
      </c>
      <c r="D2811" t="s">
        <v>845</v>
      </c>
      <c r="E2811" t="s">
        <v>272</v>
      </c>
      <c r="F2811" t="s">
        <v>381</v>
      </c>
    </row>
    <row r="2812" spans="1:6" x14ac:dyDescent="0.25">
      <c r="A2812" t="s">
        <v>3857</v>
      </c>
      <c r="B2812" t="s">
        <v>695</v>
      </c>
      <c r="C2812" t="s">
        <v>706</v>
      </c>
      <c r="D2812" t="s">
        <v>845</v>
      </c>
      <c r="E2812" t="s">
        <v>272</v>
      </c>
      <c r="F2812" t="s">
        <v>3858</v>
      </c>
    </row>
    <row r="2813" spans="1:6" x14ac:dyDescent="0.25">
      <c r="A2813" t="s">
        <v>3857</v>
      </c>
      <c r="B2813" t="s">
        <v>705</v>
      </c>
      <c r="C2813" t="s">
        <v>706</v>
      </c>
      <c r="D2813" t="s">
        <v>845</v>
      </c>
      <c r="E2813" t="s">
        <v>272</v>
      </c>
      <c r="F2813" t="s">
        <v>381</v>
      </c>
    </row>
    <row r="2814" spans="1:6" x14ac:dyDescent="0.25">
      <c r="A2814" t="s">
        <v>3859</v>
      </c>
      <c r="B2814" t="s">
        <v>695</v>
      </c>
      <c r="C2814" t="s">
        <v>702</v>
      </c>
      <c r="D2814" t="s">
        <v>2107</v>
      </c>
      <c r="E2814" t="s">
        <v>2108</v>
      </c>
      <c r="F2814" t="s">
        <v>3860</v>
      </c>
    </row>
    <row r="2815" spans="1:6" x14ac:dyDescent="0.25">
      <c r="A2815" t="s">
        <v>3861</v>
      </c>
      <c r="B2815" t="s">
        <v>692</v>
      </c>
      <c r="E2815" t="s">
        <v>90</v>
      </c>
      <c r="F2815" t="s">
        <v>91</v>
      </c>
    </row>
    <row r="2816" spans="1:5" x14ac:dyDescent="0.25">
      <c r="A2816" t="s">
        <v>3862</v>
      </c>
      <c r="B2816" t="s">
        <v>692</v>
      </c>
      <c r="E2816" t="s">
        <v>90</v>
      </c>
    </row>
    <row r="2817" spans="1:6" x14ac:dyDescent="0.25">
      <c r="A2817" t="s">
        <v>3863</v>
      </c>
      <c r="B2817" t="s">
        <v>695</v>
      </c>
      <c r="C2817" t="s">
        <v>702</v>
      </c>
      <c r="D2817" t="s">
        <v>2606</v>
      </c>
      <c r="E2817" t="s">
        <v>3864</v>
      </c>
      <c r="F2817" t="s">
        <v>3865</v>
      </c>
    </row>
    <row r="2818" spans="1:5" x14ac:dyDescent="0.25">
      <c r="A2818" t="s">
        <v>3866</v>
      </c>
      <c r="B2818" t="s">
        <v>692</v>
      </c>
      <c r="E2818" t="s">
        <v>322</v>
      </c>
    </row>
    <row r="2819" spans="1:5" x14ac:dyDescent="0.25">
      <c r="A2819" t="s">
        <v>3867</v>
      </c>
      <c r="B2819" t="s">
        <v>692</v>
      </c>
      <c r="E2819" t="s">
        <v>322</v>
      </c>
    </row>
    <row r="2820" spans="1:5" x14ac:dyDescent="0.25">
      <c r="A2820" t="s">
        <v>3868</v>
      </c>
      <c r="B2820" t="s">
        <v>692</v>
      </c>
      <c r="E2820" t="s">
        <v>2175</v>
      </c>
    </row>
    <row r="2821" spans="1:5" x14ac:dyDescent="0.25">
      <c r="A2821" t="s">
        <v>3869</v>
      </c>
      <c r="B2821" t="s">
        <v>692</v>
      </c>
      <c r="E2821" t="s">
        <v>867</v>
      </c>
    </row>
    <row r="2822" spans="1:5" x14ac:dyDescent="0.25">
      <c r="A2822" t="s">
        <v>3870</v>
      </c>
      <c r="B2822" t="s">
        <v>692</v>
      </c>
      <c r="E2822" t="s">
        <v>867</v>
      </c>
    </row>
    <row r="2823" spans="1:5" x14ac:dyDescent="0.25">
      <c r="A2823" t="s">
        <v>3871</v>
      </c>
      <c r="B2823" t="s">
        <v>692</v>
      </c>
      <c r="E2823" t="s">
        <v>110</v>
      </c>
    </row>
    <row r="2824" spans="1:5" x14ac:dyDescent="0.25">
      <c r="A2824" t="s">
        <v>3872</v>
      </c>
      <c r="B2824" t="s">
        <v>692</v>
      </c>
      <c r="E2824" t="s">
        <v>110</v>
      </c>
    </row>
    <row r="2825" spans="1:6" x14ac:dyDescent="0.25">
      <c r="A2825" t="s">
        <v>3873</v>
      </c>
      <c r="B2825" t="s">
        <v>695</v>
      </c>
      <c r="C2825" t="s">
        <v>702</v>
      </c>
      <c r="D2825" t="s">
        <v>2107</v>
      </c>
      <c r="E2825" t="s">
        <v>3409</v>
      </c>
      <c r="F2825" t="s">
        <v>3874</v>
      </c>
    </row>
    <row r="2826" spans="1:6" x14ac:dyDescent="0.25">
      <c r="A2826" t="s">
        <v>3875</v>
      </c>
      <c r="B2826" t="s">
        <v>692</v>
      </c>
      <c r="E2826" t="s">
        <v>606</v>
      </c>
      <c r="F2826" t="s">
        <v>120</v>
      </c>
    </row>
    <row r="2827" spans="1:6" x14ac:dyDescent="0.25">
      <c r="A2827" t="s">
        <v>3876</v>
      </c>
      <c r="B2827" t="s">
        <v>794</v>
      </c>
      <c r="C2827" t="s">
        <v>706</v>
      </c>
      <c r="D2827" t="s">
        <v>1123</v>
      </c>
      <c r="E2827" t="s">
        <v>814</v>
      </c>
      <c r="F2827" t="s">
        <v>814</v>
      </c>
    </row>
    <row r="2828" spans="1:6" x14ac:dyDescent="0.25">
      <c r="A2828" t="s">
        <v>3877</v>
      </c>
      <c r="B2828" t="s">
        <v>705</v>
      </c>
      <c r="C2828" t="s">
        <v>706</v>
      </c>
      <c r="D2828" t="s">
        <v>1918</v>
      </c>
      <c r="E2828" t="s">
        <v>606</v>
      </c>
      <c r="F2828" t="s">
        <v>2422</v>
      </c>
    </row>
    <row r="2829" spans="1:5" x14ac:dyDescent="0.25">
      <c r="A2829" t="s">
        <v>3878</v>
      </c>
      <c r="B2829" t="s">
        <v>692</v>
      </c>
      <c r="E2829" t="s">
        <v>2234</v>
      </c>
    </row>
    <row r="2830" spans="1:6" x14ac:dyDescent="0.25">
      <c r="A2830" t="s">
        <v>3879</v>
      </c>
      <c r="B2830" t="s">
        <v>705</v>
      </c>
      <c r="C2830" t="s">
        <v>706</v>
      </c>
      <c r="D2830" t="s">
        <v>2184</v>
      </c>
      <c r="E2830" t="s">
        <v>2555</v>
      </c>
      <c r="F2830" t="s">
        <v>2556</v>
      </c>
    </row>
    <row r="2831" spans="1:6" x14ac:dyDescent="0.25">
      <c r="A2831" t="s">
        <v>3880</v>
      </c>
      <c r="B2831" t="s">
        <v>705</v>
      </c>
      <c r="C2831" t="s">
        <v>706</v>
      </c>
      <c r="D2831" t="s">
        <v>2184</v>
      </c>
      <c r="E2831" t="s">
        <v>2555</v>
      </c>
      <c r="F2831" t="s">
        <v>2556</v>
      </c>
    </row>
    <row r="2832" spans="1:6" x14ac:dyDescent="0.25">
      <c r="A2832" t="s">
        <v>3881</v>
      </c>
      <c r="B2832" t="s">
        <v>794</v>
      </c>
      <c r="C2832" t="s">
        <v>706</v>
      </c>
      <c r="D2832" t="s">
        <v>2184</v>
      </c>
      <c r="E2832" t="s">
        <v>288</v>
      </c>
      <c r="F2832" t="s">
        <v>2553</v>
      </c>
    </row>
    <row r="2833" spans="1:6" x14ac:dyDescent="0.25">
      <c r="A2833" t="s">
        <v>3882</v>
      </c>
      <c r="B2833" t="s">
        <v>794</v>
      </c>
      <c r="C2833" t="s">
        <v>706</v>
      </c>
      <c r="D2833" t="s">
        <v>2184</v>
      </c>
      <c r="E2833" t="s">
        <v>288</v>
      </c>
      <c r="F2833" t="s">
        <v>2553</v>
      </c>
    </row>
    <row r="2834" spans="1:6" x14ac:dyDescent="0.25">
      <c r="A2834" t="s">
        <v>3883</v>
      </c>
      <c r="B2834" t="s">
        <v>705</v>
      </c>
      <c r="C2834" t="s">
        <v>706</v>
      </c>
      <c r="D2834" t="s">
        <v>2184</v>
      </c>
      <c r="E2834" t="s">
        <v>288</v>
      </c>
      <c r="F2834" t="s">
        <v>2370</v>
      </c>
    </row>
    <row r="2835" spans="1:5" x14ac:dyDescent="0.25">
      <c r="A2835" t="s">
        <v>3884</v>
      </c>
      <c r="B2835" t="s">
        <v>692</v>
      </c>
      <c r="E2835" t="s">
        <v>288</v>
      </c>
    </row>
    <row r="2836" spans="1:6" x14ac:dyDescent="0.25">
      <c r="A2836" t="s">
        <v>3885</v>
      </c>
      <c r="B2836" t="s">
        <v>794</v>
      </c>
      <c r="C2836" t="s">
        <v>706</v>
      </c>
      <c r="D2836" t="s">
        <v>2184</v>
      </c>
      <c r="E2836" t="s">
        <v>288</v>
      </c>
      <c r="F2836" t="s">
        <v>2553</v>
      </c>
    </row>
    <row r="2837" spans="1:5" x14ac:dyDescent="0.25">
      <c r="A2837" t="s">
        <v>3885</v>
      </c>
      <c r="B2837" t="s">
        <v>692</v>
      </c>
      <c r="E2837" t="s">
        <v>288</v>
      </c>
    </row>
    <row r="2838" spans="1:6" x14ac:dyDescent="0.25">
      <c r="A2838" t="s">
        <v>3886</v>
      </c>
      <c r="B2838" t="s">
        <v>695</v>
      </c>
      <c r="C2838" t="s">
        <v>706</v>
      </c>
      <c r="D2838" t="s">
        <v>2184</v>
      </c>
      <c r="E2838" t="s">
        <v>288</v>
      </c>
      <c r="F2838" t="s">
        <v>3887</v>
      </c>
    </row>
    <row r="2839" spans="1:6" x14ac:dyDescent="0.25">
      <c r="A2839" t="s">
        <v>3888</v>
      </c>
      <c r="B2839" t="s">
        <v>695</v>
      </c>
      <c r="C2839" t="s">
        <v>706</v>
      </c>
      <c r="D2839" t="s">
        <v>2184</v>
      </c>
      <c r="E2839" t="s">
        <v>288</v>
      </c>
      <c r="F2839" t="s">
        <v>3889</v>
      </c>
    </row>
    <row r="2840" spans="1:5" x14ac:dyDescent="0.25">
      <c r="A2840" t="s">
        <v>3890</v>
      </c>
      <c r="B2840" t="s">
        <v>692</v>
      </c>
      <c r="E2840" t="s">
        <v>2311</v>
      </c>
    </row>
    <row r="2841" spans="1:6" x14ac:dyDescent="0.25">
      <c r="A2841" t="s">
        <v>3891</v>
      </c>
      <c r="B2841" t="s">
        <v>695</v>
      </c>
      <c r="C2841" t="s">
        <v>706</v>
      </c>
      <c r="D2841" t="s">
        <v>753</v>
      </c>
      <c r="E2841" t="s">
        <v>2311</v>
      </c>
      <c r="F2841" t="s">
        <v>3892</v>
      </c>
    </row>
    <row r="2842" spans="1:5" x14ac:dyDescent="0.25">
      <c r="A2842" t="s">
        <v>3891</v>
      </c>
      <c r="B2842" t="s">
        <v>692</v>
      </c>
      <c r="E2842" t="s">
        <v>2311</v>
      </c>
    </row>
    <row r="2843" spans="1:6" x14ac:dyDescent="0.25">
      <c r="A2843" t="s">
        <v>3893</v>
      </c>
      <c r="B2843" t="s">
        <v>695</v>
      </c>
      <c r="C2843" t="s">
        <v>706</v>
      </c>
      <c r="D2843" t="s">
        <v>753</v>
      </c>
      <c r="E2843" t="s">
        <v>2311</v>
      </c>
      <c r="F2843" t="s">
        <v>3894</v>
      </c>
    </row>
    <row r="2844" spans="1:5" x14ac:dyDescent="0.25">
      <c r="A2844" t="s">
        <v>3893</v>
      </c>
      <c r="B2844" t="s">
        <v>692</v>
      </c>
      <c r="E2844" t="s">
        <v>2311</v>
      </c>
    </row>
    <row r="2845" spans="1:6" x14ac:dyDescent="0.25">
      <c r="A2845" t="s">
        <v>3895</v>
      </c>
      <c r="B2845" t="s">
        <v>695</v>
      </c>
      <c r="C2845" t="s">
        <v>706</v>
      </c>
      <c r="D2845" t="s">
        <v>753</v>
      </c>
      <c r="E2845" t="s">
        <v>2311</v>
      </c>
      <c r="F2845" t="s">
        <v>3896</v>
      </c>
    </row>
    <row r="2846" spans="1:6" x14ac:dyDescent="0.25">
      <c r="A2846" t="s">
        <v>3895</v>
      </c>
      <c r="B2846" t="s">
        <v>705</v>
      </c>
      <c r="C2846" t="s">
        <v>706</v>
      </c>
      <c r="D2846" t="s">
        <v>753</v>
      </c>
      <c r="E2846" t="s">
        <v>2311</v>
      </c>
      <c r="F2846" t="s">
        <v>2312</v>
      </c>
    </row>
    <row r="2847" spans="1:5" x14ac:dyDescent="0.25">
      <c r="A2847" t="s">
        <v>3895</v>
      </c>
      <c r="B2847" t="s">
        <v>692</v>
      </c>
      <c r="E2847" t="s">
        <v>2311</v>
      </c>
    </row>
    <row r="2848" spans="1:6" x14ac:dyDescent="0.25">
      <c r="A2848" t="s">
        <v>3897</v>
      </c>
      <c r="B2848" t="s">
        <v>695</v>
      </c>
      <c r="C2848" t="s">
        <v>706</v>
      </c>
      <c r="D2848" t="s">
        <v>753</v>
      </c>
      <c r="E2848" t="s">
        <v>2311</v>
      </c>
      <c r="F2848" t="s">
        <v>3898</v>
      </c>
    </row>
    <row r="2849" spans="1:6" x14ac:dyDescent="0.25">
      <c r="A2849" t="s">
        <v>3897</v>
      </c>
      <c r="B2849" t="s">
        <v>705</v>
      </c>
      <c r="C2849" t="s">
        <v>706</v>
      </c>
      <c r="D2849" t="s">
        <v>753</v>
      </c>
      <c r="E2849" t="s">
        <v>2311</v>
      </c>
      <c r="F2849" t="s">
        <v>2312</v>
      </c>
    </row>
    <row r="2850" spans="1:5" x14ac:dyDescent="0.25">
      <c r="A2850" t="s">
        <v>3899</v>
      </c>
      <c r="B2850" t="s">
        <v>692</v>
      </c>
      <c r="E2850" t="s">
        <v>2311</v>
      </c>
    </row>
    <row r="2851" spans="1:6" x14ac:dyDescent="0.25">
      <c r="A2851" t="s">
        <v>3900</v>
      </c>
      <c r="B2851" t="s">
        <v>695</v>
      </c>
      <c r="C2851" t="s">
        <v>706</v>
      </c>
      <c r="D2851" t="s">
        <v>753</v>
      </c>
      <c r="E2851" t="s">
        <v>2311</v>
      </c>
      <c r="F2851" t="s">
        <v>3901</v>
      </c>
    </row>
    <row r="2852" spans="1:5" x14ac:dyDescent="0.25">
      <c r="A2852" t="s">
        <v>3900</v>
      </c>
      <c r="B2852" t="s">
        <v>692</v>
      </c>
      <c r="E2852" t="s">
        <v>2311</v>
      </c>
    </row>
    <row r="2853" spans="1:6" x14ac:dyDescent="0.25">
      <c r="A2853" t="s">
        <v>3902</v>
      </c>
      <c r="B2853" t="s">
        <v>695</v>
      </c>
      <c r="C2853" t="s">
        <v>706</v>
      </c>
      <c r="D2853" t="s">
        <v>753</v>
      </c>
      <c r="E2853" t="s">
        <v>2311</v>
      </c>
      <c r="F2853" t="s">
        <v>3903</v>
      </c>
    </row>
    <row r="2854" spans="1:5" x14ac:dyDescent="0.25">
      <c r="A2854" t="s">
        <v>3902</v>
      </c>
      <c r="B2854" t="s">
        <v>692</v>
      </c>
      <c r="E2854" t="s">
        <v>2311</v>
      </c>
    </row>
    <row r="2855" spans="1:6" x14ac:dyDescent="0.25">
      <c r="A2855" t="s">
        <v>3904</v>
      </c>
      <c r="B2855" t="s">
        <v>695</v>
      </c>
      <c r="C2855" t="s">
        <v>706</v>
      </c>
      <c r="D2855" t="s">
        <v>753</v>
      </c>
      <c r="E2855" t="s">
        <v>2311</v>
      </c>
      <c r="F2855" t="s">
        <v>3905</v>
      </c>
    </row>
    <row r="2856" spans="1:5" x14ac:dyDescent="0.25">
      <c r="A2856" t="s">
        <v>3904</v>
      </c>
      <c r="B2856" t="s">
        <v>692</v>
      </c>
      <c r="E2856" t="s">
        <v>2311</v>
      </c>
    </row>
    <row r="2857" spans="1:5" x14ac:dyDescent="0.25">
      <c r="A2857" t="s">
        <v>3906</v>
      </c>
      <c r="B2857" t="s">
        <v>692</v>
      </c>
      <c r="E2857" t="s">
        <v>3907</v>
      </c>
    </row>
    <row r="2858" spans="1:5" x14ac:dyDescent="0.25">
      <c r="A2858" t="s">
        <v>3908</v>
      </c>
      <c r="B2858" t="s">
        <v>692</v>
      </c>
      <c r="E2858" t="s">
        <v>2234</v>
      </c>
    </row>
    <row r="2859" spans="1:5" x14ac:dyDescent="0.25">
      <c r="A2859" t="s">
        <v>3909</v>
      </c>
      <c r="B2859" t="s">
        <v>692</v>
      </c>
      <c r="E2859" t="s">
        <v>181</v>
      </c>
    </row>
    <row r="2860" spans="1:5" x14ac:dyDescent="0.25">
      <c r="A2860" t="s">
        <v>3910</v>
      </c>
      <c r="B2860" t="s">
        <v>692</v>
      </c>
      <c r="E2860" t="s">
        <v>181</v>
      </c>
    </row>
    <row r="2861" spans="1:6" x14ac:dyDescent="0.25">
      <c r="A2861" t="s">
        <v>226</v>
      </c>
      <c r="B2861" t="s">
        <v>695</v>
      </c>
      <c r="C2861" t="s">
        <v>1138</v>
      </c>
      <c r="D2861" t="s">
        <v>1139</v>
      </c>
      <c r="E2861" t="s">
        <v>181</v>
      </c>
      <c r="F2861" t="s">
        <v>3911</v>
      </c>
    </row>
    <row r="2862" spans="1:6" x14ac:dyDescent="0.25">
      <c r="A2862" t="s">
        <v>3912</v>
      </c>
      <c r="B2862" t="s">
        <v>692</v>
      </c>
      <c r="E2862" t="s">
        <v>327</v>
      </c>
      <c r="F2862" t="s">
        <v>780</v>
      </c>
    </row>
    <row r="2863" spans="1:6" x14ac:dyDescent="0.25">
      <c r="A2863" t="s">
        <v>3913</v>
      </c>
      <c r="B2863" t="s">
        <v>695</v>
      </c>
      <c r="C2863" t="s">
        <v>1138</v>
      </c>
      <c r="D2863" t="s">
        <v>1139</v>
      </c>
      <c r="E2863" t="s">
        <v>1002</v>
      </c>
      <c r="F2863" t="s">
        <v>3913</v>
      </c>
    </row>
    <row r="2864" spans="1:6" x14ac:dyDescent="0.25">
      <c r="A2864" t="s">
        <v>3914</v>
      </c>
      <c r="B2864" t="s">
        <v>695</v>
      </c>
      <c r="C2864" t="s">
        <v>702</v>
      </c>
      <c r="D2864" t="s">
        <v>2107</v>
      </c>
      <c r="E2864" t="s">
        <v>2108</v>
      </c>
      <c r="F2864" t="s">
        <v>3915</v>
      </c>
    </row>
    <row r="2865" spans="1:6" x14ac:dyDescent="0.25">
      <c r="A2865" t="s">
        <v>3916</v>
      </c>
      <c r="B2865" t="s">
        <v>695</v>
      </c>
      <c r="C2865" t="s">
        <v>702</v>
      </c>
      <c r="D2865" t="s">
        <v>2107</v>
      </c>
      <c r="E2865" t="s">
        <v>2108</v>
      </c>
      <c r="F2865" t="s">
        <v>3917</v>
      </c>
    </row>
    <row r="2866" spans="1:6" x14ac:dyDescent="0.25">
      <c r="A2866" t="s">
        <v>3918</v>
      </c>
      <c r="B2866" t="s">
        <v>695</v>
      </c>
      <c r="C2866" t="s">
        <v>702</v>
      </c>
      <c r="D2866" t="s">
        <v>2107</v>
      </c>
      <c r="E2866" t="s">
        <v>2108</v>
      </c>
      <c r="F2866" t="s">
        <v>3919</v>
      </c>
    </row>
    <row r="2867" spans="1:6" x14ac:dyDescent="0.25">
      <c r="A2867" t="s">
        <v>3920</v>
      </c>
      <c r="B2867" t="s">
        <v>695</v>
      </c>
      <c r="C2867" t="s">
        <v>702</v>
      </c>
      <c r="D2867" t="s">
        <v>2107</v>
      </c>
      <c r="E2867" t="s">
        <v>2108</v>
      </c>
      <c r="F2867" t="s">
        <v>3921</v>
      </c>
    </row>
    <row r="2868" spans="1:6" x14ac:dyDescent="0.25">
      <c r="A2868" t="s">
        <v>3922</v>
      </c>
      <c r="B2868" t="s">
        <v>695</v>
      </c>
      <c r="C2868" t="s">
        <v>702</v>
      </c>
      <c r="D2868" t="s">
        <v>2107</v>
      </c>
      <c r="E2868" t="s">
        <v>2108</v>
      </c>
      <c r="F2868" t="s">
        <v>3923</v>
      </c>
    </row>
    <row r="2869" spans="1:6" x14ac:dyDescent="0.25">
      <c r="A2869" t="s">
        <v>3924</v>
      </c>
      <c r="B2869" t="s">
        <v>695</v>
      </c>
      <c r="C2869" t="s">
        <v>702</v>
      </c>
      <c r="D2869" t="s">
        <v>2107</v>
      </c>
      <c r="E2869" t="s">
        <v>2108</v>
      </c>
      <c r="F2869" t="s">
        <v>3925</v>
      </c>
    </row>
    <row r="2870" spans="1:6" x14ac:dyDescent="0.25">
      <c r="A2870" t="s">
        <v>3926</v>
      </c>
      <c r="B2870" t="s">
        <v>695</v>
      </c>
      <c r="C2870" t="s">
        <v>702</v>
      </c>
      <c r="D2870" t="s">
        <v>2107</v>
      </c>
      <c r="E2870" t="s">
        <v>2108</v>
      </c>
      <c r="F2870" t="s">
        <v>3927</v>
      </c>
    </row>
    <row r="2871" spans="1:6" x14ac:dyDescent="0.25">
      <c r="A2871" t="s">
        <v>3928</v>
      </c>
      <c r="B2871" t="s">
        <v>695</v>
      </c>
      <c r="C2871" t="s">
        <v>702</v>
      </c>
      <c r="D2871" t="s">
        <v>2107</v>
      </c>
      <c r="E2871" t="s">
        <v>1224</v>
      </c>
      <c r="F2871" t="s">
        <v>3929</v>
      </c>
    </row>
    <row r="2872" spans="1:6" x14ac:dyDescent="0.25">
      <c r="A2872" t="s">
        <v>3930</v>
      </c>
      <c r="B2872" t="s">
        <v>695</v>
      </c>
      <c r="C2872" t="s">
        <v>702</v>
      </c>
      <c r="D2872" t="s">
        <v>2107</v>
      </c>
      <c r="E2872" t="s">
        <v>1224</v>
      </c>
      <c r="F2872" t="s">
        <v>3931</v>
      </c>
    </row>
    <row r="2873" spans="1:6" x14ac:dyDescent="0.25">
      <c r="A2873" t="s">
        <v>3932</v>
      </c>
      <c r="B2873" t="s">
        <v>695</v>
      </c>
      <c r="C2873" t="s">
        <v>702</v>
      </c>
      <c r="D2873" t="s">
        <v>2107</v>
      </c>
      <c r="E2873" t="s">
        <v>1224</v>
      </c>
      <c r="F2873" t="s">
        <v>3933</v>
      </c>
    </row>
    <row r="2874" spans="1:6" x14ac:dyDescent="0.25">
      <c r="A2874" t="s">
        <v>3934</v>
      </c>
      <c r="B2874" t="s">
        <v>695</v>
      </c>
      <c r="C2874" t="s">
        <v>702</v>
      </c>
      <c r="D2874" t="s">
        <v>2107</v>
      </c>
      <c r="E2874" t="s">
        <v>1224</v>
      </c>
      <c r="F2874" t="s">
        <v>3935</v>
      </c>
    </row>
    <row r="2875" spans="1:6" x14ac:dyDescent="0.25">
      <c r="A2875" t="s">
        <v>3936</v>
      </c>
      <c r="B2875" t="s">
        <v>695</v>
      </c>
      <c r="C2875" t="s">
        <v>702</v>
      </c>
      <c r="D2875" t="s">
        <v>2107</v>
      </c>
      <c r="E2875" t="s">
        <v>1224</v>
      </c>
      <c r="F2875" t="s">
        <v>3937</v>
      </c>
    </row>
    <row r="2876" spans="1:6" x14ac:dyDescent="0.25">
      <c r="A2876" t="s">
        <v>3938</v>
      </c>
      <c r="B2876" t="s">
        <v>695</v>
      </c>
      <c r="C2876" t="s">
        <v>702</v>
      </c>
      <c r="D2876" t="s">
        <v>2107</v>
      </c>
      <c r="E2876" t="s">
        <v>1224</v>
      </c>
      <c r="F2876" t="s">
        <v>3939</v>
      </c>
    </row>
    <row r="2877" spans="1:6" x14ac:dyDescent="0.25">
      <c r="A2877" t="s">
        <v>3940</v>
      </c>
      <c r="B2877" t="s">
        <v>695</v>
      </c>
      <c r="C2877" t="s">
        <v>702</v>
      </c>
      <c r="D2877" t="s">
        <v>2107</v>
      </c>
      <c r="E2877" t="s">
        <v>1224</v>
      </c>
      <c r="F2877" t="s">
        <v>3941</v>
      </c>
    </row>
    <row r="2878" spans="1:6" x14ac:dyDescent="0.25">
      <c r="A2878" t="s">
        <v>3942</v>
      </c>
      <c r="B2878" t="s">
        <v>695</v>
      </c>
      <c r="C2878" t="s">
        <v>702</v>
      </c>
      <c r="D2878" t="s">
        <v>2107</v>
      </c>
      <c r="E2878" t="s">
        <v>1224</v>
      </c>
      <c r="F2878" t="s">
        <v>3943</v>
      </c>
    </row>
    <row r="2879" spans="1:5" x14ac:dyDescent="0.25">
      <c r="A2879" t="s">
        <v>3944</v>
      </c>
      <c r="B2879" t="s">
        <v>692</v>
      </c>
      <c r="E2879" t="s">
        <v>394</v>
      </c>
    </row>
    <row r="2880" spans="1:6" x14ac:dyDescent="0.25">
      <c r="A2880" t="s">
        <v>3945</v>
      </c>
      <c r="B2880" t="s">
        <v>695</v>
      </c>
      <c r="C2880" t="s">
        <v>696</v>
      </c>
      <c r="D2880" t="s">
        <v>2134</v>
      </c>
      <c r="E2880" t="s">
        <v>1609</v>
      </c>
      <c r="F2880" t="s">
        <v>3946</v>
      </c>
    </row>
    <row r="2881" spans="1:6" x14ac:dyDescent="0.25">
      <c r="A2881" t="s">
        <v>3947</v>
      </c>
      <c r="B2881" t="s">
        <v>794</v>
      </c>
      <c r="C2881" t="s">
        <v>782</v>
      </c>
      <c r="D2881" t="s">
        <v>2164</v>
      </c>
      <c r="E2881" t="s">
        <v>693</v>
      </c>
      <c r="F2881" t="s">
        <v>693</v>
      </c>
    </row>
    <row r="2882" spans="1:6" x14ac:dyDescent="0.25">
      <c r="A2882" t="s">
        <v>3948</v>
      </c>
      <c r="B2882" t="s">
        <v>695</v>
      </c>
      <c r="C2882" t="s">
        <v>696</v>
      </c>
      <c r="D2882" t="s">
        <v>2134</v>
      </c>
      <c r="E2882" t="s">
        <v>1609</v>
      </c>
      <c r="F2882" t="s">
        <v>3949</v>
      </c>
    </row>
    <row r="2883" spans="1:6" x14ac:dyDescent="0.25">
      <c r="A2883" t="s">
        <v>3950</v>
      </c>
      <c r="B2883" t="s">
        <v>701</v>
      </c>
      <c r="C2883" t="s">
        <v>746</v>
      </c>
      <c r="D2883" t="s">
        <v>2374</v>
      </c>
      <c r="E2883" t="s">
        <v>3951</v>
      </c>
      <c r="F2883" t="s">
        <v>3950</v>
      </c>
    </row>
    <row r="2884" spans="1:6" x14ac:dyDescent="0.25">
      <c r="A2884" t="s">
        <v>3950</v>
      </c>
      <c r="B2884" t="s">
        <v>2105</v>
      </c>
      <c r="C2884" t="s">
        <v>746</v>
      </c>
      <c r="D2884" t="s">
        <v>2374</v>
      </c>
      <c r="E2884" t="s">
        <v>3951</v>
      </c>
      <c r="F2884" t="s">
        <v>3952</v>
      </c>
    </row>
    <row r="2885" spans="1:6" x14ac:dyDescent="0.25">
      <c r="A2885" t="s">
        <v>3953</v>
      </c>
      <c r="B2885" t="s">
        <v>701</v>
      </c>
      <c r="C2885" t="s">
        <v>746</v>
      </c>
      <c r="D2885" t="s">
        <v>2374</v>
      </c>
      <c r="E2885" t="s">
        <v>3954</v>
      </c>
      <c r="F2885" t="s">
        <v>3955</v>
      </c>
    </row>
    <row r="2886" spans="1:6" x14ac:dyDescent="0.25">
      <c r="A2886" t="s">
        <v>3953</v>
      </c>
      <c r="B2886" t="s">
        <v>2105</v>
      </c>
      <c r="C2886" t="s">
        <v>746</v>
      </c>
      <c r="D2886" t="s">
        <v>2374</v>
      </c>
      <c r="E2886" t="s">
        <v>3954</v>
      </c>
      <c r="F2886" t="s">
        <v>3956</v>
      </c>
    </row>
    <row r="2887" spans="1:6" x14ac:dyDescent="0.25">
      <c r="A2887" t="s">
        <v>3957</v>
      </c>
      <c r="B2887" t="s">
        <v>692</v>
      </c>
      <c r="E2887" t="s">
        <v>3958</v>
      </c>
      <c r="F2887" t="s">
        <v>73</v>
      </c>
    </row>
    <row r="2888" spans="1:5" x14ac:dyDescent="0.25">
      <c r="A2888" t="s">
        <v>3959</v>
      </c>
      <c r="B2888" t="s">
        <v>692</v>
      </c>
      <c r="E2888" t="s">
        <v>1002</v>
      </c>
    </row>
    <row r="2889" spans="1:5" x14ac:dyDescent="0.25">
      <c r="A2889" t="s">
        <v>3960</v>
      </c>
      <c r="B2889" t="s">
        <v>692</v>
      </c>
      <c r="E2889" t="s">
        <v>1002</v>
      </c>
    </row>
    <row r="2890" spans="1:6" x14ac:dyDescent="0.25">
      <c r="A2890" t="s">
        <v>3961</v>
      </c>
      <c r="B2890" t="s">
        <v>695</v>
      </c>
      <c r="C2890" t="s">
        <v>1138</v>
      </c>
      <c r="D2890" t="s">
        <v>1139</v>
      </c>
      <c r="E2890" t="s">
        <v>1002</v>
      </c>
      <c r="F2890" t="s">
        <v>3962</v>
      </c>
    </row>
    <row r="2891" spans="1:6" x14ac:dyDescent="0.25">
      <c r="A2891" t="s">
        <v>3963</v>
      </c>
      <c r="B2891" t="s">
        <v>692</v>
      </c>
      <c r="E2891" t="s">
        <v>693</v>
      </c>
      <c r="F2891" t="s">
        <v>3964</v>
      </c>
    </row>
    <row r="2892" spans="1:6" x14ac:dyDescent="0.25">
      <c r="A2892" t="s">
        <v>3965</v>
      </c>
      <c r="B2892" t="s">
        <v>695</v>
      </c>
      <c r="C2892" t="s">
        <v>696</v>
      </c>
      <c r="D2892" t="s">
        <v>3577</v>
      </c>
      <c r="E2892" t="s">
        <v>3966</v>
      </c>
      <c r="F2892" t="s">
        <v>3965</v>
      </c>
    </row>
    <row r="2893" spans="1:6" x14ac:dyDescent="0.25">
      <c r="A2893" t="s">
        <v>3967</v>
      </c>
      <c r="B2893" t="s">
        <v>2148</v>
      </c>
      <c r="C2893" t="s">
        <v>706</v>
      </c>
      <c r="D2893" t="s">
        <v>845</v>
      </c>
      <c r="E2893" t="s">
        <v>3673</v>
      </c>
      <c r="F2893" t="s">
        <v>3967</v>
      </c>
    </row>
    <row r="2894" spans="1:6" x14ac:dyDescent="0.25">
      <c r="A2894" t="s">
        <v>3968</v>
      </c>
      <c r="B2894" t="s">
        <v>764</v>
      </c>
      <c r="C2894" t="s">
        <v>702</v>
      </c>
      <c r="D2894" t="s">
        <v>962</v>
      </c>
      <c r="E2894" t="s">
        <v>103</v>
      </c>
      <c r="F2894" t="s">
        <v>103</v>
      </c>
    </row>
    <row r="2895" spans="1:5" x14ac:dyDescent="0.25">
      <c r="A2895" t="s">
        <v>3969</v>
      </c>
      <c r="B2895" t="s">
        <v>692</v>
      </c>
      <c r="E2895" t="s">
        <v>3970</v>
      </c>
    </row>
    <row r="2896" spans="1:5" x14ac:dyDescent="0.25">
      <c r="A2896" t="s">
        <v>3971</v>
      </c>
      <c r="B2896" t="s">
        <v>692</v>
      </c>
      <c r="E2896" t="s">
        <v>2234</v>
      </c>
    </row>
    <row r="2897" spans="1:6" x14ac:dyDescent="0.25">
      <c r="A2897" t="s">
        <v>1994</v>
      </c>
      <c r="B2897" t="s">
        <v>2357</v>
      </c>
      <c r="C2897" t="s">
        <v>706</v>
      </c>
      <c r="D2897" t="s">
        <v>845</v>
      </c>
      <c r="E2897" t="s">
        <v>1994</v>
      </c>
      <c r="F2897" t="s">
        <v>1994</v>
      </c>
    </row>
    <row r="2898" spans="1:5" x14ac:dyDescent="0.25">
      <c r="A2898" t="s">
        <v>3972</v>
      </c>
      <c r="B2898" t="s">
        <v>692</v>
      </c>
      <c r="E2898" t="s">
        <v>135</v>
      </c>
    </row>
    <row r="2899" spans="1:5" x14ac:dyDescent="0.25">
      <c r="A2899" t="s">
        <v>3973</v>
      </c>
      <c r="B2899" t="s">
        <v>692</v>
      </c>
      <c r="E2899" t="s">
        <v>135</v>
      </c>
    </row>
    <row r="2900" spans="1:6" x14ac:dyDescent="0.25">
      <c r="A2900" t="s">
        <v>3974</v>
      </c>
      <c r="B2900" t="s">
        <v>695</v>
      </c>
      <c r="C2900" t="s">
        <v>702</v>
      </c>
      <c r="D2900" t="s">
        <v>2107</v>
      </c>
      <c r="E2900" t="s">
        <v>2401</v>
      </c>
      <c r="F2900" t="s">
        <v>3975</v>
      </c>
    </row>
    <row r="2901" spans="1:5" x14ac:dyDescent="0.25">
      <c r="A2901" t="s">
        <v>3976</v>
      </c>
      <c r="B2901" t="s">
        <v>692</v>
      </c>
      <c r="E2901" t="s">
        <v>394</v>
      </c>
    </row>
    <row r="2902" spans="1:6" x14ac:dyDescent="0.25">
      <c r="A2902" t="s">
        <v>3977</v>
      </c>
      <c r="B2902" t="s">
        <v>764</v>
      </c>
      <c r="C2902" t="s">
        <v>782</v>
      </c>
      <c r="D2902" t="s">
        <v>849</v>
      </c>
      <c r="E2902" t="s">
        <v>850</v>
      </c>
      <c r="F2902" t="s">
        <v>851</v>
      </c>
    </row>
    <row r="2903" spans="1:5" x14ac:dyDescent="0.25">
      <c r="A2903" t="s">
        <v>3978</v>
      </c>
      <c r="B2903" t="s">
        <v>692</v>
      </c>
      <c r="E2903" t="s">
        <v>327</v>
      </c>
    </row>
    <row r="2904" spans="1:5" x14ac:dyDescent="0.25">
      <c r="A2904" t="s">
        <v>3979</v>
      </c>
      <c r="B2904" t="s">
        <v>692</v>
      </c>
      <c r="E2904" t="s">
        <v>254</v>
      </c>
    </row>
    <row r="2905" spans="1:6" x14ac:dyDescent="0.25">
      <c r="A2905" t="s">
        <v>3980</v>
      </c>
      <c r="B2905" t="s">
        <v>692</v>
      </c>
      <c r="E2905" t="s">
        <v>693</v>
      </c>
      <c r="F2905" t="s">
        <v>3964</v>
      </c>
    </row>
    <row r="2906" spans="1:6" x14ac:dyDescent="0.25">
      <c r="A2906" t="s">
        <v>3981</v>
      </c>
      <c r="B2906" t="s">
        <v>794</v>
      </c>
      <c r="C2906" t="s">
        <v>782</v>
      </c>
      <c r="D2906" t="s">
        <v>2164</v>
      </c>
      <c r="E2906" t="s">
        <v>693</v>
      </c>
      <c r="F2906" t="s">
        <v>3964</v>
      </c>
    </row>
    <row r="2907" spans="1:6" x14ac:dyDescent="0.25">
      <c r="A2907" t="s">
        <v>3982</v>
      </c>
      <c r="B2907" t="s">
        <v>794</v>
      </c>
      <c r="C2907" t="s">
        <v>782</v>
      </c>
      <c r="D2907" t="s">
        <v>2164</v>
      </c>
      <c r="E2907" t="s">
        <v>693</v>
      </c>
      <c r="F2907" t="s">
        <v>3964</v>
      </c>
    </row>
    <row r="2908" spans="1:6" x14ac:dyDescent="0.25">
      <c r="A2908" t="s">
        <v>3983</v>
      </c>
      <c r="B2908" t="s">
        <v>692</v>
      </c>
      <c r="E2908" t="s">
        <v>693</v>
      </c>
      <c r="F2908" t="s">
        <v>3964</v>
      </c>
    </row>
    <row r="2909" spans="1:6" x14ac:dyDescent="0.25">
      <c r="A2909" t="s">
        <v>3984</v>
      </c>
      <c r="B2909" t="s">
        <v>794</v>
      </c>
      <c r="C2909" t="s">
        <v>782</v>
      </c>
      <c r="D2909" t="s">
        <v>2164</v>
      </c>
      <c r="E2909" t="s">
        <v>693</v>
      </c>
      <c r="F2909" t="s">
        <v>3964</v>
      </c>
    </row>
    <row r="2910" spans="1:6" x14ac:dyDescent="0.25">
      <c r="A2910" t="s">
        <v>3985</v>
      </c>
      <c r="B2910" t="s">
        <v>794</v>
      </c>
      <c r="C2910" t="s">
        <v>782</v>
      </c>
      <c r="D2910" t="s">
        <v>2164</v>
      </c>
      <c r="E2910" t="s">
        <v>693</v>
      </c>
      <c r="F2910" t="s">
        <v>3964</v>
      </c>
    </row>
    <row r="2911" spans="1:5" x14ac:dyDescent="0.25">
      <c r="A2911" t="s">
        <v>3986</v>
      </c>
      <c r="B2911" t="s">
        <v>692</v>
      </c>
      <c r="E2911" t="s">
        <v>97</v>
      </c>
    </row>
    <row r="2912" spans="1:6" x14ac:dyDescent="0.25">
      <c r="A2912" t="s">
        <v>3987</v>
      </c>
      <c r="B2912" t="s">
        <v>695</v>
      </c>
      <c r="C2912" t="s">
        <v>702</v>
      </c>
      <c r="D2912" t="s">
        <v>750</v>
      </c>
      <c r="E2912" t="s">
        <v>539</v>
      </c>
      <c r="F2912" t="s">
        <v>3988</v>
      </c>
    </row>
    <row r="2913" spans="1:5" x14ac:dyDescent="0.25">
      <c r="A2913" t="s">
        <v>3989</v>
      </c>
      <c r="B2913" t="s">
        <v>692</v>
      </c>
      <c r="E2913" t="s">
        <v>693</v>
      </c>
    </row>
    <row r="2914" spans="1:5" x14ac:dyDescent="0.25">
      <c r="A2914" t="s">
        <v>3990</v>
      </c>
      <c r="B2914" t="s">
        <v>692</v>
      </c>
      <c r="E2914" t="s">
        <v>693</v>
      </c>
    </row>
    <row r="2915" spans="1:6" x14ac:dyDescent="0.25">
      <c r="A2915" t="s">
        <v>3991</v>
      </c>
      <c r="B2915" t="s">
        <v>794</v>
      </c>
      <c r="C2915" t="s">
        <v>702</v>
      </c>
      <c r="D2915" t="s">
        <v>2606</v>
      </c>
      <c r="E2915" t="s">
        <v>110</v>
      </c>
      <c r="F2915" t="s">
        <v>110</v>
      </c>
    </row>
    <row r="2916" spans="1:6" x14ac:dyDescent="0.25">
      <c r="A2916" t="s">
        <v>3992</v>
      </c>
      <c r="B2916" t="s">
        <v>2148</v>
      </c>
      <c r="C2916" t="s">
        <v>702</v>
      </c>
      <c r="D2916" t="s">
        <v>2606</v>
      </c>
      <c r="E2916" t="s">
        <v>1194</v>
      </c>
      <c r="F2916" t="s">
        <v>3992</v>
      </c>
    </row>
    <row r="2917" spans="1:6" x14ac:dyDescent="0.25">
      <c r="A2917" t="s">
        <v>824</v>
      </c>
      <c r="B2917" t="s">
        <v>2357</v>
      </c>
      <c r="C2917" t="s">
        <v>702</v>
      </c>
      <c r="D2917" t="s">
        <v>786</v>
      </c>
      <c r="E2917" t="s">
        <v>824</v>
      </c>
      <c r="F2917" t="s">
        <v>824</v>
      </c>
    </row>
    <row r="2918" spans="1:6" x14ac:dyDescent="0.25">
      <c r="A2918" t="s">
        <v>3993</v>
      </c>
      <c r="B2918" t="s">
        <v>2357</v>
      </c>
      <c r="C2918" t="s">
        <v>702</v>
      </c>
      <c r="D2918" t="s">
        <v>2606</v>
      </c>
      <c r="E2918" t="s">
        <v>3477</v>
      </c>
      <c r="F2918" t="s">
        <v>3994</v>
      </c>
    </row>
    <row r="2919" spans="1:5" x14ac:dyDescent="0.25">
      <c r="A2919" t="s">
        <v>3995</v>
      </c>
      <c r="B2919" t="s">
        <v>692</v>
      </c>
      <c r="E2919" t="s">
        <v>110</v>
      </c>
    </row>
    <row r="2920" spans="1:6" x14ac:dyDescent="0.25">
      <c r="A2920" t="s">
        <v>3996</v>
      </c>
      <c r="B2920" t="s">
        <v>794</v>
      </c>
      <c r="C2920" t="s">
        <v>702</v>
      </c>
      <c r="D2920" t="s">
        <v>2606</v>
      </c>
      <c r="E2920" t="s">
        <v>110</v>
      </c>
      <c r="F2920" t="s">
        <v>110</v>
      </c>
    </row>
    <row r="2921" spans="1:6" x14ac:dyDescent="0.25">
      <c r="A2921" t="s">
        <v>3997</v>
      </c>
      <c r="B2921" t="s">
        <v>2357</v>
      </c>
      <c r="C2921" t="s">
        <v>702</v>
      </c>
      <c r="D2921" t="s">
        <v>2606</v>
      </c>
      <c r="E2921" t="s">
        <v>1194</v>
      </c>
      <c r="F2921" t="s">
        <v>3997</v>
      </c>
    </row>
    <row r="2922" spans="1:6" x14ac:dyDescent="0.25">
      <c r="A2922" t="s">
        <v>3998</v>
      </c>
      <c r="B2922" t="s">
        <v>794</v>
      </c>
      <c r="C2922" t="s">
        <v>702</v>
      </c>
      <c r="D2922" t="s">
        <v>2606</v>
      </c>
      <c r="E2922" t="s">
        <v>110</v>
      </c>
      <c r="F2922" t="s">
        <v>110</v>
      </c>
    </row>
    <row r="2923" spans="1:6" x14ac:dyDescent="0.25">
      <c r="A2923" t="s">
        <v>3999</v>
      </c>
      <c r="B2923" t="s">
        <v>695</v>
      </c>
      <c r="C2923" t="s">
        <v>702</v>
      </c>
      <c r="D2923" t="s">
        <v>2606</v>
      </c>
      <c r="E2923" t="s">
        <v>3864</v>
      </c>
      <c r="F2923" t="s">
        <v>3999</v>
      </c>
    </row>
    <row r="2924" spans="1:5" x14ac:dyDescent="0.25">
      <c r="A2924" t="s">
        <v>4000</v>
      </c>
      <c r="B2924" t="s">
        <v>692</v>
      </c>
      <c r="E2924" t="s">
        <v>110</v>
      </c>
    </row>
    <row r="2925" spans="1:6" x14ac:dyDescent="0.25">
      <c r="A2925" t="s">
        <v>4001</v>
      </c>
      <c r="B2925" t="s">
        <v>695</v>
      </c>
      <c r="C2925" t="s">
        <v>702</v>
      </c>
      <c r="D2925" t="s">
        <v>2107</v>
      </c>
      <c r="E2925" t="s">
        <v>2401</v>
      </c>
      <c r="F2925" t="s">
        <v>4002</v>
      </c>
    </row>
    <row r="2926" spans="1:6" x14ac:dyDescent="0.25">
      <c r="A2926" t="s">
        <v>4003</v>
      </c>
      <c r="B2926" t="s">
        <v>695</v>
      </c>
      <c r="C2926" t="s">
        <v>702</v>
      </c>
      <c r="D2926" t="s">
        <v>2107</v>
      </c>
      <c r="E2926" t="s">
        <v>2401</v>
      </c>
      <c r="F2926" t="s">
        <v>4004</v>
      </c>
    </row>
    <row r="2927" spans="1:5" x14ac:dyDescent="0.25">
      <c r="A2927" t="s">
        <v>510</v>
      </c>
      <c r="B2927" t="s">
        <v>692</v>
      </c>
      <c r="E2927" t="s">
        <v>110</v>
      </c>
    </row>
    <row r="2928" spans="1:5" x14ac:dyDescent="0.25">
      <c r="A2928" t="s">
        <v>4005</v>
      </c>
      <c r="B2928" t="s">
        <v>692</v>
      </c>
      <c r="E2928" t="s">
        <v>110</v>
      </c>
    </row>
    <row r="2929" spans="1:5" x14ac:dyDescent="0.25">
      <c r="A2929" t="s">
        <v>4006</v>
      </c>
      <c r="B2929" t="s">
        <v>692</v>
      </c>
      <c r="E2929" t="s">
        <v>110</v>
      </c>
    </row>
    <row r="2930" spans="1:6" x14ac:dyDescent="0.25">
      <c r="A2930" t="s">
        <v>4007</v>
      </c>
      <c r="B2930" t="s">
        <v>692</v>
      </c>
      <c r="E2930" t="s">
        <v>693</v>
      </c>
      <c r="F2930" t="s">
        <v>3964</v>
      </c>
    </row>
    <row r="2931" spans="1:6" x14ac:dyDescent="0.25">
      <c r="A2931" t="s">
        <v>4008</v>
      </c>
      <c r="B2931" t="s">
        <v>692</v>
      </c>
      <c r="E2931" t="s">
        <v>693</v>
      </c>
      <c r="F2931" t="s">
        <v>3964</v>
      </c>
    </row>
    <row r="2932" spans="1:5" x14ac:dyDescent="0.25">
      <c r="A2932" t="s">
        <v>4009</v>
      </c>
      <c r="B2932" t="s">
        <v>692</v>
      </c>
      <c r="E2932" t="s">
        <v>110</v>
      </c>
    </row>
    <row r="2933" spans="1:5" x14ac:dyDescent="0.25">
      <c r="A2933" t="s">
        <v>4010</v>
      </c>
      <c r="B2933" t="s">
        <v>692</v>
      </c>
      <c r="E2933" t="s">
        <v>3447</v>
      </c>
    </row>
    <row r="2934" spans="1:5" x14ac:dyDescent="0.25">
      <c r="A2934" t="s">
        <v>4011</v>
      </c>
      <c r="B2934" t="s">
        <v>692</v>
      </c>
      <c r="E2934" t="s">
        <v>693</v>
      </c>
    </row>
    <row r="2935" spans="1:5" x14ac:dyDescent="0.25">
      <c r="A2935" t="s">
        <v>200</v>
      </c>
      <c r="B2935" t="s">
        <v>692</v>
      </c>
      <c r="E2935" t="s">
        <v>110</v>
      </c>
    </row>
    <row r="2936" spans="1:5" x14ac:dyDescent="0.25">
      <c r="A2936" t="s">
        <v>4012</v>
      </c>
      <c r="B2936" t="s">
        <v>692</v>
      </c>
      <c r="E2936" t="s">
        <v>110</v>
      </c>
    </row>
    <row r="2937" spans="1:5" x14ac:dyDescent="0.25">
      <c r="A2937" t="s">
        <v>4013</v>
      </c>
      <c r="B2937" t="s">
        <v>692</v>
      </c>
      <c r="E2937" t="s">
        <v>2111</v>
      </c>
    </row>
    <row r="2938" spans="1:6" x14ac:dyDescent="0.25">
      <c r="A2938" t="s">
        <v>4014</v>
      </c>
      <c r="B2938" t="s">
        <v>794</v>
      </c>
      <c r="C2938" t="s">
        <v>782</v>
      </c>
      <c r="D2938" t="s">
        <v>2164</v>
      </c>
      <c r="E2938" t="s">
        <v>693</v>
      </c>
      <c r="F2938" t="s">
        <v>693</v>
      </c>
    </row>
    <row r="2939" spans="1:6" x14ac:dyDescent="0.25">
      <c r="A2939" t="s">
        <v>4015</v>
      </c>
      <c r="B2939" t="s">
        <v>695</v>
      </c>
      <c r="C2939" t="s">
        <v>702</v>
      </c>
      <c r="D2939" t="s">
        <v>2606</v>
      </c>
      <c r="E2939" t="s">
        <v>3864</v>
      </c>
      <c r="F2939" t="s">
        <v>4016</v>
      </c>
    </row>
    <row r="2940" spans="1:6" x14ac:dyDescent="0.25">
      <c r="A2940" t="s">
        <v>4017</v>
      </c>
      <c r="B2940" t="s">
        <v>695</v>
      </c>
      <c r="C2940" t="s">
        <v>702</v>
      </c>
      <c r="D2940" t="s">
        <v>2606</v>
      </c>
      <c r="E2940" t="s">
        <v>3864</v>
      </c>
      <c r="F2940" t="s">
        <v>4018</v>
      </c>
    </row>
    <row r="2941" spans="1:5" x14ac:dyDescent="0.25">
      <c r="A2941" t="s">
        <v>4019</v>
      </c>
      <c r="B2941" t="s">
        <v>692</v>
      </c>
      <c r="E2941" t="s">
        <v>97</v>
      </c>
    </row>
    <row r="2942" spans="1:5" x14ac:dyDescent="0.25">
      <c r="A2942" t="s">
        <v>4020</v>
      </c>
      <c r="B2942" t="s">
        <v>692</v>
      </c>
      <c r="E2942" t="s">
        <v>97</v>
      </c>
    </row>
    <row r="2943" spans="1:5" x14ac:dyDescent="0.25">
      <c r="A2943" t="s">
        <v>4021</v>
      </c>
      <c r="B2943" t="s">
        <v>692</v>
      </c>
      <c r="E2943" t="s">
        <v>118</v>
      </c>
    </row>
    <row r="2944" spans="1:5" x14ac:dyDescent="0.25">
      <c r="A2944" t="s">
        <v>4022</v>
      </c>
      <c r="B2944" t="s">
        <v>692</v>
      </c>
      <c r="E2944" t="s">
        <v>2175</v>
      </c>
    </row>
    <row r="2945" spans="1:5" x14ac:dyDescent="0.25">
      <c r="A2945" t="s">
        <v>4023</v>
      </c>
      <c r="B2945" t="s">
        <v>692</v>
      </c>
      <c r="E2945" t="s">
        <v>2175</v>
      </c>
    </row>
    <row r="2946" spans="1:5" x14ac:dyDescent="0.25">
      <c r="A2946" t="s">
        <v>4024</v>
      </c>
      <c r="B2946" t="s">
        <v>692</v>
      </c>
      <c r="E2946" t="s">
        <v>265</v>
      </c>
    </row>
    <row r="2947" spans="1:6" x14ac:dyDescent="0.25">
      <c r="A2947" t="s">
        <v>4025</v>
      </c>
      <c r="B2947" t="s">
        <v>695</v>
      </c>
      <c r="C2947" t="s">
        <v>758</v>
      </c>
      <c r="D2947" t="s">
        <v>899</v>
      </c>
      <c r="E2947" t="s">
        <v>265</v>
      </c>
      <c r="F2947" t="s">
        <v>4026</v>
      </c>
    </row>
    <row r="2948" spans="1:5" x14ac:dyDescent="0.25">
      <c r="A2948" t="s">
        <v>4027</v>
      </c>
      <c r="B2948" t="s">
        <v>692</v>
      </c>
      <c r="E2948" t="s">
        <v>118</v>
      </c>
    </row>
    <row r="2949" spans="1:6" x14ac:dyDescent="0.25">
      <c r="A2949" t="s">
        <v>4028</v>
      </c>
      <c r="B2949" t="s">
        <v>764</v>
      </c>
      <c r="C2949" t="s">
        <v>702</v>
      </c>
      <c r="D2949" t="s">
        <v>761</v>
      </c>
      <c r="E2949" t="s">
        <v>327</v>
      </c>
      <c r="F2949" t="s">
        <v>924</v>
      </c>
    </row>
    <row r="2950" spans="1:6" x14ac:dyDescent="0.25">
      <c r="A2950" t="s">
        <v>4029</v>
      </c>
      <c r="B2950" t="s">
        <v>764</v>
      </c>
      <c r="C2950" t="s">
        <v>758</v>
      </c>
      <c r="D2950" t="s">
        <v>979</v>
      </c>
      <c r="E2950" t="s">
        <v>85</v>
      </c>
      <c r="F2950" t="s">
        <v>124</v>
      </c>
    </row>
    <row r="2951" spans="1:6" x14ac:dyDescent="0.25">
      <c r="A2951" t="s">
        <v>4030</v>
      </c>
      <c r="B2951" t="s">
        <v>764</v>
      </c>
      <c r="C2951" t="s">
        <v>758</v>
      </c>
      <c r="D2951" t="s">
        <v>979</v>
      </c>
      <c r="E2951" t="s">
        <v>85</v>
      </c>
      <c r="F2951" t="s">
        <v>124</v>
      </c>
    </row>
    <row r="2952" spans="1:5" x14ac:dyDescent="0.25">
      <c r="A2952" t="s">
        <v>4031</v>
      </c>
      <c r="B2952" t="s">
        <v>692</v>
      </c>
      <c r="E2952" t="s">
        <v>4032</v>
      </c>
    </row>
    <row r="2953" spans="1:5" x14ac:dyDescent="0.25">
      <c r="A2953" t="s">
        <v>4033</v>
      </c>
      <c r="B2953" t="s">
        <v>692</v>
      </c>
      <c r="E2953" t="s">
        <v>4032</v>
      </c>
    </row>
    <row r="2954" spans="1:5" x14ac:dyDescent="0.25">
      <c r="A2954" t="s">
        <v>4034</v>
      </c>
      <c r="B2954" t="s">
        <v>692</v>
      </c>
      <c r="E2954" t="s">
        <v>2213</v>
      </c>
    </row>
    <row r="2955" spans="1:6" x14ac:dyDescent="0.25">
      <c r="A2955" t="s">
        <v>4035</v>
      </c>
      <c r="B2955" t="s">
        <v>2148</v>
      </c>
      <c r="C2955" t="s">
        <v>702</v>
      </c>
      <c r="D2955" t="s">
        <v>4036</v>
      </c>
      <c r="E2955" t="s">
        <v>3096</v>
      </c>
      <c r="F2955" t="s">
        <v>4035</v>
      </c>
    </row>
    <row r="2956" spans="1:6" x14ac:dyDescent="0.25">
      <c r="A2956" t="s">
        <v>4035</v>
      </c>
      <c r="B2956" t="s">
        <v>701</v>
      </c>
      <c r="C2956" t="s">
        <v>702</v>
      </c>
      <c r="D2956" t="s">
        <v>4036</v>
      </c>
      <c r="E2956" t="s">
        <v>3096</v>
      </c>
      <c r="F2956" t="s">
        <v>4035</v>
      </c>
    </row>
    <row r="2957" spans="1:6" x14ac:dyDescent="0.25">
      <c r="A2957" t="s">
        <v>4037</v>
      </c>
      <c r="B2957" t="s">
        <v>705</v>
      </c>
      <c r="C2957" t="s">
        <v>706</v>
      </c>
      <c r="D2957" t="s">
        <v>2184</v>
      </c>
      <c r="E2957" t="s">
        <v>288</v>
      </c>
      <c r="F2957" t="s">
        <v>2370</v>
      </c>
    </row>
    <row r="2958" spans="1:5" x14ac:dyDescent="0.25">
      <c r="A2958" t="s">
        <v>4038</v>
      </c>
      <c r="B2958" t="s">
        <v>692</v>
      </c>
      <c r="E2958" t="s">
        <v>2950</v>
      </c>
    </row>
    <row r="2959" spans="1:5" x14ac:dyDescent="0.25">
      <c r="A2959" t="s">
        <v>4039</v>
      </c>
      <c r="B2959" t="s">
        <v>692</v>
      </c>
      <c r="E2959" t="s">
        <v>2950</v>
      </c>
    </row>
    <row r="2960" spans="1:5" x14ac:dyDescent="0.25">
      <c r="A2960" t="s">
        <v>4040</v>
      </c>
      <c r="B2960" t="s">
        <v>692</v>
      </c>
      <c r="E2960" t="s">
        <v>1954</v>
      </c>
    </row>
  </sheetData>
  <autoFilter ref="$A$1:$F$2960"/>
  <pageMargins left="0.7" right="0.7" top="0.75" bottom="0.75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91"/>
  <sheetViews>
    <sheetView workbookViewId="0" zoomScale="100" zoomScaleNormal="100"/>
  </sheetViews>
  <sheetFormatPr customHeight="1"/>
  <sheetData>
    <row r="1" spans="2:4" x14ac:dyDescent="0.25">
      <c r="B1" t="s">
        <v>4041</v>
      </c>
      <c r="C1"/>
      <c r="D1"/>
    </row>
    <row r="3" spans="2:4" x14ac:dyDescent="0.25">
      <c r="B3" t="s">
        <v>4</v>
      </c>
      <c r="C3" t="s">
        <v>4042</v>
      </c>
      <c r="D3" t="s">
        <v>4043</v>
      </c>
    </row>
    <row r="4" spans="2:4" x14ac:dyDescent="0.25">
      <c r="B4">
        <v>1</v>
      </c>
      <c r="C4" t="s">
        <v>4044</v>
      </c>
      <c r="D4" t="s">
        <v>73</v>
      </c>
    </row>
    <row r="5" spans="2:4" x14ac:dyDescent="0.25">
      <c r="B5">
        <v>2</v>
      </c>
      <c r="C5" t="s">
        <v>4045</v>
      </c>
      <c r="D5" t="s">
        <v>195</v>
      </c>
    </row>
    <row r="6" spans="2:4" x14ac:dyDescent="0.25">
      <c r="B6">
        <v>3</v>
      </c>
      <c r="C6" t="s">
        <v>638</v>
      </c>
      <c r="D6" t="s">
        <v>120</v>
      </c>
    </row>
    <row r="7" spans="2:4" x14ac:dyDescent="0.25">
      <c r="B7">
        <v>4</v>
      </c>
      <c r="C7" t="s">
        <v>313</v>
      </c>
      <c r="D7" t="s">
        <v>120</v>
      </c>
    </row>
    <row r="8" spans="2:4" x14ac:dyDescent="0.25">
      <c r="B8">
        <v>5</v>
      </c>
      <c r="C8" t="s">
        <v>2104</v>
      </c>
      <c r="D8" t="s">
        <v>73</v>
      </c>
    </row>
    <row r="9" spans="2:4" x14ac:dyDescent="0.25">
      <c r="B9">
        <v>6</v>
      </c>
      <c r="C9" t="s">
        <v>4046</v>
      </c>
      <c r="D9" t="s">
        <v>267</v>
      </c>
    </row>
    <row r="10" spans="2:4" x14ac:dyDescent="0.25">
      <c r="B10">
        <v>7</v>
      </c>
      <c r="C10" t="s">
        <v>4047</v>
      </c>
      <c r="D10" t="s">
        <v>73</v>
      </c>
    </row>
    <row r="11" spans="2:4" x14ac:dyDescent="0.25">
      <c r="B11">
        <v>8</v>
      </c>
      <c r="C11" t="s">
        <v>3032</v>
      </c>
      <c r="D11" t="s">
        <v>73</v>
      </c>
    </row>
    <row r="12" spans="2:4" x14ac:dyDescent="0.25">
      <c r="B12">
        <v>9</v>
      </c>
      <c r="C12" t="s">
        <v>4048</v>
      </c>
      <c r="D12" t="s">
        <v>73</v>
      </c>
    </row>
    <row r="13" spans="2:4" x14ac:dyDescent="0.25">
      <c r="B13">
        <v>10</v>
      </c>
      <c r="C13" t="s">
        <v>3107</v>
      </c>
      <c r="D13" t="s">
        <v>73</v>
      </c>
    </row>
    <row r="14" spans="2:4" x14ac:dyDescent="0.25">
      <c r="B14">
        <v>11</v>
      </c>
      <c r="C14" t="s">
        <v>797</v>
      </c>
      <c r="D14" t="s">
        <v>73</v>
      </c>
    </row>
    <row r="15" spans="2:4" x14ac:dyDescent="0.25">
      <c r="B15">
        <v>12</v>
      </c>
      <c r="C15" t="s">
        <v>4049</v>
      </c>
      <c r="D15" t="s">
        <v>73</v>
      </c>
    </row>
    <row r="16" spans="2:4" x14ac:dyDescent="0.25">
      <c r="B16">
        <v>13</v>
      </c>
      <c r="C16" t="s">
        <v>4050</v>
      </c>
      <c r="D16" t="s">
        <v>73</v>
      </c>
    </row>
    <row r="17" spans="2:4" x14ac:dyDescent="0.25">
      <c r="B17">
        <v>14</v>
      </c>
      <c r="C17" t="s">
        <v>4051</v>
      </c>
      <c r="D17" t="s">
        <v>73</v>
      </c>
    </row>
    <row r="18" spans="2:4" x14ac:dyDescent="0.25">
      <c r="B18">
        <v>15</v>
      </c>
      <c r="C18" t="s">
        <v>4052</v>
      </c>
      <c r="D18" t="s">
        <v>73</v>
      </c>
    </row>
    <row r="19" spans="2:4" x14ac:dyDescent="0.25">
      <c r="B19">
        <v>16</v>
      </c>
      <c r="C19" t="s">
        <v>1367</v>
      </c>
      <c r="D19" t="s">
        <v>73</v>
      </c>
    </row>
    <row r="20" spans="2:4" x14ac:dyDescent="0.25">
      <c r="B20">
        <v>17</v>
      </c>
      <c r="C20" t="s">
        <v>2150</v>
      </c>
      <c r="D20" t="s">
        <v>290</v>
      </c>
    </row>
    <row r="21" spans="2:4" x14ac:dyDescent="0.25">
      <c r="B21">
        <v>18</v>
      </c>
      <c r="C21" t="s">
        <v>4053</v>
      </c>
      <c r="D21" t="s">
        <v>73</v>
      </c>
    </row>
    <row r="22" spans="2:4" x14ac:dyDescent="0.25">
      <c r="B22">
        <v>19</v>
      </c>
      <c r="C22" t="s">
        <v>4054</v>
      </c>
      <c r="D22" t="s">
        <v>73</v>
      </c>
    </row>
    <row r="23" spans="2:4" x14ac:dyDescent="0.25">
      <c r="B23">
        <v>20</v>
      </c>
      <c r="C23" t="s">
        <v>4055</v>
      </c>
      <c r="D23" t="s">
        <v>73</v>
      </c>
    </row>
    <row r="24" spans="2:4" x14ac:dyDescent="0.25">
      <c r="B24">
        <v>21</v>
      </c>
      <c r="C24" t="s">
        <v>4056</v>
      </c>
      <c r="D24" t="s">
        <v>189</v>
      </c>
    </row>
    <row r="25" spans="2:4" x14ac:dyDescent="0.25">
      <c r="B25">
        <v>22</v>
      </c>
      <c r="C25" t="s">
        <v>2162</v>
      </c>
      <c r="D25" t="s">
        <v>73</v>
      </c>
    </row>
    <row r="26" spans="2:4" x14ac:dyDescent="0.25">
      <c r="B26">
        <v>23</v>
      </c>
      <c r="C26" t="s">
        <v>4057</v>
      </c>
      <c r="D26" t="s">
        <v>73</v>
      </c>
    </row>
    <row r="27" spans="2:4" x14ac:dyDescent="0.25">
      <c r="B27">
        <v>24</v>
      </c>
      <c r="C27" t="s">
        <v>4058</v>
      </c>
      <c r="D27" t="s">
        <v>195</v>
      </c>
    </row>
    <row r="28" spans="2:4" x14ac:dyDescent="0.25">
      <c r="B28">
        <v>25</v>
      </c>
      <c r="C28" t="s">
        <v>4059</v>
      </c>
      <c r="D28" t="s">
        <v>195</v>
      </c>
    </row>
    <row r="29" spans="2:4" x14ac:dyDescent="0.25">
      <c r="B29">
        <v>26</v>
      </c>
      <c r="C29" t="s">
        <v>4060</v>
      </c>
      <c r="D29" t="s">
        <v>256</v>
      </c>
    </row>
    <row r="30" spans="2:4" x14ac:dyDescent="0.25">
      <c r="B30">
        <v>27</v>
      </c>
      <c r="C30" t="s">
        <v>4061</v>
      </c>
      <c r="D30" t="s">
        <v>73</v>
      </c>
    </row>
    <row r="31" spans="2:4" x14ac:dyDescent="0.25">
      <c r="B31">
        <v>28</v>
      </c>
      <c r="C31" t="s">
        <v>4062</v>
      </c>
      <c r="D31" t="s">
        <v>73</v>
      </c>
    </row>
    <row r="32" spans="2:4" x14ac:dyDescent="0.25">
      <c r="B32">
        <v>29</v>
      </c>
      <c r="C32" t="s">
        <v>4063</v>
      </c>
      <c r="D32" t="s">
        <v>267</v>
      </c>
    </row>
    <row r="33" spans="2:4" x14ac:dyDescent="0.25">
      <c r="B33">
        <v>30</v>
      </c>
      <c r="C33" t="s">
        <v>1630</v>
      </c>
      <c r="D33" t="s">
        <v>4064</v>
      </c>
    </row>
    <row r="34" spans="2:4" x14ac:dyDescent="0.25">
      <c r="B34">
        <v>31</v>
      </c>
      <c r="C34" t="s">
        <v>4065</v>
      </c>
      <c r="D34" t="s">
        <v>91</v>
      </c>
    </row>
    <row r="35" spans="2:4" x14ac:dyDescent="0.25">
      <c r="B35">
        <v>32</v>
      </c>
      <c r="C35" t="s">
        <v>1405</v>
      </c>
      <c r="D35" t="s">
        <v>91</v>
      </c>
    </row>
    <row r="36" spans="2:4" x14ac:dyDescent="0.25">
      <c r="B36">
        <v>33</v>
      </c>
      <c r="C36" t="s">
        <v>4066</v>
      </c>
      <c r="D36" t="s">
        <v>73</v>
      </c>
    </row>
    <row r="37" spans="2:4" x14ac:dyDescent="0.25">
      <c r="B37">
        <v>34</v>
      </c>
      <c r="C37" t="s">
        <v>4067</v>
      </c>
      <c r="D37" t="s">
        <v>73</v>
      </c>
    </row>
    <row r="38" spans="2:4" x14ac:dyDescent="0.25">
      <c r="B38">
        <v>35</v>
      </c>
      <c r="C38" t="s">
        <v>4068</v>
      </c>
      <c r="D38" t="s">
        <v>73</v>
      </c>
    </row>
    <row r="39" spans="2:4" x14ac:dyDescent="0.25">
      <c r="B39">
        <v>36</v>
      </c>
      <c r="C39" t="s">
        <v>4069</v>
      </c>
      <c r="D39" t="s">
        <v>73</v>
      </c>
    </row>
    <row r="40" spans="2:4" x14ac:dyDescent="0.25">
      <c r="B40">
        <v>37</v>
      </c>
      <c r="C40" t="s">
        <v>2213</v>
      </c>
      <c r="D40" t="s">
        <v>73</v>
      </c>
    </row>
    <row r="41" spans="2:4" x14ac:dyDescent="0.25">
      <c r="B41">
        <v>38</v>
      </c>
      <c r="C41" t="s">
        <v>4070</v>
      </c>
      <c r="D41" t="s">
        <v>73</v>
      </c>
    </row>
    <row r="42" spans="2:4" x14ac:dyDescent="0.25">
      <c r="B42">
        <v>39</v>
      </c>
      <c r="C42" t="s">
        <v>4071</v>
      </c>
      <c r="D42" t="s">
        <v>267</v>
      </c>
    </row>
    <row r="43" spans="2:4" x14ac:dyDescent="0.25">
      <c r="B43">
        <v>40</v>
      </c>
      <c r="C43" t="s">
        <v>4072</v>
      </c>
      <c r="D43" t="s">
        <v>73</v>
      </c>
    </row>
    <row r="44" spans="2:4" x14ac:dyDescent="0.25">
      <c r="B44">
        <v>41</v>
      </c>
      <c r="C44" t="s">
        <v>2762</v>
      </c>
      <c r="D44" t="s">
        <v>267</v>
      </c>
    </row>
    <row r="45" spans="2:4" x14ac:dyDescent="0.25">
      <c r="B45">
        <v>42</v>
      </c>
      <c r="C45" t="s">
        <v>173</v>
      </c>
      <c r="D45" t="s">
        <v>73</v>
      </c>
    </row>
    <row r="46" spans="2:4" x14ac:dyDescent="0.25">
      <c r="B46">
        <v>43</v>
      </c>
      <c r="C46" t="s">
        <v>2196</v>
      </c>
      <c r="D46" t="s">
        <v>73</v>
      </c>
    </row>
    <row r="47" spans="2:4" x14ac:dyDescent="0.25">
      <c r="B47">
        <v>44</v>
      </c>
      <c r="C47" t="s">
        <v>2199</v>
      </c>
      <c r="D47" t="s">
        <v>73</v>
      </c>
    </row>
    <row r="48" spans="2:4" x14ac:dyDescent="0.25">
      <c r="B48">
        <v>45</v>
      </c>
      <c r="C48" t="s">
        <v>4073</v>
      </c>
      <c r="D48" t="s">
        <v>73</v>
      </c>
    </row>
    <row r="49" spans="2:4" x14ac:dyDescent="0.25">
      <c r="B49">
        <v>46</v>
      </c>
      <c r="C49" t="s">
        <v>4074</v>
      </c>
      <c r="D49" t="s">
        <v>73</v>
      </c>
    </row>
    <row r="50" spans="2:4" x14ac:dyDescent="0.25">
      <c r="B50">
        <v>47</v>
      </c>
      <c r="C50" t="s">
        <v>4075</v>
      </c>
      <c r="D50" t="s">
        <v>267</v>
      </c>
    </row>
    <row r="51" spans="2:4" x14ac:dyDescent="0.25">
      <c r="B51">
        <v>48</v>
      </c>
      <c r="C51" t="s">
        <v>4076</v>
      </c>
      <c r="D51" t="s">
        <v>73</v>
      </c>
    </row>
    <row r="52" spans="2:4" x14ac:dyDescent="0.25">
      <c r="B52">
        <v>49</v>
      </c>
      <c r="C52" t="s">
        <v>4077</v>
      </c>
      <c r="D52" t="s">
        <v>267</v>
      </c>
    </row>
    <row r="53" spans="2:4" x14ac:dyDescent="0.25">
      <c r="B53">
        <v>50</v>
      </c>
      <c r="C53" t="s">
        <v>4078</v>
      </c>
      <c r="D53" t="s">
        <v>267</v>
      </c>
    </row>
    <row r="54" spans="2:4" x14ac:dyDescent="0.25">
      <c r="B54">
        <v>51</v>
      </c>
      <c r="C54" t="s">
        <v>4079</v>
      </c>
      <c r="D54" t="s">
        <v>189</v>
      </c>
    </row>
    <row r="55" spans="2:4" x14ac:dyDescent="0.25">
      <c r="B55">
        <v>52</v>
      </c>
      <c r="C55" t="s">
        <v>4080</v>
      </c>
      <c r="D55" t="s">
        <v>120</v>
      </c>
    </row>
    <row r="56" spans="2:4" x14ac:dyDescent="0.25">
      <c r="B56">
        <v>53</v>
      </c>
      <c r="C56" t="s">
        <v>4081</v>
      </c>
      <c r="D56" t="s">
        <v>73</v>
      </c>
    </row>
    <row r="57" spans="2:4" x14ac:dyDescent="0.25">
      <c r="B57">
        <v>54</v>
      </c>
      <c r="C57" t="s">
        <v>4082</v>
      </c>
      <c r="D57" t="s">
        <v>73</v>
      </c>
    </row>
    <row r="58" spans="2:4" x14ac:dyDescent="0.25">
      <c r="B58">
        <v>55</v>
      </c>
      <c r="C58" t="s">
        <v>4083</v>
      </c>
      <c r="D58" t="s">
        <v>120</v>
      </c>
    </row>
    <row r="59" spans="2:4" x14ac:dyDescent="0.25">
      <c r="B59">
        <v>56</v>
      </c>
      <c r="C59" t="s">
        <v>4084</v>
      </c>
      <c r="D59" t="s">
        <v>73</v>
      </c>
    </row>
    <row r="60" spans="2:4" x14ac:dyDescent="0.25">
      <c r="B60">
        <v>57</v>
      </c>
      <c r="C60" t="s">
        <v>4085</v>
      </c>
      <c r="D60" t="s">
        <v>267</v>
      </c>
    </row>
    <row r="61" spans="2:4" x14ac:dyDescent="0.25">
      <c r="B61">
        <v>58</v>
      </c>
      <c r="C61" t="s">
        <v>4086</v>
      </c>
      <c r="D61" t="s">
        <v>73</v>
      </c>
    </row>
    <row r="62" spans="2:4" x14ac:dyDescent="0.25">
      <c r="B62">
        <v>59</v>
      </c>
      <c r="C62" t="s">
        <v>4087</v>
      </c>
      <c r="D62" t="s">
        <v>73</v>
      </c>
    </row>
    <row r="63" spans="2:4" x14ac:dyDescent="0.25">
      <c r="B63">
        <v>60</v>
      </c>
      <c r="C63" t="s">
        <v>4088</v>
      </c>
      <c r="D63" t="s">
        <v>73</v>
      </c>
    </row>
    <row r="64" spans="2:4" x14ac:dyDescent="0.25">
      <c r="B64">
        <v>61</v>
      </c>
      <c r="C64" t="s">
        <v>4089</v>
      </c>
      <c r="D64" t="s">
        <v>73</v>
      </c>
    </row>
    <row r="65" spans="2:4" x14ac:dyDescent="0.25">
      <c r="B65">
        <v>62</v>
      </c>
      <c r="C65" t="s">
        <v>867</v>
      </c>
      <c r="D65" t="s">
        <v>73</v>
      </c>
    </row>
    <row r="66" spans="2:4" x14ac:dyDescent="0.25">
      <c r="B66">
        <v>63</v>
      </c>
      <c r="C66" t="s">
        <v>4090</v>
      </c>
      <c r="D66" t="s">
        <v>195</v>
      </c>
    </row>
    <row r="67" spans="2:4" x14ac:dyDescent="0.25">
      <c r="B67">
        <v>64</v>
      </c>
      <c r="C67" t="s">
        <v>4091</v>
      </c>
      <c r="D67" t="s">
        <v>73</v>
      </c>
    </row>
    <row r="68" spans="2:4" x14ac:dyDescent="0.25">
      <c r="B68">
        <v>65</v>
      </c>
      <c r="C68" t="s">
        <v>4092</v>
      </c>
      <c r="D68" t="s">
        <v>73</v>
      </c>
    </row>
    <row r="69" spans="2:4" x14ac:dyDescent="0.25">
      <c r="B69">
        <v>66</v>
      </c>
      <c r="C69" t="s">
        <v>4093</v>
      </c>
      <c r="D69" t="s">
        <v>73</v>
      </c>
    </row>
    <row r="70" spans="2:4" x14ac:dyDescent="0.25">
      <c r="B70">
        <v>67</v>
      </c>
      <c r="C70" t="s">
        <v>4094</v>
      </c>
      <c r="D70" t="s">
        <v>73</v>
      </c>
    </row>
    <row r="71" spans="2:4" x14ac:dyDescent="0.25">
      <c r="B71">
        <v>68</v>
      </c>
      <c r="C71" t="s">
        <v>2510</v>
      </c>
      <c r="D71" t="s">
        <v>73</v>
      </c>
    </row>
    <row r="72" spans="2:4" x14ac:dyDescent="0.25">
      <c r="B72">
        <v>69</v>
      </c>
      <c r="C72" t="s">
        <v>4095</v>
      </c>
      <c r="D72" t="s">
        <v>73</v>
      </c>
    </row>
    <row r="73" spans="2:4" x14ac:dyDescent="0.25">
      <c r="B73">
        <v>70</v>
      </c>
      <c r="C73" t="s">
        <v>2226</v>
      </c>
      <c r="D73" t="s">
        <v>189</v>
      </c>
    </row>
    <row r="74" spans="2:4" x14ac:dyDescent="0.25">
      <c r="B74">
        <v>71</v>
      </c>
      <c r="C74" t="s">
        <v>254</v>
      </c>
      <c r="D74" t="s">
        <v>256</v>
      </c>
    </row>
    <row r="75" spans="2:4" x14ac:dyDescent="0.25">
      <c r="B75">
        <v>72</v>
      </c>
      <c r="C75" t="s">
        <v>4096</v>
      </c>
      <c r="D75" t="s">
        <v>73</v>
      </c>
    </row>
    <row r="76" spans="2:4" x14ac:dyDescent="0.25">
      <c r="B76">
        <v>73</v>
      </c>
      <c r="C76" t="s">
        <v>4097</v>
      </c>
      <c r="D76" t="s">
        <v>130</v>
      </c>
    </row>
    <row r="77" spans="2:4" x14ac:dyDescent="0.25">
      <c r="B77">
        <v>74</v>
      </c>
      <c r="C77" t="s">
        <v>4098</v>
      </c>
      <c r="D77" t="s">
        <v>73</v>
      </c>
    </row>
    <row r="78" spans="2:4" x14ac:dyDescent="0.25">
      <c r="B78">
        <v>75</v>
      </c>
      <c r="C78" t="s">
        <v>1052</v>
      </c>
      <c r="D78" t="s">
        <v>91</v>
      </c>
    </row>
    <row r="79" spans="2:4" x14ac:dyDescent="0.25">
      <c r="B79">
        <v>76</v>
      </c>
      <c r="C79" t="s">
        <v>2231</v>
      </c>
      <c r="D79" t="s">
        <v>73</v>
      </c>
    </row>
    <row r="80" spans="2:4" x14ac:dyDescent="0.25">
      <c r="B80">
        <v>77</v>
      </c>
      <c r="C80" t="s">
        <v>4099</v>
      </c>
      <c r="D80" t="s">
        <v>73</v>
      </c>
    </row>
    <row r="81" spans="2:4" x14ac:dyDescent="0.25">
      <c r="B81">
        <v>78</v>
      </c>
      <c r="C81" t="s">
        <v>4100</v>
      </c>
      <c r="D81" t="s">
        <v>267</v>
      </c>
    </row>
    <row r="82" spans="2:4" x14ac:dyDescent="0.25">
      <c r="B82">
        <v>79</v>
      </c>
      <c r="C82" t="s">
        <v>4101</v>
      </c>
      <c r="D82" t="s">
        <v>73</v>
      </c>
    </row>
    <row r="83" spans="2:4" x14ac:dyDescent="0.25">
      <c r="B83">
        <v>80</v>
      </c>
      <c r="C83" t="s">
        <v>2558</v>
      </c>
      <c r="D83" t="s">
        <v>195</v>
      </c>
    </row>
    <row r="84" spans="2:4" x14ac:dyDescent="0.25">
      <c r="B84">
        <v>81</v>
      </c>
      <c r="C84" t="s">
        <v>4102</v>
      </c>
      <c r="D84" t="s">
        <v>73</v>
      </c>
    </row>
    <row r="85" spans="2:4" x14ac:dyDescent="0.25">
      <c r="B85">
        <v>82</v>
      </c>
      <c r="C85" t="s">
        <v>4103</v>
      </c>
      <c r="D85" t="s">
        <v>195</v>
      </c>
    </row>
    <row r="86" spans="2:4" x14ac:dyDescent="0.25">
      <c r="B86">
        <v>83</v>
      </c>
      <c r="C86" t="s">
        <v>4104</v>
      </c>
      <c r="D86" t="s">
        <v>267</v>
      </c>
    </row>
    <row r="87" spans="2:4" x14ac:dyDescent="0.25">
      <c r="B87">
        <v>84</v>
      </c>
      <c r="C87" t="s">
        <v>4105</v>
      </c>
      <c r="D87" t="s">
        <v>73</v>
      </c>
    </row>
    <row r="88" spans="2:4" x14ac:dyDescent="0.25">
      <c r="B88">
        <v>85</v>
      </c>
      <c r="C88" t="s">
        <v>4106</v>
      </c>
      <c r="D88" t="s">
        <v>120</v>
      </c>
    </row>
    <row r="89" spans="2:4" x14ac:dyDescent="0.25">
      <c r="B89">
        <v>86</v>
      </c>
      <c r="C89" t="s">
        <v>4107</v>
      </c>
      <c r="D89" t="s">
        <v>195</v>
      </c>
    </row>
    <row r="90" spans="2:4" x14ac:dyDescent="0.25">
      <c r="B90">
        <v>87</v>
      </c>
      <c r="C90" t="s">
        <v>4108</v>
      </c>
      <c r="D90" t="s">
        <v>73</v>
      </c>
    </row>
    <row r="91" spans="2:4" x14ac:dyDescent="0.25">
      <c r="B91">
        <v>88</v>
      </c>
      <c r="C91" t="s">
        <v>4109</v>
      </c>
      <c r="D91" t="s">
        <v>73</v>
      </c>
    </row>
    <row r="92" spans="2:4" x14ac:dyDescent="0.25">
      <c r="B92">
        <v>89</v>
      </c>
      <c r="C92" t="s">
        <v>4110</v>
      </c>
      <c r="D92" t="s">
        <v>73</v>
      </c>
    </row>
    <row r="93" spans="2:4" x14ac:dyDescent="0.25">
      <c r="B93">
        <v>90</v>
      </c>
      <c r="C93" t="s">
        <v>4111</v>
      </c>
      <c r="D93" t="s">
        <v>267</v>
      </c>
    </row>
    <row r="94" spans="2:4" x14ac:dyDescent="0.25">
      <c r="B94">
        <v>91</v>
      </c>
      <c r="C94" t="s">
        <v>4112</v>
      </c>
      <c r="D94" t="s">
        <v>73</v>
      </c>
    </row>
    <row r="95" spans="2:4" x14ac:dyDescent="0.25">
      <c r="B95">
        <v>92</v>
      </c>
      <c r="C95" t="s">
        <v>4113</v>
      </c>
      <c r="D95" t="s">
        <v>73</v>
      </c>
    </row>
    <row r="96" spans="2:4" x14ac:dyDescent="0.25">
      <c r="B96">
        <v>93</v>
      </c>
      <c r="C96" t="s">
        <v>2266</v>
      </c>
      <c r="D96" t="s">
        <v>73</v>
      </c>
    </row>
    <row r="97" spans="2:4" x14ac:dyDescent="0.25">
      <c r="B97">
        <v>94</v>
      </c>
      <c r="C97" t="s">
        <v>4114</v>
      </c>
      <c r="D97" t="s">
        <v>73</v>
      </c>
    </row>
    <row r="98" spans="2:4" x14ac:dyDescent="0.25">
      <c r="B98">
        <v>95</v>
      </c>
      <c r="C98" t="s">
        <v>4115</v>
      </c>
      <c r="D98" t="s">
        <v>120</v>
      </c>
    </row>
    <row r="99" spans="2:4" x14ac:dyDescent="0.25">
      <c r="B99">
        <v>96</v>
      </c>
      <c r="C99" t="s">
        <v>4116</v>
      </c>
      <c r="D99" t="s">
        <v>195</v>
      </c>
    </row>
    <row r="100" spans="2:4" x14ac:dyDescent="0.25">
      <c r="B100">
        <v>97</v>
      </c>
      <c r="C100" t="s">
        <v>4117</v>
      </c>
      <c r="D100" t="s">
        <v>267</v>
      </c>
    </row>
    <row r="101" spans="2:4" x14ac:dyDescent="0.25">
      <c r="B101">
        <v>98</v>
      </c>
      <c r="C101" t="s">
        <v>4118</v>
      </c>
      <c r="D101" t="s">
        <v>130</v>
      </c>
    </row>
    <row r="102" spans="2:4" x14ac:dyDescent="0.25">
      <c r="B102">
        <v>99</v>
      </c>
      <c r="C102" t="s">
        <v>4119</v>
      </c>
      <c r="D102" t="s">
        <v>130</v>
      </c>
    </row>
    <row r="103" spans="2:4" x14ac:dyDescent="0.25">
      <c r="B103">
        <v>100</v>
      </c>
      <c r="C103" t="s">
        <v>4120</v>
      </c>
      <c r="D103" t="s">
        <v>73</v>
      </c>
    </row>
    <row r="104" spans="2:4" x14ac:dyDescent="0.25">
      <c r="B104">
        <v>101</v>
      </c>
      <c r="C104" t="s">
        <v>4121</v>
      </c>
      <c r="D104" t="s">
        <v>73</v>
      </c>
    </row>
    <row r="105" spans="2:4" x14ac:dyDescent="0.25">
      <c r="B105">
        <v>102</v>
      </c>
      <c r="C105" t="s">
        <v>4122</v>
      </c>
      <c r="D105" t="s">
        <v>73</v>
      </c>
    </row>
    <row r="106" spans="2:4" x14ac:dyDescent="0.25">
      <c r="B106">
        <v>103</v>
      </c>
      <c r="C106" t="s">
        <v>4123</v>
      </c>
      <c r="D106" t="s">
        <v>73</v>
      </c>
    </row>
    <row r="107" spans="2:4" x14ac:dyDescent="0.25">
      <c r="B107">
        <v>104</v>
      </c>
      <c r="C107" t="s">
        <v>2331</v>
      </c>
      <c r="D107" t="s">
        <v>120</v>
      </c>
    </row>
    <row r="108" spans="2:4" x14ac:dyDescent="0.25">
      <c r="B108">
        <v>105</v>
      </c>
      <c r="C108" t="s">
        <v>2681</v>
      </c>
      <c r="D108" t="s">
        <v>189</v>
      </c>
    </row>
    <row r="109" spans="2:4" x14ac:dyDescent="0.25">
      <c r="B109">
        <v>106</v>
      </c>
      <c r="C109" t="s">
        <v>4124</v>
      </c>
      <c r="D109" t="s">
        <v>73</v>
      </c>
    </row>
    <row r="110" spans="2:4" x14ac:dyDescent="0.25">
      <c r="B110">
        <v>107</v>
      </c>
      <c r="C110" t="s">
        <v>4125</v>
      </c>
      <c r="D110" t="s">
        <v>73</v>
      </c>
    </row>
    <row r="111" spans="2:4" x14ac:dyDescent="0.25">
      <c r="B111">
        <v>108</v>
      </c>
      <c r="C111" t="s">
        <v>4126</v>
      </c>
      <c r="D111" t="s">
        <v>73</v>
      </c>
    </row>
    <row r="112" spans="2:4" x14ac:dyDescent="0.25">
      <c r="B112">
        <v>109</v>
      </c>
      <c r="C112" t="s">
        <v>4127</v>
      </c>
      <c r="D112" t="s">
        <v>267</v>
      </c>
    </row>
    <row r="113" spans="2:4" x14ac:dyDescent="0.25">
      <c r="B113">
        <v>110</v>
      </c>
      <c r="C113" t="s">
        <v>4128</v>
      </c>
      <c r="D113" t="s">
        <v>73</v>
      </c>
    </row>
    <row r="114" spans="2:4" x14ac:dyDescent="0.25">
      <c r="B114">
        <v>111</v>
      </c>
      <c r="C114" t="s">
        <v>2273</v>
      </c>
      <c r="D114" t="s">
        <v>73</v>
      </c>
    </row>
    <row r="115" spans="2:4" x14ac:dyDescent="0.25">
      <c r="B115">
        <v>112</v>
      </c>
      <c r="C115" t="s">
        <v>2321</v>
      </c>
      <c r="D115" t="s">
        <v>73</v>
      </c>
    </row>
    <row r="116" spans="2:4" x14ac:dyDescent="0.25">
      <c r="B116">
        <v>113</v>
      </c>
      <c r="C116" t="s">
        <v>2268</v>
      </c>
      <c r="D116" t="s">
        <v>73</v>
      </c>
    </row>
    <row r="117" spans="2:4" x14ac:dyDescent="0.25">
      <c r="B117">
        <v>114</v>
      </c>
      <c r="C117" t="s">
        <v>4129</v>
      </c>
      <c r="D117" t="s">
        <v>73</v>
      </c>
    </row>
    <row r="118" spans="2:4" x14ac:dyDescent="0.25">
      <c r="B118">
        <v>115</v>
      </c>
      <c r="C118" t="s">
        <v>4130</v>
      </c>
      <c r="D118" t="s">
        <v>73</v>
      </c>
    </row>
    <row r="119" spans="2:4" x14ac:dyDescent="0.25">
      <c r="B119">
        <v>116</v>
      </c>
      <c r="C119" t="s">
        <v>4131</v>
      </c>
      <c r="D119" t="s">
        <v>73</v>
      </c>
    </row>
    <row r="120" spans="2:4" x14ac:dyDescent="0.25">
      <c r="B120">
        <v>117</v>
      </c>
      <c r="C120" t="s">
        <v>4132</v>
      </c>
      <c r="D120" t="s">
        <v>73</v>
      </c>
    </row>
    <row r="121" spans="2:4" x14ac:dyDescent="0.25">
      <c r="B121">
        <v>118</v>
      </c>
      <c r="C121" t="s">
        <v>4133</v>
      </c>
      <c r="D121" t="s">
        <v>73</v>
      </c>
    </row>
    <row r="122" spans="2:4" x14ac:dyDescent="0.25">
      <c r="B122">
        <v>119</v>
      </c>
      <c r="C122" t="s">
        <v>4134</v>
      </c>
      <c r="D122" t="s">
        <v>73</v>
      </c>
    </row>
    <row r="123" spans="2:4" x14ac:dyDescent="0.25">
      <c r="B123">
        <v>120</v>
      </c>
      <c r="C123" t="s">
        <v>4135</v>
      </c>
      <c r="D123" t="s">
        <v>130</v>
      </c>
    </row>
    <row r="124" spans="2:4" x14ac:dyDescent="0.25">
      <c r="B124">
        <v>121</v>
      </c>
      <c r="C124" t="s">
        <v>4136</v>
      </c>
      <c r="D124" t="s">
        <v>91</v>
      </c>
    </row>
    <row r="125" spans="2:4" x14ac:dyDescent="0.25">
      <c r="B125">
        <v>122</v>
      </c>
      <c r="C125" t="s">
        <v>4137</v>
      </c>
      <c r="D125" t="s">
        <v>120</v>
      </c>
    </row>
    <row r="126" spans="2:4" x14ac:dyDescent="0.25">
      <c r="B126">
        <v>123</v>
      </c>
      <c r="C126" t="s">
        <v>4138</v>
      </c>
      <c r="D126" t="s">
        <v>73</v>
      </c>
    </row>
    <row r="127" spans="2:4" x14ac:dyDescent="0.25">
      <c r="B127">
        <v>124</v>
      </c>
      <c r="C127" t="s">
        <v>2334</v>
      </c>
      <c r="D127" t="s">
        <v>73</v>
      </c>
    </row>
    <row r="128" spans="2:4" x14ac:dyDescent="0.25">
      <c r="B128">
        <v>125</v>
      </c>
      <c r="C128" t="s">
        <v>4139</v>
      </c>
      <c r="D128" t="s">
        <v>73</v>
      </c>
    </row>
    <row r="129" spans="2:4" x14ac:dyDescent="0.25">
      <c r="B129">
        <v>126</v>
      </c>
      <c r="C129" t="s">
        <v>4140</v>
      </c>
      <c r="D129" t="s">
        <v>73</v>
      </c>
    </row>
    <row r="130" spans="2:4" x14ac:dyDescent="0.25">
      <c r="B130">
        <v>127</v>
      </c>
      <c r="C130" t="s">
        <v>4141</v>
      </c>
      <c r="D130" t="s">
        <v>73</v>
      </c>
    </row>
    <row r="131" spans="2:4" x14ac:dyDescent="0.25">
      <c r="B131">
        <v>128</v>
      </c>
      <c r="C131" t="s">
        <v>4142</v>
      </c>
      <c r="D131" t="s">
        <v>290</v>
      </c>
    </row>
    <row r="132" spans="2:4" x14ac:dyDescent="0.25">
      <c r="B132">
        <v>129</v>
      </c>
      <c r="C132" t="s">
        <v>4143</v>
      </c>
      <c r="D132" t="s">
        <v>73</v>
      </c>
    </row>
    <row r="133" spans="2:4" x14ac:dyDescent="0.25">
      <c r="B133">
        <v>130</v>
      </c>
      <c r="C133" t="s">
        <v>4144</v>
      </c>
      <c r="D133" t="s">
        <v>73</v>
      </c>
    </row>
    <row r="134" spans="2:4" x14ac:dyDescent="0.25">
      <c r="B134">
        <v>131</v>
      </c>
      <c r="C134" t="s">
        <v>288</v>
      </c>
      <c r="D134" t="s">
        <v>290</v>
      </c>
    </row>
    <row r="135" spans="2:4" x14ac:dyDescent="0.25">
      <c r="B135">
        <v>132</v>
      </c>
      <c r="C135" t="s">
        <v>4145</v>
      </c>
      <c r="D135" t="s">
        <v>195</v>
      </c>
    </row>
    <row r="136" spans="2:4" x14ac:dyDescent="0.25">
      <c r="B136">
        <v>133</v>
      </c>
      <c r="C136" t="s">
        <v>4146</v>
      </c>
      <c r="D136" t="s">
        <v>267</v>
      </c>
    </row>
    <row r="137" spans="2:4" x14ac:dyDescent="0.25">
      <c r="B137">
        <v>134</v>
      </c>
      <c r="C137" t="s">
        <v>280</v>
      </c>
      <c r="D137" t="s">
        <v>73</v>
      </c>
    </row>
    <row r="138" spans="2:4" x14ac:dyDescent="0.25">
      <c r="B138">
        <v>135</v>
      </c>
      <c r="C138" t="s">
        <v>4147</v>
      </c>
      <c r="D138" t="s">
        <v>73</v>
      </c>
    </row>
    <row r="139" spans="2:4" x14ac:dyDescent="0.25">
      <c r="B139">
        <v>136</v>
      </c>
      <c r="C139" t="s">
        <v>353</v>
      </c>
      <c r="D139" t="s">
        <v>73</v>
      </c>
    </row>
    <row r="140" spans="2:4" x14ac:dyDescent="0.25">
      <c r="B140">
        <v>137</v>
      </c>
      <c r="C140" t="s">
        <v>2555</v>
      </c>
      <c r="D140" t="s">
        <v>120</v>
      </c>
    </row>
    <row r="141" spans="2:4" x14ac:dyDescent="0.25">
      <c r="B141">
        <v>138</v>
      </c>
      <c r="C141" t="s">
        <v>4148</v>
      </c>
      <c r="D141" t="s">
        <v>73</v>
      </c>
    </row>
    <row r="142" spans="2:4" x14ac:dyDescent="0.25">
      <c r="B142">
        <v>139</v>
      </c>
      <c r="C142" t="s">
        <v>2610</v>
      </c>
      <c r="D142" t="s">
        <v>91</v>
      </c>
    </row>
    <row r="143" spans="2:4" x14ac:dyDescent="0.25">
      <c r="B143">
        <v>140</v>
      </c>
      <c r="C143" t="s">
        <v>4149</v>
      </c>
      <c r="D143" t="s">
        <v>91</v>
      </c>
    </row>
    <row r="144" spans="2:4" x14ac:dyDescent="0.25">
      <c r="B144">
        <v>141</v>
      </c>
      <c r="C144" t="s">
        <v>2675</v>
      </c>
      <c r="D144" t="s">
        <v>73</v>
      </c>
    </row>
    <row r="145" spans="2:4" x14ac:dyDescent="0.25">
      <c r="B145">
        <v>142</v>
      </c>
      <c r="C145" t="s">
        <v>4150</v>
      </c>
      <c r="D145" t="s">
        <v>73</v>
      </c>
    </row>
    <row r="146" spans="2:4" x14ac:dyDescent="0.25">
      <c r="B146">
        <v>143</v>
      </c>
      <c r="C146" t="s">
        <v>2995</v>
      </c>
      <c r="D146" t="s">
        <v>189</v>
      </c>
    </row>
    <row r="147" spans="2:4" x14ac:dyDescent="0.25">
      <c r="B147">
        <v>144</v>
      </c>
      <c r="C147" t="s">
        <v>4151</v>
      </c>
      <c r="D147" t="s">
        <v>73</v>
      </c>
    </row>
    <row r="148" spans="2:4" x14ac:dyDescent="0.25">
      <c r="B148">
        <v>145</v>
      </c>
      <c r="C148" t="s">
        <v>2378</v>
      </c>
      <c r="D148" t="s">
        <v>73</v>
      </c>
    </row>
    <row r="149" spans="2:4" x14ac:dyDescent="0.25">
      <c r="B149">
        <v>146</v>
      </c>
      <c r="C149" t="s">
        <v>2375</v>
      </c>
      <c r="D149" t="s">
        <v>73</v>
      </c>
    </row>
    <row r="150" spans="2:4" x14ac:dyDescent="0.25">
      <c r="B150">
        <v>147</v>
      </c>
      <c r="C150" t="s">
        <v>4152</v>
      </c>
      <c r="D150" t="s">
        <v>73</v>
      </c>
    </row>
    <row r="151" spans="2:4" x14ac:dyDescent="0.25">
      <c r="B151">
        <v>148</v>
      </c>
      <c r="C151" t="s">
        <v>4153</v>
      </c>
      <c r="D151" t="s">
        <v>120</v>
      </c>
    </row>
    <row r="152" spans="2:4" x14ac:dyDescent="0.25">
      <c r="B152">
        <v>149</v>
      </c>
      <c r="C152" t="s">
        <v>4154</v>
      </c>
      <c r="D152" t="s">
        <v>256</v>
      </c>
    </row>
    <row r="153" spans="2:4" x14ac:dyDescent="0.25">
      <c r="B153">
        <v>150</v>
      </c>
      <c r="C153" t="s">
        <v>4155</v>
      </c>
      <c r="D153" t="s">
        <v>195</v>
      </c>
    </row>
    <row r="154" spans="2:4" x14ac:dyDescent="0.25">
      <c r="B154">
        <v>151</v>
      </c>
      <c r="C154" t="s">
        <v>2290</v>
      </c>
      <c r="D154" t="s">
        <v>73</v>
      </c>
    </row>
    <row r="155" spans="2:4" x14ac:dyDescent="0.25">
      <c r="B155">
        <v>152</v>
      </c>
      <c r="C155" t="s">
        <v>389</v>
      </c>
      <c r="D155" t="s">
        <v>91</v>
      </c>
    </row>
    <row r="156" spans="2:4" x14ac:dyDescent="0.25">
      <c r="B156">
        <v>153</v>
      </c>
      <c r="C156" t="s">
        <v>4156</v>
      </c>
      <c r="D156" t="s">
        <v>73</v>
      </c>
    </row>
    <row r="157" spans="2:4" x14ac:dyDescent="0.25">
      <c r="B157">
        <v>154</v>
      </c>
      <c r="C157" t="s">
        <v>4157</v>
      </c>
      <c r="D157" t="s">
        <v>73</v>
      </c>
    </row>
    <row r="158" spans="2:4" x14ac:dyDescent="0.25">
      <c r="B158">
        <v>155</v>
      </c>
      <c r="C158" t="s">
        <v>4158</v>
      </c>
      <c r="D158" t="s">
        <v>120</v>
      </c>
    </row>
    <row r="159" spans="2:4" x14ac:dyDescent="0.25">
      <c r="B159">
        <v>156</v>
      </c>
      <c r="C159" t="s">
        <v>4159</v>
      </c>
      <c r="D159" t="s">
        <v>73</v>
      </c>
    </row>
    <row r="160" spans="2:4" x14ac:dyDescent="0.25">
      <c r="B160">
        <v>157</v>
      </c>
      <c r="C160" t="s">
        <v>4160</v>
      </c>
      <c r="D160" t="s">
        <v>73</v>
      </c>
    </row>
    <row r="161" spans="2:4" x14ac:dyDescent="0.25">
      <c r="B161">
        <v>158</v>
      </c>
      <c r="C161" t="s">
        <v>4161</v>
      </c>
      <c r="D161" t="s">
        <v>290</v>
      </c>
    </row>
    <row r="162" spans="2:4" x14ac:dyDescent="0.25">
      <c r="B162">
        <v>159</v>
      </c>
      <c r="C162" t="s">
        <v>2508</v>
      </c>
      <c r="D162" t="s">
        <v>120</v>
      </c>
    </row>
    <row r="163" spans="2:4" x14ac:dyDescent="0.25">
      <c r="B163">
        <v>160</v>
      </c>
      <c r="C163" t="s">
        <v>4162</v>
      </c>
      <c r="D163" t="s">
        <v>73</v>
      </c>
    </row>
    <row r="164" spans="2:4" x14ac:dyDescent="0.25">
      <c r="B164">
        <v>161</v>
      </c>
      <c r="C164" t="s">
        <v>2492</v>
      </c>
      <c r="D164" t="s">
        <v>189</v>
      </c>
    </row>
    <row r="165" spans="2:4" x14ac:dyDescent="0.25">
      <c r="B165">
        <v>162</v>
      </c>
      <c r="C165" t="s">
        <v>4163</v>
      </c>
      <c r="D165" t="s">
        <v>73</v>
      </c>
    </row>
    <row r="166" spans="2:4" x14ac:dyDescent="0.25">
      <c r="B166">
        <v>163</v>
      </c>
      <c r="C166" t="s">
        <v>3958</v>
      </c>
      <c r="D166" t="s">
        <v>73</v>
      </c>
    </row>
    <row r="167" spans="2:4" x14ac:dyDescent="0.25">
      <c r="B167">
        <v>164</v>
      </c>
      <c r="C167" t="s">
        <v>2819</v>
      </c>
      <c r="D167" t="s">
        <v>73</v>
      </c>
    </row>
    <row r="168" spans="2:4" x14ac:dyDescent="0.25">
      <c r="B168">
        <v>165</v>
      </c>
      <c r="C168" t="s">
        <v>4164</v>
      </c>
      <c r="D168" t="s">
        <v>73</v>
      </c>
    </row>
    <row r="169" spans="2:4" x14ac:dyDescent="0.25">
      <c r="B169">
        <v>166</v>
      </c>
      <c r="C169" t="s">
        <v>4165</v>
      </c>
      <c r="D169" t="s">
        <v>73</v>
      </c>
    </row>
    <row r="170" spans="2:4" x14ac:dyDescent="0.25">
      <c r="B170">
        <v>167</v>
      </c>
      <c r="C170" t="s">
        <v>4166</v>
      </c>
      <c r="D170" t="s">
        <v>290</v>
      </c>
    </row>
    <row r="171" spans="2:4" x14ac:dyDescent="0.25">
      <c r="B171">
        <v>168</v>
      </c>
      <c r="C171" t="s">
        <v>4167</v>
      </c>
      <c r="D171" t="s">
        <v>73</v>
      </c>
    </row>
    <row r="172" spans="2:4" x14ac:dyDescent="0.25">
      <c r="B172">
        <v>169</v>
      </c>
      <c r="C172" t="s">
        <v>2565</v>
      </c>
      <c r="D172" t="s">
        <v>73</v>
      </c>
    </row>
    <row r="173" spans="2:4" x14ac:dyDescent="0.25">
      <c r="B173">
        <v>170</v>
      </c>
      <c r="C173" t="s">
        <v>4168</v>
      </c>
      <c r="D173" t="s">
        <v>195</v>
      </c>
    </row>
    <row r="174" spans="2:4" x14ac:dyDescent="0.25">
      <c r="B174">
        <v>171</v>
      </c>
      <c r="C174" t="s">
        <v>4169</v>
      </c>
      <c r="D174" t="s">
        <v>73</v>
      </c>
    </row>
    <row r="175" spans="2:4" x14ac:dyDescent="0.25">
      <c r="B175">
        <v>172</v>
      </c>
      <c r="C175" t="s">
        <v>4170</v>
      </c>
      <c r="D175" t="s">
        <v>73</v>
      </c>
    </row>
    <row r="176" spans="2:4" x14ac:dyDescent="0.25">
      <c r="B176">
        <v>173</v>
      </c>
      <c r="C176" t="s">
        <v>2563</v>
      </c>
      <c r="D176" t="s">
        <v>91</v>
      </c>
    </row>
    <row r="177" spans="2:4" x14ac:dyDescent="0.25">
      <c r="B177">
        <v>174</v>
      </c>
      <c r="C177" t="s">
        <v>4171</v>
      </c>
      <c r="D177" t="s">
        <v>73</v>
      </c>
    </row>
    <row r="178" spans="2:4" x14ac:dyDescent="0.25">
      <c r="B178">
        <v>175</v>
      </c>
      <c r="C178" t="s">
        <v>4172</v>
      </c>
      <c r="D178" t="s">
        <v>73</v>
      </c>
    </row>
    <row r="179" spans="2:4" x14ac:dyDescent="0.25">
      <c r="B179">
        <v>176</v>
      </c>
      <c r="C179" t="s">
        <v>97</v>
      </c>
      <c r="D179" t="s">
        <v>73</v>
      </c>
    </row>
    <row r="180" spans="2:4" x14ac:dyDescent="0.25">
      <c r="B180">
        <v>177</v>
      </c>
      <c r="C180" t="s">
        <v>4173</v>
      </c>
      <c r="D180" t="s">
        <v>73</v>
      </c>
    </row>
    <row r="181" spans="2:4" x14ac:dyDescent="0.25">
      <c r="B181">
        <v>178</v>
      </c>
      <c r="C181" t="s">
        <v>4174</v>
      </c>
      <c r="D181" t="s">
        <v>73</v>
      </c>
    </row>
    <row r="182" spans="2:4" x14ac:dyDescent="0.25">
      <c r="B182">
        <v>179</v>
      </c>
      <c r="C182" t="s">
        <v>211</v>
      </c>
      <c r="D182" t="s">
        <v>73</v>
      </c>
    </row>
    <row r="183" spans="2:4" x14ac:dyDescent="0.25">
      <c r="B183">
        <v>180</v>
      </c>
      <c r="C183" t="s">
        <v>4175</v>
      </c>
      <c r="D183" t="s">
        <v>73</v>
      </c>
    </row>
    <row r="184" spans="2:4" x14ac:dyDescent="0.25">
      <c r="B184">
        <v>181</v>
      </c>
      <c r="C184" t="s">
        <v>4176</v>
      </c>
      <c r="D184" t="s">
        <v>73</v>
      </c>
    </row>
    <row r="185" spans="2:4" x14ac:dyDescent="0.25">
      <c r="B185">
        <v>182</v>
      </c>
      <c r="C185" t="s">
        <v>4177</v>
      </c>
      <c r="D185" t="s">
        <v>73</v>
      </c>
    </row>
    <row r="186" spans="2:4" x14ac:dyDescent="0.25">
      <c r="B186">
        <v>183</v>
      </c>
      <c r="C186" t="s">
        <v>4178</v>
      </c>
      <c r="D186" t="s">
        <v>73</v>
      </c>
    </row>
    <row r="187" spans="2:4" x14ac:dyDescent="0.25">
      <c r="B187">
        <v>184</v>
      </c>
      <c r="C187" t="s">
        <v>4179</v>
      </c>
      <c r="D187" t="s">
        <v>73</v>
      </c>
    </row>
    <row r="188" spans="2:4" x14ac:dyDescent="0.25">
      <c r="B188">
        <v>185</v>
      </c>
      <c r="C188" t="s">
        <v>4180</v>
      </c>
      <c r="D188" t="s">
        <v>91</v>
      </c>
    </row>
    <row r="189" spans="2:4" x14ac:dyDescent="0.25">
      <c r="B189">
        <v>186</v>
      </c>
      <c r="C189" t="s">
        <v>4181</v>
      </c>
      <c r="D189" t="s">
        <v>73</v>
      </c>
    </row>
    <row r="190" spans="2:4" x14ac:dyDescent="0.25">
      <c r="B190">
        <v>187</v>
      </c>
      <c r="C190" t="s">
        <v>4182</v>
      </c>
      <c r="D190" t="s">
        <v>73</v>
      </c>
    </row>
    <row r="191" spans="2:4" x14ac:dyDescent="0.25">
      <c r="B191">
        <v>188</v>
      </c>
      <c r="C191" t="s">
        <v>4183</v>
      </c>
      <c r="D191" t="s">
        <v>73</v>
      </c>
    </row>
    <row r="192" spans="2:4" x14ac:dyDescent="0.25">
      <c r="B192">
        <v>189</v>
      </c>
      <c r="C192" t="s">
        <v>2583</v>
      </c>
      <c r="D192" t="s">
        <v>73</v>
      </c>
    </row>
    <row r="193" spans="2:4" x14ac:dyDescent="0.25">
      <c r="B193">
        <v>190</v>
      </c>
      <c r="C193" t="s">
        <v>4184</v>
      </c>
      <c r="D193" t="s">
        <v>73</v>
      </c>
    </row>
    <row r="194" spans="2:4" x14ac:dyDescent="0.25">
      <c r="B194">
        <v>191</v>
      </c>
      <c r="C194" t="s">
        <v>4185</v>
      </c>
      <c r="D194" t="s">
        <v>73</v>
      </c>
    </row>
    <row r="195" spans="2:4" x14ac:dyDescent="0.25">
      <c r="B195">
        <v>192</v>
      </c>
      <c r="C195" t="s">
        <v>2586</v>
      </c>
      <c r="D195" t="s">
        <v>73</v>
      </c>
    </row>
    <row r="196" spans="2:4" x14ac:dyDescent="0.25">
      <c r="B196">
        <v>193</v>
      </c>
      <c r="C196" t="s">
        <v>2594</v>
      </c>
      <c r="D196" t="s">
        <v>73</v>
      </c>
    </row>
    <row r="197" spans="2:4" x14ac:dyDescent="0.25">
      <c r="B197">
        <v>194</v>
      </c>
      <c r="C197" t="s">
        <v>4186</v>
      </c>
      <c r="D197" t="s">
        <v>183</v>
      </c>
    </row>
    <row r="198" spans="2:4" x14ac:dyDescent="0.25">
      <c r="B198">
        <v>195</v>
      </c>
      <c r="C198" t="s">
        <v>3337</v>
      </c>
      <c r="D198" t="s">
        <v>290</v>
      </c>
    </row>
    <row r="199" spans="2:4" x14ac:dyDescent="0.25">
      <c r="B199">
        <v>196</v>
      </c>
      <c r="C199" t="s">
        <v>4187</v>
      </c>
      <c r="D199" t="s">
        <v>73</v>
      </c>
    </row>
    <row r="200" spans="2:4" x14ac:dyDescent="0.25">
      <c r="B200">
        <v>197</v>
      </c>
      <c r="C200" t="s">
        <v>4188</v>
      </c>
      <c r="D200" t="s">
        <v>267</v>
      </c>
    </row>
    <row r="201" spans="2:4" x14ac:dyDescent="0.25">
      <c r="B201">
        <v>198</v>
      </c>
      <c r="C201" t="s">
        <v>4189</v>
      </c>
      <c r="D201" t="s">
        <v>73</v>
      </c>
    </row>
    <row r="202" spans="2:4" x14ac:dyDescent="0.25">
      <c r="B202">
        <v>199</v>
      </c>
      <c r="C202" t="s">
        <v>435</v>
      </c>
      <c r="D202" t="s">
        <v>91</v>
      </c>
    </row>
    <row r="203" spans="2:4" x14ac:dyDescent="0.25">
      <c r="B203">
        <v>200</v>
      </c>
      <c r="C203" t="s">
        <v>370</v>
      </c>
      <c r="D203" t="s">
        <v>73</v>
      </c>
    </row>
    <row r="204" spans="2:4" x14ac:dyDescent="0.25">
      <c r="B204">
        <v>201</v>
      </c>
      <c r="C204" t="s">
        <v>337</v>
      </c>
      <c r="D204" t="s">
        <v>73</v>
      </c>
    </row>
    <row r="205" spans="2:4" x14ac:dyDescent="0.25">
      <c r="B205">
        <v>202</v>
      </c>
      <c r="C205" t="s">
        <v>4190</v>
      </c>
      <c r="D205" t="s">
        <v>73</v>
      </c>
    </row>
    <row r="206" spans="2:4" x14ac:dyDescent="0.25">
      <c r="B206">
        <v>203</v>
      </c>
      <c r="C206" t="s">
        <v>4191</v>
      </c>
      <c r="D206" t="s">
        <v>91</v>
      </c>
    </row>
    <row r="207" spans="2:4" x14ac:dyDescent="0.25">
      <c r="B207">
        <v>204</v>
      </c>
      <c r="C207" t="s">
        <v>4192</v>
      </c>
      <c r="D207" t="s">
        <v>73</v>
      </c>
    </row>
    <row r="208" spans="2:4" x14ac:dyDescent="0.25">
      <c r="B208">
        <v>205</v>
      </c>
      <c r="C208" t="s">
        <v>4193</v>
      </c>
      <c r="D208" t="s">
        <v>73</v>
      </c>
    </row>
    <row r="209" spans="2:4" x14ac:dyDescent="0.25">
      <c r="B209">
        <v>206</v>
      </c>
      <c r="C209" t="s">
        <v>4194</v>
      </c>
      <c r="D209" t="s">
        <v>73</v>
      </c>
    </row>
    <row r="210" spans="2:4" x14ac:dyDescent="0.25">
      <c r="B210">
        <v>207</v>
      </c>
      <c r="C210" t="s">
        <v>4195</v>
      </c>
      <c r="D210" t="s">
        <v>73</v>
      </c>
    </row>
    <row r="211" spans="2:4" x14ac:dyDescent="0.25">
      <c r="B211">
        <v>208</v>
      </c>
      <c r="C211" t="s">
        <v>4196</v>
      </c>
      <c r="D211" t="s">
        <v>267</v>
      </c>
    </row>
    <row r="212" spans="2:4" x14ac:dyDescent="0.25">
      <c r="B212">
        <v>209</v>
      </c>
      <c r="C212" t="s">
        <v>4197</v>
      </c>
      <c r="D212" t="s">
        <v>4198</v>
      </c>
    </row>
    <row r="213" spans="2:4" x14ac:dyDescent="0.25">
      <c r="B213">
        <v>210</v>
      </c>
      <c r="C213" t="s">
        <v>322</v>
      </c>
      <c r="D213" t="s">
        <v>256</v>
      </c>
    </row>
    <row r="214" spans="2:4" x14ac:dyDescent="0.25">
      <c r="B214">
        <v>211</v>
      </c>
      <c r="C214" t="s">
        <v>4199</v>
      </c>
      <c r="D214" t="s">
        <v>73</v>
      </c>
    </row>
    <row r="215" spans="2:4" x14ac:dyDescent="0.25">
      <c r="B215">
        <v>212</v>
      </c>
      <c r="C215" t="s">
        <v>4200</v>
      </c>
      <c r="D215" t="s">
        <v>73</v>
      </c>
    </row>
    <row r="216" spans="2:4" x14ac:dyDescent="0.25">
      <c r="B216">
        <v>213</v>
      </c>
      <c r="C216" t="s">
        <v>2815</v>
      </c>
      <c r="D216" t="s">
        <v>73</v>
      </c>
    </row>
    <row r="217" spans="2:4" x14ac:dyDescent="0.25">
      <c r="B217">
        <v>214</v>
      </c>
      <c r="C217" t="s">
        <v>4201</v>
      </c>
      <c r="D217" t="s">
        <v>4064</v>
      </c>
    </row>
    <row r="218" spans="2:4" x14ac:dyDescent="0.25">
      <c r="B218">
        <v>215</v>
      </c>
      <c r="C218" t="s">
        <v>4202</v>
      </c>
      <c r="D218" t="s">
        <v>91</v>
      </c>
    </row>
    <row r="219" spans="2:4" x14ac:dyDescent="0.25">
      <c r="B219">
        <v>216</v>
      </c>
      <c r="C219" t="s">
        <v>4203</v>
      </c>
      <c r="D219" t="s">
        <v>195</v>
      </c>
    </row>
    <row r="220" spans="2:4" x14ac:dyDescent="0.25">
      <c r="B220">
        <v>217</v>
      </c>
      <c r="C220" t="s">
        <v>4204</v>
      </c>
      <c r="D220" t="s">
        <v>195</v>
      </c>
    </row>
    <row r="221" spans="2:4" x14ac:dyDescent="0.25">
      <c r="B221">
        <v>218</v>
      </c>
      <c r="C221" t="s">
        <v>2664</v>
      </c>
      <c r="D221" t="s">
        <v>73</v>
      </c>
    </row>
    <row r="222" spans="2:4" x14ac:dyDescent="0.25">
      <c r="B222">
        <v>219</v>
      </c>
      <c r="C222" t="s">
        <v>2641</v>
      </c>
      <c r="D222" t="s">
        <v>73</v>
      </c>
    </row>
    <row r="223" spans="2:4" x14ac:dyDescent="0.25">
      <c r="B223">
        <v>220</v>
      </c>
      <c r="C223" t="s">
        <v>1704</v>
      </c>
      <c r="D223" t="s">
        <v>195</v>
      </c>
    </row>
    <row r="224" spans="2:4" x14ac:dyDescent="0.25">
      <c r="B224">
        <v>221</v>
      </c>
      <c r="C224" t="s">
        <v>4205</v>
      </c>
      <c r="D224" t="s">
        <v>195</v>
      </c>
    </row>
    <row r="225" spans="2:4" x14ac:dyDescent="0.25">
      <c r="B225">
        <v>222</v>
      </c>
      <c r="C225" t="s">
        <v>4206</v>
      </c>
      <c r="D225" t="s">
        <v>91</v>
      </c>
    </row>
    <row r="226" spans="2:4" x14ac:dyDescent="0.25">
      <c r="B226">
        <v>223</v>
      </c>
      <c r="C226" t="s">
        <v>4207</v>
      </c>
      <c r="D226" t="s">
        <v>73</v>
      </c>
    </row>
    <row r="227" spans="2:4" x14ac:dyDescent="0.25">
      <c r="B227">
        <v>224</v>
      </c>
      <c r="C227" t="s">
        <v>4208</v>
      </c>
      <c r="D227" t="s">
        <v>73</v>
      </c>
    </row>
    <row r="228" spans="2:4" x14ac:dyDescent="0.25">
      <c r="B228">
        <v>225</v>
      </c>
      <c r="C228" t="s">
        <v>2659</v>
      </c>
      <c r="D228" t="s">
        <v>73</v>
      </c>
    </row>
    <row r="229" spans="2:4" x14ac:dyDescent="0.25">
      <c r="B229">
        <v>226</v>
      </c>
      <c r="C229" t="s">
        <v>4209</v>
      </c>
      <c r="D229" t="s">
        <v>73</v>
      </c>
    </row>
    <row r="230" spans="2:4" x14ac:dyDescent="0.25">
      <c r="B230">
        <v>227</v>
      </c>
      <c r="C230" t="s">
        <v>2643</v>
      </c>
      <c r="D230" t="s">
        <v>73</v>
      </c>
    </row>
    <row r="231" spans="2:4" x14ac:dyDescent="0.25">
      <c r="B231">
        <v>228</v>
      </c>
      <c r="C231" t="s">
        <v>4210</v>
      </c>
      <c r="D231" t="s">
        <v>73</v>
      </c>
    </row>
    <row r="232" spans="2:4" x14ac:dyDescent="0.25">
      <c r="B232">
        <v>229</v>
      </c>
      <c r="C232" t="s">
        <v>4211</v>
      </c>
      <c r="D232" t="s">
        <v>73</v>
      </c>
    </row>
    <row r="233" spans="2:4" x14ac:dyDescent="0.25">
      <c r="B233">
        <v>230</v>
      </c>
      <c r="C233" t="s">
        <v>4212</v>
      </c>
      <c r="D233" t="s">
        <v>290</v>
      </c>
    </row>
    <row r="234" spans="2:4" x14ac:dyDescent="0.25">
      <c r="B234">
        <v>231</v>
      </c>
      <c r="C234" t="s">
        <v>4213</v>
      </c>
      <c r="D234" t="s">
        <v>267</v>
      </c>
    </row>
    <row r="235" spans="2:4" x14ac:dyDescent="0.25">
      <c r="B235">
        <v>232</v>
      </c>
      <c r="C235" t="s">
        <v>4214</v>
      </c>
      <c r="D235" t="s">
        <v>267</v>
      </c>
    </row>
    <row r="236" spans="2:4" x14ac:dyDescent="0.25">
      <c r="B236">
        <v>233</v>
      </c>
      <c r="C236" t="s">
        <v>4215</v>
      </c>
      <c r="D236" t="s">
        <v>73</v>
      </c>
    </row>
    <row r="237" spans="2:4" x14ac:dyDescent="0.25">
      <c r="B237">
        <v>234</v>
      </c>
      <c r="C237" t="s">
        <v>2690</v>
      </c>
      <c r="D237" t="s">
        <v>120</v>
      </c>
    </row>
    <row r="238" spans="2:4" x14ac:dyDescent="0.25">
      <c r="B238">
        <v>235</v>
      </c>
      <c r="C238" t="s">
        <v>4216</v>
      </c>
      <c r="D238" t="s">
        <v>73</v>
      </c>
    </row>
    <row r="239" spans="2:4" x14ac:dyDescent="0.25">
      <c r="B239">
        <v>236</v>
      </c>
      <c r="C239" t="s">
        <v>4217</v>
      </c>
      <c r="D239" t="s">
        <v>73</v>
      </c>
    </row>
    <row r="240" spans="2:4" x14ac:dyDescent="0.25">
      <c r="B240">
        <v>237</v>
      </c>
      <c r="C240" t="s">
        <v>4218</v>
      </c>
      <c r="D240" t="s">
        <v>73</v>
      </c>
    </row>
    <row r="241" spans="2:4" x14ac:dyDescent="0.25">
      <c r="B241">
        <v>238</v>
      </c>
      <c r="C241" t="s">
        <v>4219</v>
      </c>
      <c r="D241" t="s">
        <v>73</v>
      </c>
    </row>
    <row r="242" spans="2:4" x14ac:dyDescent="0.25">
      <c r="B242">
        <v>239</v>
      </c>
      <c r="C242" t="s">
        <v>4220</v>
      </c>
      <c r="D242" t="s">
        <v>267</v>
      </c>
    </row>
    <row r="243" spans="2:4" x14ac:dyDescent="0.25">
      <c r="B243">
        <v>240</v>
      </c>
      <c r="C243" t="s">
        <v>4221</v>
      </c>
      <c r="D243" t="s">
        <v>195</v>
      </c>
    </row>
    <row r="244" spans="2:4" x14ac:dyDescent="0.25">
      <c r="B244">
        <v>241</v>
      </c>
      <c r="C244" t="s">
        <v>1044</v>
      </c>
      <c r="D244" t="s">
        <v>73</v>
      </c>
    </row>
    <row r="245" spans="2:4" x14ac:dyDescent="0.25">
      <c r="B245">
        <v>242</v>
      </c>
      <c r="C245" t="s">
        <v>4222</v>
      </c>
      <c r="D245" t="s">
        <v>73</v>
      </c>
    </row>
    <row r="246" spans="2:4" x14ac:dyDescent="0.25">
      <c r="B246">
        <v>243</v>
      </c>
      <c r="C246" t="s">
        <v>4223</v>
      </c>
      <c r="D246" t="s">
        <v>73</v>
      </c>
    </row>
    <row r="247" spans="2:4" x14ac:dyDescent="0.25">
      <c r="B247">
        <v>244</v>
      </c>
      <c r="C247" t="s">
        <v>4224</v>
      </c>
      <c r="D247" t="s">
        <v>73</v>
      </c>
    </row>
    <row r="248" spans="2:4" x14ac:dyDescent="0.25">
      <c r="B248">
        <v>245</v>
      </c>
      <c r="C248" t="s">
        <v>4225</v>
      </c>
      <c r="D248" t="s">
        <v>73</v>
      </c>
    </row>
    <row r="249" spans="2:4" x14ac:dyDescent="0.25">
      <c r="B249">
        <v>246</v>
      </c>
      <c r="C249" t="s">
        <v>4226</v>
      </c>
      <c r="D249" t="s">
        <v>73</v>
      </c>
    </row>
    <row r="250" spans="2:4" x14ac:dyDescent="0.25">
      <c r="B250">
        <v>247</v>
      </c>
      <c r="C250" t="s">
        <v>4227</v>
      </c>
      <c r="D250" t="s">
        <v>73</v>
      </c>
    </row>
    <row r="251" spans="2:4" x14ac:dyDescent="0.25">
      <c r="B251">
        <v>248</v>
      </c>
      <c r="C251" t="s">
        <v>4228</v>
      </c>
      <c r="D251" t="s">
        <v>73</v>
      </c>
    </row>
    <row r="252" spans="2:4" x14ac:dyDescent="0.25">
      <c r="B252">
        <v>249</v>
      </c>
      <c r="C252" t="s">
        <v>4229</v>
      </c>
      <c r="D252" t="s">
        <v>73</v>
      </c>
    </row>
    <row r="253" spans="2:4" x14ac:dyDescent="0.25">
      <c r="B253">
        <v>250</v>
      </c>
      <c r="C253" t="s">
        <v>4230</v>
      </c>
      <c r="D253" t="s">
        <v>91</v>
      </c>
    </row>
    <row r="254" spans="2:4" x14ac:dyDescent="0.25">
      <c r="B254">
        <v>251</v>
      </c>
      <c r="C254" t="s">
        <v>2201</v>
      </c>
      <c r="D254" t="s">
        <v>120</v>
      </c>
    </row>
    <row r="255" spans="2:4" x14ac:dyDescent="0.25">
      <c r="B255">
        <v>252</v>
      </c>
      <c r="C255" t="s">
        <v>816</v>
      </c>
      <c r="D255" t="s">
        <v>120</v>
      </c>
    </row>
    <row r="256" spans="2:4" x14ac:dyDescent="0.25">
      <c r="B256">
        <v>253</v>
      </c>
      <c r="C256" t="s">
        <v>2159</v>
      </c>
      <c r="D256" t="s">
        <v>91</v>
      </c>
    </row>
    <row r="257" spans="2:4" x14ac:dyDescent="0.25">
      <c r="B257">
        <v>254</v>
      </c>
      <c r="C257" t="s">
        <v>4231</v>
      </c>
      <c r="D257" t="s">
        <v>91</v>
      </c>
    </row>
    <row r="258" spans="2:4" x14ac:dyDescent="0.25">
      <c r="B258">
        <v>255</v>
      </c>
      <c r="C258" t="s">
        <v>4232</v>
      </c>
      <c r="D258" t="s">
        <v>91</v>
      </c>
    </row>
    <row r="259" spans="2:4" x14ac:dyDescent="0.25">
      <c r="B259">
        <v>256</v>
      </c>
      <c r="C259" t="s">
        <v>4233</v>
      </c>
      <c r="D259" t="s">
        <v>91</v>
      </c>
    </row>
    <row r="260" spans="2:4" x14ac:dyDescent="0.25">
      <c r="B260">
        <v>257</v>
      </c>
      <c r="C260" t="s">
        <v>4234</v>
      </c>
      <c r="D260" t="s">
        <v>91</v>
      </c>
    </row>
    <row r="261" spans="2:4" x14ac:dyDescent="0.25">
      <c r="B261">
        <v>258</v>
      </c>
      <c r="C261" t="s">
        <v>4235</v>
      </c>
      <c r="D261" t="s">
        <v>91</v>
      </c>
    </row>
    <row r="262" spans="2:4" x14ac:dyDescent="0.25">
      <c r="B262">
        <v>259</v>
      </c>
      <c r="C262" t="s">
        <v>4236</v>
      </c>
      <c r="D262" t="s">
        <v>91</v>
      </c>
    </row>
    <row r="263" spans="2:4" x14ac:dyDescent="0.25">
      <c r="B263">
        <v>260</v>
      </c>
      <c r="C263" t="s">
        <v>4237</v>
      </c>
      <c r="D263" t="s">
        <v>91</v>
      </c>
    </row>
    <row r="264" spans="2:4" x14ac:dyDescent="0.25">
      <c r="B264">
        <v>261</v>
      </c>
      <c r="C264" t="s">
        <v>4238</v>
      </c>
      <c r="D264" t="s">
        <v>91</v>
      </c>
    </row>
    <row r="265" spans="2:4" x14ac:dyDescent="0.25">
      <c r="B265">
        <v>262</v>
      </c>
      <c r="C265" t="s">
        <v>4239</v>
      </c>
      <c r="D265" t="s">
        <v>91</v>
      </c>
    </row>
    <row r="266" spans="2:4" x14ac:dyDescent="0.25">
      <c r="B266">
        <v>263</v>
      </c>
      <c r="C266" t="s">
        <v>4240</v>
      </c>
      <c r="D266" t="s">
        <v>91</v>
      </c>
    </row>
    <row r="267" spans="2:4" x14ac:dyDescent="0.25">
      <c r="B267">
        <v>264</v>
      </c>
      <c r="C267" t="s">
        <v>4241</v>
      </c>
      <c r="D267" t="s">
        <v>73</v>
      </c>
    </row>
    <row r="268" spans="2:4" x14ac:dyDescent="0.25">
      <c r="B268">
        <v>265</v>
      </c>
      <c r="C268" t="s">
        <v>2908</v>
      </c>
      <c r="D268" t="s">
        <v>73</v>
      </c>
    </row>
    <row r="269" spans="2:4" x14ac:dyDescent="0.25">
      <c r="B269">
        <v>266</v>
      </c>
      <c r="C269" t="s">
        <v>4242</v>
      </c>
      <c r="D269" t="s">
        <v>73</v>
      </c>
    </row>
    <row r="270" spans="2:4" x14ac:dyDescent="0.25">
      <c r="B270">
        <v>267</v>
      </c>
      <c r="C270" t="s">
        <v>4243</v>
      </c>
      <c r="D270" t="s">
        <v>73</v>
      </c>
    </row>
    <row r="271" spans="2:4" x14ac:dyDescent="0.25">
      <c r="B271">
        <v>268</v>
      </c>
      <c r="C271" t="s">
        <v>4244</v>
      </c>
      <c r="D271" t="s">
        <v>91</v>
      </c>
    </row>
    <row r="272" spans="2:4" x14ac:dyDescent="0.25">
      <c r="B272">
        <v>269</v>
      </c>
      <c r="C272" t="s">
        <v>4245</v>
      </c>
      <c r="D272" t="s">
        <v>73</v>
      </c>
    </row>
    <row r="273" spans="2:4" x14ac:dyDescent="0.25">
      <c r="B273">
        <v>270</v>
      </c>
      <c r="C273" t="s">
        <v>4246</v>
      </c>
      <c r="D273" t="s">
        <v>267</v>
      </c>
    </row>
    <row r="274" spans="2:4" x14ac:dyDescent="0.25">
      <c r="B274">
        <v>271</v>
      </c>
      <c r="C274" t="s">
        <v>4247</v>
      </c>
      <c r="D274" t="s">
        <v>73</v>
      </c>
    </row>
    <row r="275" spans="2:4" x14ac:dyDescent="0.25">
      <c r="B275">
        <v>272</v>
      </c>
      <c r="C275" t="s">
        <v>4248</v>
      </c>
      <c r="D275" t="s">
        <v>73</v>
      </c>
    </row>
    <row r="276" spans="2:4" x14ac:dyDescent="0.25">
      <c r="B276">
        <v>273</v>
      </c>
      <c r="C276" t="s">
        <v>2325</v>
      </c>
      <c r="D276" t="s">
        <v>73</v>
      </c>
    </row>
    <row r="277" spans="2:4" x14ac:dyDescent="0.25">
      <c r="B277">
        <v>274</v>
      </c>
      <c r="C277" t="s">
        <v>4249</v>
      </c>
      <c r="D277" t="s">
        <v>189</v>
      </c>
    </row>
    <row r="278" spans="2:4" x14ac:dyDescent="0.25">
      <c r="B278">
        <v>275</v>
      </c>
      <c r="C278" t="s">
        <v>4250</v>
      </c>
      <c r="D278" t="s">
        <v>73</v>
      </c>
    </row>
    <row r="279" spans="2:4" x14ac:dyDescent="0.25">
      <c r="B279">
        <v>276</v>
      </c>
      <c r="C279" t="s">
        <v>4251</v>
      </c>
      <c r="D279" t="s">
        <v>73</v>
      </c>
    </row>
    <row r="280" spans="2:4" x14ac:dyDescent="0.25">
      <c r="B280">
        <v>277</v>
      </c>
      <c r="C280" t="s">
        <v>4252</v>
      </c>
      <c r="D280" t="s">
        <v>73</v>
      </c>
    </row>
    <row r="281" spans="2:4" x14ac:dyDescent="0.25">
      <c r="B281">
        <v>278</v>
      </c>
      <c r="C281" t="s">
        <v>4253</v>
      </c>
      <c r="D281" t="s">
        <v>73</v>
      </c>
    </row>
    <row r="282" spans="2:4" x14ac:dyDescent="0.25">
      <c r="B282">
        <v>279</v>
      </c>
      <c r="C282" t="s">
        <v>4254</v>
      </c>
      <c r="D282" t="s">
        <v>183</v>
      </c>
    </row>
    <row r="283" spans="2:4" x14ac:dyDescent="0.25">
      <c r="B283">
        <v>280</v>
      </c>
      <c r="C283" t="s">
        <v>4255</v>
      </c>
      <c r="D283" t="s">
        <v>73</v>
      </c>
    </row>
    <row r="284" spans="2:4" x14ac:dyDescent="0.25">
      <c r="B284">
        <v>281</v>
      </c>
      <c r="C284" t="s">
        <v>4256</v>
      </c>
      <c r="D284" t="s">
        <v>73</v>
      </c>
    </row>
    <row r="285" spans="2:4" x14ac:dyDescent="0.25">
      <c r="B285">
        <v>282</v>
      </c>
      <c r="C285" t="s">
        <v>4257</v>
      </c>
      <c r="D285" t="s">
        <v>73</v>
      </c>
    </row>
    <row r="286" spans="2:4" x14ac:dyDescent="0.25">
      <c r="B286">
        <v>283</v>
      </c>
      <c r="C286" t="s">
        <v>4258</v>
      </c>
      <c r="D286" t="s">
        <v>73</v>
      </c>
    </row>
    <row r="287" spans="2:4" x14ac:dyDescent="0.25">
      <c r="B287">
        <v>284</v>
      </c>
      <c r="C287" t="s">
        <v>2766</v>
      </c>
      <c r="D287" t="s">
        <v>73</v>
      </c>
    </row>
    <row r="288" spans="2:4" x14ac:dyDescent="0.25">
      <c r="B288">
        <v>285</v>
      </c>
      <c r="C288" t="s">
        <v>4259</v>
      </c>
      <c r="D288" t="s">
        <v>120</v>
      </c>
    </row>
    <row r="289" spans="2:4" x14ac:dyDescent="0.25">
      <c r="B289">
        <v>286</v>
      </c>
      <c r="C289" t="s">
        <v>4260</v>
      </c>
      <c r="D289" t="s">
        <v>120</v>
      </c>
    </row>
    <row r="290" spans="2:4" x14ac:dyDescent="0.25">
      <c r="B290">
        <v>287</v>
      </c>
      <c r="C290" t="s">
        <v>4261</v>
      </c>
      <c r="D290" t="s">
        <v>73</v>
      </c>
    </row>
    <row r="291" spans="2:4" x14ac:dyDescent="0.25">
      <c r="B291">
        <v>288</v>
      </c>
      <c r="C291" t="s">
        <v>4262</v>
      </c>
      <c r="D291" t="s">
        <v>183</v>
      </c>
    </row>
    <row r="292" spans="2:4" x14ac:dyDescent="0.25">
      <c r="B292">
        <v>289</v>
      </c>
      <c r="C292" t="s">
        <v>4263</v>
      </c>
      <c r="D292" t="s">
        <v>73</v>
      </c>
    </row>
    <row r="293" spans="2:4" x14ac:dyDescent="0.25">
      <c r="B293">
        <v>290</v>
      </c>
      <c r="C293" t="s">
        <v>4264</v>
      </c>
      <c r="D293" t="s">
        <v>73</v>
      </c>
    </row>
    <row r="294" spans="2:4" x14ac:dyDescent="0.25">
      <c r="B294">
        <v>291</v>
      </c>
      <c r="C294" t="s">
        <v>4265</v>
      </c>
      <c r="D294" t="s">
        <v>73</v>
      </c>
    </row>
    <row r="295" spans="2:4" x14ac:dyDescent="0.25">
      <c r="B295">
        <v>292</v>
      </c>
      <c r="C295" t="s">
        <v>4266</v>
      </c>
      <c r="D295" t="s">
        <v>195</v>
      </c>
    </row>
    <row r="296" spans="2:4" x14ac:dyDescent="0.25">
      <c r="B296">
        <v>293</v>
      </c>
      <c r="C296" t="s">
        <v>4267</v>
      </c>
      <c r="D296" t="s">
        <v>195</v>
      </c>
    </row>
    <row r="297" spans="2:4" x14ac:dyDescent="0.25">
      <c r="B297">
        <v>294</v>
      </c>
      <c r="C297" t="s">
        <v>4268</v>
      </c>
      <c r="D297" t="s">
        <v>267</v>
      </c>
    </row>
    <row r="298" spans="2:4" x14ac:dyDescent="0.25">
      <c r="B298">
        <v>295</v>
      </c>
      <c r="C298" t="s">
        <v>4269</v>
      </c>
      <c r="D298" t="s">
        <v>73</v>
      </c>
    </row>
    <row r="299" spans="2:4" x14ac:dyDescent="0.25">
      <c r="B299">
        <v>296</v>
      </c>
      <c r="C299" t="s">
        <v>2171</v>
      </c>
      <c r="D299" t="s">
        <v>73</v>
      </c>
    </row>
    <row r="300" spans="2:4" x14ac:dyDescent="0.25">
      <c r="B300">
        <v>297</v>
      </c>
      <c r="C300" t="s">
        <v>2128</v>
      </c>
      <c r="D300" t="s">
        <v>73</v>
      </c>
    </row>
    <row r="301" spans="2:4" x14ac:dyDescent="0.25">
      <c r="B301">
        <v>298</v>
      </c>
      <c r="C301" t="s">
        <v>4270</v>
      </c>
      <c r="D301" t="s">
        <v>183</v>
      </c>
    </row>
    <row r="302" spans="2:4" x14ac:dyDescent="0.25">
      <c r="B302">
        <v>299</v>
      </c>
      <c r="C302" t="s">
        <v>3864</v>
      </c>
      <c r="D302" t="s">
        <v>4064</v>
      </c>
    </row>
    <row r="303" spans="2:4" x14ac:dyDescent="0.25">
      <c r="B303">
        <v>300</v>
      </c>
      <c r="C303" t="s">
        <v>4271</v>
      </c>
      <c r="D303" t="s">
        <v>73</v>
      </c>
    </row>
    <row r="304" spans="2:4" x14ac:dyDescent="0.25">
      <c r="B304">
        <v>301</v>
      </c>
      <c r="C304" t="s">
        <v>4272</v>
      </c>
      <c r="D304" t="s">
        <v>73</v>
      </c>
    </row>
    <row r="305" spans="2:4" x14ac:dyDescent="0.25">
      <c r="B305">
        <v>302</v>
      </c>
      <c r="C305" t="s">
        <v>4273</v>
      </c>
      <c r="D305" t="s">
        <v>195</v>
      </c>
    </row>
    <row r="306" spans="2:4" x14ac:dyDescent="0.25">
      <c r="B306">
        <v>303</v>
      </c>
      <c r="C306" t="s">
        <v>4274</v>
      </c>
      <c r="D306" t="s">
        <v>73</v>
      </c>
    </row>
    <row r="307" spans="2:4" x14ac:dyDescent="0.25">
      <c r="B307">
        <v>304</v>
      </c>
      <c r="C307" t="s">
        <v>4275</v>
      </c>
      <c r="D307" t="s">
        <v>267</v>
      </c>
    </row>
    <row r="308" spans="2:4" x14ac:dyDescent="0.25">
      <c r="B308">
        <v>305</v>
      </c>
      <c r="C308" t="s">
        <v>4276</v>
      </c>
      <c r="D308" t="s">
        <v>73</v>
      </c>
    </row>
    <row r="309" spans="2:4" x14ac:dyDescent="0.25">
      <c r="B309">
        <v>306</v>
      </c>
      <c r="C309" t="s">
        <v>4277</v>
      </c>
      <c r="D309" t="s">
        <v>73</v>
      </c>
    </row>
    <row r="310" spans="2:4" x14ac:dyDescent="0.25">
      <c r="B310">
        <v>307</v>
      </c>
      <c r="C310" t="s">
        <v>4278</v>
      </c>
      <c r="D310" t="s">
        <v>73</v>
      </c>
    </row>
    <row r="311" spans="2:4" x14ac:dyDescent="0.25">
      <c r="B311">
        <v>308</v>
      </c>
      <c r="C311" t="s">
        <v>4279</v>
      </c>
      <c r="D311" t="s">
        <v>267</v>
      </c>
    </row>
    <row r="312" spans="2:4" x14ac:dyDescent="0.25">
      <c r="B312">
        <v>309</v>
      </c>
      <c r="C312" t="s">
        <v>4280</v>
      </c>
      <c r="D312" t="s">
        <v>267</v>
      </c>
    </row>
    <row r="313" spans="2:4" x14ac:dyDescent="0.25">
      <c r="B313">
        <v>310</v>
      </c>
      <c r="C313" t="s">
        <v>4281</v>
      </c>
      <c r="D313" t="s">
        <v>73</v>
      </c>
    </row>
    <row r="314" spans="2:4" x14ac:dyDescent="0.25">
      <c r="B314">
        <v>311</v>
      </c>
      <c r="C314" t="s">
        <v>4282</v>
      </c>
      <c r="D314" t="s">
        <v>73</v>
      </c>
    </row>
    <row r="315" spans="2:4" x14ac:dyDescent="0.25">
      <c r="B315">
        <v>312</v>
      </c>
      <c r="C315" t="s">
        <v>4283</v>
      </c>
      <c r="D315" t="s">
        <v>195</v>
      </c>
    </row>
    <row r="316" spans="2:4" x14ac:dyDescent="0.25">
      <c r="B316">
        <v>313</v>
      </c>
      <c r="C316" t="s">
        <v>4284</v>
      </c>
      <c r="D316" t="s">
        <v>73</v>
      </c>
    </row>
    <row r="317" spans="2:4" x14ac:dyDescent="0.25">
      <c r="B317">
        <v>314</v>
      </c>
      <c r="C317" t="s">
        <v>4285</v>
      </c>
      <c r="D317" t="s">
        <v>73</v>
      </c>
    </row>
    <row r="318" spans="2:4" x14ac:dyDescent="0.25">
      <c r="B318">
        <v>315</v>
      </c>
      <c r="C318" t="s">
        <v>4286</v>
      </c>
      <c r="D318" t="s">
        <v>73</v>
      </c>
    </row>
    <row r="319" spans="2:4" x14ac:dyDescent="0.25">
      <c r="B319">
        <v>316</v>
      </c>
      <c r="C319" t="s">
        <v>850</v>
      </c>
      <c r="D319" t="s">
        <v>73</v>
      </c>
    </row>
    <row r="320" spans="2:4" x14ac:dyDescent="0.25">
      <c r="B320">
        <v>317</v>
      </c>
      <c r="C320" t="s">
        <v>4287</v>
      </c>
      <c r="D320" t="s">
        <v>73</v>
      </c>
    </row>
    <row r="321" spans="2:4" x14ac:dyDescent="0.25">
      <c r="B321">
        <v>318</v>
      </c>
      <c r="C321" t="s">
        <v>3447</v>
      </c>
      <c r="D321" t="s">
        <v>73</v>
      </c>
    </row>
    <row r="322" spans="2:4" x14ac:dyDescent="0.25">
      <c r="B322">
        <v>319</v>
      </c>
      <c r="C322" t="s">
        <v>4288</v>
      </c>
      <c r="D322" t="s">
        <v>73</v>
      </c>
    </row>
    <row r="323" spans="2:4" x14ac:dyDescent="0.25">
      <c r="B323">
        <v>320</v>
      </c>
      <c r="C323" t="s">
        <v>4289</v>
      </c>
      <c r="D323" t="s">
        <v>73</v>
      </c>
    </row>
    <row r="324" spans="2:4" x14ac:dyDescent="0.25">
      <c r="B324">
        <v>321</v>
      </c>
      <c r="C324" t="s">
        <v>4290</v>
      </c>
      <c r="D324" t="s">
        <v>73</v>
      </c>
    </row>
    <row r="325" spans="2:4" x14ac:dyDescent="0.25">
      <c r="B325">
        <v>322</v>
      </c>
      <c r="C325" t="s">
        <v>4291</v>
      </c>
      <c r="D325" t="s">
        <v>73</v>
      </c>
    </row>
    <row r="326" spans="2:4" x14ac:dyDescent="0.25">
      <c r="B326">
        <v>323</v>
      </c>
      <c r="C326" t="s">
        <v>4292</v>
      </c>
      <c r="D326" t="s">
        <v>73</v>
      </c>
    </row>
    <row r="327" spans="2:4" x14ac:dyDescent="0.25">
      <c r="B327">
        <v>324</v>
      </c>
      <c r="C327" t="s">
        <v>4293</v>
      </c>
      <c r="D327" t="s">
        <v>73</v>
      </c>
    </row>
    <row r="328" spans="2:4" x14ac:dyDescent="0.25">
      <c r="B328">
        <v>325</v>
      </c>
      <c r="C328" t="s">
        <v>4294</v>
      </c>
      <c r="D328" t="s">
        <v>73</v>
      </c>
    </row>
    <row r="329" spans="2:4" x14ac:dyDescent="0.25">
      <c r="B329">
        <v>326</v>
      </c>
      <c r="C329" t="s">
        <v>4295</v>
      </c>
      <c r="D329" t="s">
        <v>4296</v>
      </c>
    </row>
    <row r="330" spans="2:4" x14ac:dyDescent="0.25">
      <c r="B330">
        <v>327</v>
      </c>
      <c r="C330" t="s">
        <v>606</v>
      </c>
      <c r="D330" t="s">
        <v>120</v>
      </c>
    </row>
    <row r="331" spans="2:4" x14ac:dyDescent="0.25">
      <c r="B331">
        <v>328</v>
      </c>
      <c r="C331" t="s">
        <v>4297</v>
      </c>
      <c r="D331" t="s">
        <v>73</v>
      </c>
    </row>
    <row r="332" spans="2:4" x14ac:dyDescent="0.25">
      <c r="B332">
        <v>329</v>
      </c>
      <c r="C332" t="s">
        <v>232</v>
      </c>
      <c r="D332" t="s">
        <v>73</v>
      </c>
    </row>
    <row r="333" spans="2:4" x14ac:dyDescent="0.25">
      <c r="B333">
        <v>330</v>
      </c>
      <c r="C333" t="s">
        <v>4298</v>
      </c>
      <c r="D333" t="s">
        <v>73</v>
      </c>
    </row>
    <row r="334" spans="2:4" x14ac:dyDescent="0.25">
      <c r="B334">
        <v>331</v>
      </c>
      <c r="C334" t="s">
        <v>4299</v>
      </c>
      <c r="D334" t="s">
        <v>73</v>
      </c>
    </row>
    <row r="335" spans="2:4" x14ac:dyDescent="0.25">
      <c r="B335">
        <v>332</v>
      </c>
      <c r="C335" t="s">
        <v>4300</v>
      </c>
      <c r="D335" t="s">
        <v>73</v>
      </c>
    </row>
    <row r="336" spans="2:4" x14ac:dyDescent="0.25">
      <c r="B336">
        <v>333</v>
      </c>
      <c r="C336" t="s">
        <v>4301</v>
      </c>
      <c r="D336" t="s">
        <v>73</v>
      </c>
    </row>
    <row r="337" spans="2:4" x14ac:dyDescent="0.25">
      <c r="B337">
        <v>334</v>
      </c>
      <c r="C337" t="s">
        <v>4302</v>
      </c>
      <c r="D337" t="s">
        <v>73</v>
      </c>
    </row>
    <row r="338" spans="2:4" x14ac:dyDescent="0.25">
      <c r="B338">
        <v>335</v>
      </c>
      <c r="C338" t="s">
        <v>4303</v>
      </c>
      <c r="D338" t="s">
        <v>267</v>
      </c>
    </row>
    <row r="339" spans="2:4" x14ac:dyDescent="0.25">
      <c r="B339">
        <v>336</v>
      </c>
      <c r="C339" t="s">
        <v>4304</v>
      </c>
      <c r="D339" t="s">
        <v>267</v>
      </c>
    </row>
    <row r="340" spans="2:4" x14ac:dyDescent="0.25">
      <c r="B340">
        <v>337</v>
      </c>
      <c r="C340" t="s">
        <v>4305</v>
      </c>
      <c r="D340" t="s">
        <v>73</v>
      </c>
    </row>
    <row r="341" spans="2:4" x14ac:dyDescent="0.25">
      <c r="B341">
        <v>338</v>
      </c>
      <c r="C341" t="s">
        <v>2108</v>
      </c>
      <c r="D341" t="s">
        <v>130</v>
      </c>
    </row>
    <row r="342" spans="2:4" x14ac:dyDescent="0.25">
      <c r="B342">
        <v>339</v>
      </c>
      <c r="C342" t="s">
        <v>4306</v>
      </c>
      <c r="D342" t="s">
        <v>73</v>
      </c>
    </row>
    <row r="343" spans="2:4" x14ac:dyDescent="0.25">
      <c r="B343">
        <v>340</v>
      </c>
      <c r="C343" t="s">
        <v>4307</v>
      </c>
      <c r="D343" t="s">
        <v>73</v>
      </c>
    </row>
    <row r="344" spans="2:4" x14ac:dyDescent="0.25">
      <c r="B344">
        <v>341</v>
      </c>
      <c r="C344" t="s">
        <v>4308</v>
      </c>
      <c r="D344" t="s">
        <v>73</v>
      </c>
    </row>
    <row r="345" spans="2:4" x14ac:dyDescent="0.25">
      <c r="B345">
        <v>342</v>
      </c>
      <c r="C345" t="s">
        <v>579</v>
      </c>
      <c r="D345" t="s">
        <v>73</v>
      </c>
    </row>
    <row r="346" spans="2:4" x14ac:dyDescent="0.25">
      <c r="B346">
        <v>343</v>
      </c>
      <c r="C346" t="s">
        <v>4309</v>
      </c>
      <c r="D346" t="s">
        <v>73</v>
      </c>
    </row>
    <row r="347" spans="2:4" x14ac:dyDescent="0.25">
      <c r="B347">
        <v>344</v>
      </c>
      <c r="C347" t="s">
        <v>4310</v>
      </c>
      <c r="D347" t="s">
        <v>195</v>
      </c>
    </row>
    <row r="348" spans="2:4" x14ac:dyDescent="0.25">
      <c r="B348">
        <v>345</v>
      </c>
      <c r="C348" t="s">
        <v>4311</v>
      </c>
      <c r="D348" t="s">
        <v>195</v>
      </c>
    </row>
    <row r="349" spans="2:4" x14ac:dyDescent="0.25">
      <c r="B349">
        <v>346</v>
      </c>
      <c r="C349" t="s">
        <v>4312</v>
      </c>
      <c r="D349" t="s">
        <v>73</v>
      </c>
    </row>
    <row r="350" spans="2:4" x14ac:dyDescent="0.25">
      <c r="B350">
        <v>347</v>
      </c>
      <c r="C350" t="s">
        <v>2905</v>
      </c>
      <c r="D350" t="s">
        <v>73</v>
      </c>
    </row>
    <row r="351" spans="2:4" x14ac:dyDescent="0.25">
      <c r="B351">
        <v>348</v>
      </c>
      <c r="C351" t="s">
        <v>4313</v>
      </c>
      <c r="D351" t="s">
        <v>73</v>
      </c>
    </row>
    <row r="352" spans="2:4" x14ac:dyDescent="0.25">
      <c r="B352">
        <v>349</v>
      </c>
      <c r="C352" t="s">
        <v>4314</v>
      </c>
      <c r="D352" t="s">
        <v>73</v>
      </c>
    </row>
    <row r="353" spans="2:4" x14ac:dyDescent="0.25">
      <c r="B353">
        <v>350</v>
      </c>
      <c r="C353" t="s">
        <v>2912</v>
      </c>
      <c r="D353" t="s">
        <v>73</v>
      </c>
    </row>
    <row r="354" spans="2:4" x14ac:dyDescent="0.25">
      <c r="B354">
        <v>351</v>
      </c>
      <c r="C354" t="s">
        <v>1034</v>
      </c>
      <c r="D354" t="s">
        <v>73</v>
      </c>
    </row>
    <row r="355" spans="2:4" x14ac:dyDescent="0.25">
      <c r="B355">
        <v>352</v>
      </c>
      <c r="C355" t="s">
        <v>4315</v>
      </c>
      <c r="D355" t="s">
        <v>73</v>
      </c>
    </row>
    <row r="356" spans="2:4" x14ac:dyDescent="0.25">
      <c r="B356">
        <v>353</v>
      </c>
      <c r="C356" t="s">
        <v>2234</v>
      </c>
      <c r="D356" t="s">
        <v>73</v>
      </c>
    </row>
    <row r="357" spans="2:4" x14ac:dyDescent="0.25">
      <c r="B357">
        <v>354</v>
      </c>
      <c r="C357" t="s">
        <v>4316</v>
      </c>
      <c r="D357" t="s">
        <v>73</v>
      </c>
    </row>
    <row r="358" spans="2:4" x14ac:dyDescent="0.25">
      <c r="B358">
        <v>355</v>
      </c>
      <c r="C358" t="s">
        <v>4317</v>
      </c>
      <c r="D358" t="s">
        <v>73</v>
      </c>
    </row>
    <row r="359" spans="2:4" x14ac:dyDescent="0.25">
      <c r="B359">
        <v>356</v>
      </c>
      <c r="C359" t="s">
        <v>4318</v>
      </c>
      <c r="D359" t="s">
        <v>73</v>
      </c>
    </row>
    <row r="360" spans="2:4" x14ac:dyDescent="0.25">
      <c r="B360">
        <v>357</v>
      </c>
      <c r="C360" t="s">
        <v>4319</v>
      </c>
      <c r="D360" t="s">
        <v>73</v>
      </c>
    </row>
    <row r="361" spans="2:4" x14ac:dyDescent="0.25">
      <c r="B361">
        <v>358</v>
      </c>
      <c r="C361" t="s">
        <v>4320</v>
      </c>
      <c r="D361" t="s">
        <v>120</v>
      </c>
    </row>
    <row r="362" spans="2:4" x14ac:dyDescent="0.25">
      <c r="B362">
        <v>359</v>
      </c>
      <c r="C362" t="s">
        <v>4321</v>
      </c>
      <c r="D362" t="s">
        <v>73</v>
      </c>
    </row>
    <row r="363" spans="2:4" x14ac:dyDescent="0.25">
      <c r="B363">
        <v>360</v>
      </c>
      <c r="C363" t="s">
        <v>2684</v>
      </c>
      <c r="D363" t="s">
        <v>120</v>
      </c>
    </row>
    <row r="364" spans="2:4" x14ac:dyDescent="0.25">
      <c r="B364">
        <v>361</v>
      </c>
      <c r="C364" t="s">
        <v>1170</v>
      </c>
      <c r="D364" t="s">
        <v>4322</v>
      </c>
    </row>
    <row r="365" spans="2:4" x14ac:dyDescent="0.25">
      <c r="B365">
        <v>362</v>
      </c>
      <c r="C365" t="s">
        <v>2175</v>
      </c>
      <c r="D365" t="s">
        <v>73</v>
      </c>
    </row>
    <row r="366" spans="2:4" x14ac:dyDescent="0.25">
      <c r="B366">
        <v>363</v>
      </c>
      <c r="C366" t="s">
        <v>1194</v>
      </c>
      <c r="D366" t="s">
        <v>91</v>
      </c>
    </row>
    <row r="367" spans="2:4" x14ac:dyDescent="0.25">
      <c r="B367">
        <v>364</v>
      </c>
      <c r="C367" t="s">
        <v>2406</v>
      </c>
      <c r="D367" t="s">
        <v>91</v>
      </c>
    </row>
    <row r="368" spans="2:4" x14ac:dyDescent="0.25">
      <c r="B368">
        <v>365</v>
      </c>
      <c r="C368" t="s">
        <v>2220</v>
      </c>
      <c r="D368" t="s">
        <v>267</v>
      </c>
    </row>
    <row r="369" spans="2:4" x14ac:dyDescent="0.25">
      <c r="B369">
        <v>366</v>
      </c>
      <c r="C369" t="s">
        <v>2484</v>
      </c>
      <c r="D369" t="s">
        <v>267</v>
      </c>
    </row>
    <row r="370" spans="2:4" x14ac:dyDescent="0.25">
      <c r="B370">
        <v>367</v>
      </c>
      <c r="C370" t="s">
        <v>4323</v>
      </c>
      <c r="D370" t="s">
        <v>73</v>
      </c>
    </row>
    <row r="371" spans="2:4" x14ac:dyDescent="0.25">
      <c r="B371">
        <v>368</v>
      </c>
      <c r="C371" t="s">
        <v>2950</v>
      </c>
      <c r="D371" t="s">
        <v>195</v>
      </c>
    </row>
    <row r="372" spans="2:4" x14ac:dyDescent="0.25">
      <c r="B372">
        <v>369</v>
      </c>
      <c r="C372" t="s">
        <v>4324</v>
      </c>
      <c r="D372" t="s">
        <v>73</v>
      </c>
    </row>
    <row r="373" spans="2:4" x14ac:dyDescent="0.25">
      <c r="B373">
        <v>370</v>
      </c>
      <c r="C373" t="s">
        <v>4325</v>
      </c>
      <c r="D373" t="s">
        <v>120</v>
      </c>
    </row>
    <row r="374" spans="2:4" x14ac:dyDescent="0.25">
      <c r="B374">
        <v>371</v>
      </c>
      <c r="C374" t="s">
        <v>1527</v>
      </c>
      <c r="D374" t="s">
        <v>183</v>
      </c>
    </row>
    <row r="375" spans="2:4" x14ac:dyDescent="0.25">
      <c r="B375">
        <v>372</v>
      </c>
      <c r="C375" t="s">
        <v>4326</v>
      </c>
      <c r="D375" t="s">
        <v>183</v>
      </c>
    </row>
    <row r="376" spans="2:4" x14ac:dyDescent="0.25">
      <c r="B376">
        <v>373</v>
      </c>
      <c r="C376" t="s">
        <v>4327</v>
      </c>
      <c r="D376" t="s">
        <v>73</v>
      </c>
    </row>
    <row r="377" spans="2:4" x14ac:dyDescent="0.25">
      <c r="B377">
        <v>374</v>
      </c>
      <c r="C377" t="s">
        <v>2119</v>
      </c>
      <c r="D377" t="s">
        <v>73</v>
      </c>
    </row>
    <row r="378" spans="2:4" x14ac:dyDescent="0.25">
      <c r="B378">
        <v>375</v>
      </c>
      <c r="C378" t="s">
        <v>4328</v>
      </c>
      <c r="D378" t="s">
        <v>73</v>
      </c>
    </row>
    <row r="379" spans="2:4" x14ac:dyDescent="0.25">
      <c r="B379">
        <v>376</v>
      </c>
      <c r="C379" t="s">
        <v>4329</v>
      </c>
      <c r="D379" t="s">
        <v>267</v>
      </c>
    </row>
    <row r="380" spans="2:4" x14ac:dyDescent="0.25">
      <c r="B380">
        <v>377</v>
      </c>
      <c r="C380" t="s">
        <v>3204</v>
      </c>
      <c r="D380" t="s">
        <v>195</v>
      </c>
    </row>
    <row r="381" spans="2:4" x14ac:dyDescent="0.25">
      <c r="B381">
        <v>378</v>
      </c>
      <c r="C381" t="s">
        <v>708</v>
      </c>
      <c r="D381" t="s">
        <v>4330</v>
      </c>
    </row>
    <row r="382" spans="2:4" x14ac:dyDescent="0.25">
      <c r="B382">
        <v>379</v>
      </c>
      <c r="C382" t="s">
        <v>4331</v>
      </c>
      <c r="D382" t="s">
        <v>120</v>
      </c>
    </row>
    <row r="383" spans="2:4" x14ac:dyDescent="0.25">
      <c r="B383">
        <v>380</v>
      </c>
      <c r="C383" t="s">
        <v>4332</v>
      </c>
      <c r="D383" t="s">
        <v>73</v>
      </c>
    </row>
    <row r="384" spans="2:4" x14ac:dyDescent="0.25">
      <c r="B384">
        <v>381</v>
      </c>
      <c r="C384" t="s">
        <v>4333</v>
      </c>
      <c r="D384" t="s">
        <v>73</v>
      </c>
    </row>
    <row r="385" spans="2:4" x14ac:dyDescent="0.25">
      <c r="B385">
        <v>382</v>
      </c>
      <c r="C385" t="s">
        <v>4334</v>
      </c>
      <c r="D385" t="s">
        <v>120</v>
      </c>
    </row>
    <row r="386" spans="2:4" x14ac:dyDescent="0.25">
      <c r="B386">
        <v>383</v>
      </c>
      <c r="C386" t="s">
        <v>4335</v>
      </c>
      <c r="D386" t="s">
        <v>120</v>
      </c>
    </row>
    <row r="387" spans="2:4" x14ac:dyDescent="0.25">
      <c r="B387">
        <v>384</v>
      </c>
      <c r="C387" t="s">
        <v>4336</v>
      </c>
      <c r="D387" t="s">
        <v>73</v>
      </c>
    </row>
    <row r="388" spans="2:4" x14ac:dyDescent="0.25">
      <c r="B388">
        <v>385</v>
      </c>
      <c r="C388" t="s">
        <v>4337</v>
      </c>
      <c r="D388" t="s">
        <v>73</v>
      </c>
    </row>
    <row r="389" spans="2:4" x14ac:dyDescent="0.25">
      <c r="B389">
        <v>386</v>
      </c>
      <c r="C389" t="s">
        <v>4338</v>
      </c>
      <c r="D389" t="s">
        <v>73</v>
      </c>
    </row>
    <row r="390" spans="2:4" x14ac:dyDescent="0.25">
      <c r="B390">
        <v>387</v>
      </c>
      <c r="C390" t="s">
        <v>4339</v>
      </c>
      <c r="D390" t="s">
        <v>73</v>
      </c>
    </row>
    <row r="391" spans="2:4" x14ac:dyDescent="0.25">
      <c r="B391">
        <v>388</v>
      </c>
      <c r="C391" t="s">
        <v>4340</v>
      </c>
      <c r="D391" t="s">
        <v>73</v>
      </c>
    </row>
    <row r="392" spans="2:4" x14ac:dyDescent="0.25">
      <c r="B392">
        <v>389</v>
      </c>
      <c r="C392" t="s">
        <v>4341</v>
      </c>
      <c r="D392" t="s">
        <v>73</v>
      </c>
    </row>
    <row r="393" spans="2:4" x14ac:dyDescent="0.25">
      <c r="B393">
        <v>390</v>
      </c>
      <c r="C393" t="s">
        <v>4342</v>
      </c>
      <c r="D393" t="s">
        <v>73</v>
      </c>
    </row>
    <row r="394" spans="2:4" x14ac:dyDescent="0.25">
      <c r="B394">
        <v>391</v>
      </c>
      <c r="C394" t="s">
        <v>4343</v>
      </c>
      <c r="D394" t="s">
        <v>189</v>
      </c>
    </row>
    <row r="395" spans="2:4" x14ac:dyDescent="0.25">
      <c r="B395">
        <v>392</v>
      </c>
      <c r="C395" t="s">
        <v>4344</v>
      </c>
      <c r="D395" t="s">
        <v>73</v>
      </c>
    </row>
    <row r="396" spans="2:4" x14ac:dyDescent="0.25">
      <c r="B396">
        <v>393</v>
      </c>
      <c r="C396" t="s">
        <v>4345</v>
      </c>
      <c r="D396" t="s">
        <v>73</v>
      </c>
    </row>
    <row r="397" spans="2:4" x14ac:dyDescent="0.25">
      <c r="B397">
        <v>394</v>
      </c>
      <c r="C397" t="s">
        <v>981</v>
      </c>
      <c r="D397" t="s">
        <v>120</v>
      </c>
    </row>
    <row r="398" spans="2:4" x14ac:dyDescent="0.25">
      <c r="B398">
        <v>395</v>
      </c>
      <c r="C398" t="s">
        <v>4346</v>
      </c>
      <c r="D398" t="s">
        <v>73</v>
      </c>
    </row>
    <row r="399" spans="2:4" x14ac:dyDescent="0.25">
      <c r="B399">
        <v>396</v>
      </c>
      <c r="C399" t="s">
        <v>4347</v>
      </c>
      <c r="D399" t="s">
        <v>267</v>
      </c>
    </row>
    <row r="400" spans="2:4" x14ac:dyDescent="0.25">
      <c r="B400">
        <v>397</v>
      </c>
      <c r="C400" t="s">
        <v>4348</v>
      </c>
      <c r="D400" t="s">
        <v>73</v>
      </c>
    </row>
    <row r="401" spans="2:4" x14ac:dyDescent="0.25">
      <c r="B401">
        <v>398</v>
      </c>
      <c r="C401" t="s">
        <v>4349</v>
      </c>
      <c r="D401" t="s">
        <v>73</v>
      </c>
    </row>
    <row r="402" spans="2:4" x14ac:dyDescent="0.25">
      <c r="B402">
        <v>399</v>
      </c>
      <c r="C402" t="s">
        <v>4350</v>
      </c>
      <c r="D402" t="s">
        <v>120</v>
      </c>
    </row>
    <row r="403" spans="2:4" x14ac:dyDescent="0.25">
      <c r="B403">
        <v>400</v>
      </c>
      <c r="C403" t="s">
        <v>4351</v>
      </c>
      <c r="D403" t="s">
        <v>73</v>
      </c>
    </row>
    <row r="404" spans="2:4" x14ac:dyDescent="0.25">
      <c r="B404">
        <v>401</v>
      </c>
      <c r="C404" t="s">
        <v>4352</v>
      </c>
      <c r="D404" t="s">
        <v>73</v>
      </c>
    </row>
    <row r="405" spans="2:4" x14ac:dyDescent="0.25">
      <c r="B405">
        <v>402</v>
      </c>
      <c r="C405" t="s">
        <v>4353</v>
      </c>
      <c r="D405" t="s">
        <v>195</v>
      </c>
    </row>
    <row r="406" spans="2:4" x14ac:dyDescent="0.25">
      <c r="B406">
        <v>403</v>
      </c>
      <c r="C406" t="s">
        <v>4354</v>
      </c>
      <c r="D406" t="s">
        <v>73</v>
      </c>
    </row>
    <row r="407" spans="2:4" x14ac:dyDescent="0.25">
      <c r="B407">
        <v>404</v>
      </c>
      <c r="C407" t="s">
        <v>4355</v>
      </c>
      <c r="D407" t="s">
        <v>73</v>
      </c>
    </row>
    <row r="408" spans="2:4" x14ac:dyDescent="0.25">
      <c r="B408">
        <v>405</v>
      </c>
      <c r="C408" t="s">
        <v>3407</v>
      </c>
      <c r="D408" t="s">
        <v>73</v>
      </c>
    </row>
    <row r="409" spans="2:4" x14ac:dyDescent="0.25">
      <c r="B409">
        <v>406</v>
      </c>
      <c r="C409" t="s">
        <v>4356</v>
      </c>
      <c r="D409" t="s">
        <v>73</v>
      </c>
    </row>
    <row r="410" spans="2:4" x14ac:dyDescent="0.25">
      <c r="B410">
        <v>407</v>
      </c>
      <c r="C410" t="s">
        <v>4357</v>
      </c>
      <c r="D410" t="s">
        <v>73</v>
      </c>
    </row>
    <row r="411" spans="2:4" x14ac:dyDescent="0.25">
      <c r="B411">
        <v>408</v>
      </c>
      <c r="C411" t="s">
        <v>4358</v>
      </c>
      <c r="D411" t="s">
        <v>73</v>
      </c>
    </row>
    <row r="412" spans="2:4" x14ac:dyDescent="0.25">
      <c r="B412">
        <v>409</v>
      </c>
      <c r="C412" t="s">
        <v>3083</v>
      </c>
      <c r="D412" t="s">
        <v>73</v>
      </c>
    </row>
    <row r="413" spans="2:4" x14ac:dyDescent="0.25">
      <c r="B413">
        <v>410</v>
      </c>
      <c r="C413" t="s">
        <v>4359</v>
      </c>
      <c r="D413" t="s">
        <v>73</v>
      </c>
    </row>
    <row r="414" spans="2:4" x14ac:dyDescent="0.25">
      <c r="B414">
        <v>411</v>
      </c>
      <c r="C414" t="s">
        <v>3970</v>
      </c>
      <c r="D414" t="s">
        <v>73</v>
      </c>
    </row>
    <row r="415" spans="2:4" x14ac:dyDescent="0.25">
      <c r="B415">
        <v>412</v>
      </c>
      <c r="C415" t="s">
        <v>4360</v>
      </c>
      <c r="D415" t="s">
        <v>73</v>
      </c>
    </row>
    <row r="416" spans="2:4" x14ac:dyDescent="0.25">
      <c r="B416">
        <v>413</v>
      </c>
      <c r="C416" t="s">
        <v>4361</v>
      </c>
      <c r="D416" t="s">
        <v>267</v>
      </c>
    </row>
    <row r="417" spans="2:4" x14ac:dyDescent="0.25">
      <c r="B417">
        <v>414</v>
      </c>
      <c r="C417" t="s">
        <v>4362</v>
      </c>
      <c r="D417" t="s">
        <v>91</v>
      </c>
    </row>
    <row r="418" spans="2:4" x14ac:dyDescent="0.25">
      <c r="B418">
        <v>415</v>
      </c>
      <c r="C418" t="s">
        <v>4363</v>
      </c>
      <c r="D418" t="s">
        <v>195</v>
      </c>
    </row>
    <row r="419" spans="2:4" x14ac:dyDescent="0.25">
      <c r="B419">
        <v>416</v>
      </c>
      <c r="C419" t="s">
        <v>3162</v>
      </c>
      <c r="D419" t="s">
        <v>73</v>
      </c>
    </row>
    <row r="420" spans="2:4" x14ac:dyDescent="0.25">
      <c r="B420">
        <v>417</v>
      </c>
      <c r="C420" t="s">
        <v>4364</v>
      </c>
      <c r="D420" t="s">
        <v>73</v>
      </c>
    </row>
    <row r="421" spans="2:4" x14ac:dyDescent="0.25">
      <c r="B421">
        <v>418</v>
      </c>
      <c r="C421" t="s">
        <v>4365</v>
      </c>
      <c r="D421" t="s">
        <v>73</v>
      </c>
    </row>
    <row r="422" spans="2:4" x14ac:dyDescent="0.25">
      <c r="B422">
        <v>419</v>
      </c>
      <c r="C422" t="s">
        <v>3153</v>
      </c>
      <c r="D422" t="s">
        <v>73</v>
      </c>
    </row>
    <row r="423" spans="2:4" x14ac:dyDescent="0.25">
      <c r="B423">
        <v>420</v>
      </c>
      <c r="C423" t="s">
        <v>4366</v>
      </c>
      <c r="D423" t="s">
        <v>73</v>
      </c>
    </row>
    <row r="424" spans="2:4" x14ac:dyDescent="0.25">
      <c r="B424">
        <v>421</v>
      </c>
      <c r="C424" t="s">
        <v>3157</v>
      </c>
      <c r="D424" t="s">
        <v>73</v>
      </c>
    </row>
    <row r="425" spans="2:4" x14ac:dyDescent="0.25">
      <c r="B425">
        <v>422</v>
      </c>
      <c r="C425" t="s">
        <v>4367</v>
      </c>
      <c r="D425" t="s">
        <v>73</v>
      </c>
    </row>
    <row r="426" spans="2:4" x14ac:dyDescent="0.25">
      <c r="B426">
        <v>423</v>
      </c>
      <c r="C426" t="s">
        <v>4368</v>
      </c>
      <c r="D426" t="s">
        <v>73</v>
      </c>
    </row>
    <row r="427" spans="2:4" x14ac:dyDescent="0.25">
      <c r="B427">
        <v>424</v>
      </c>
      <c r="C427" t="s">
        <v>4369</v>
      </c>
      <c r="D427" t="s">
        <v>73</v>
      </c>
    </row>
    <row r="428" spans="2:4" x14ac:dyDescent="0.25">
      <c r="B428">
        <v>425</v>
      </c>
      <c r="C428" t="s">
        <v>4370</v>
      </c>
      <c r="D428" t="s">
        <v>73</v>
      </c>
    </row>
    <row r="429" spans="2:4" x14ac:dyDescent="0.25">
      <c r="B429">
        <v>426</v>
      </c>
      <c r="C429" t="s">
        <v>4371</v>
      </c>
      <c r="D429" t="s">
        <v>73</v>
      </c>
    </row>
    <row r="430" spans="2:4" x14ac:dyDescent="0.25">
      <c r="B430">
        <v>427</v>
      </c>
      <c r="C430" t="s">
        <v>4372</v>
      </c>
      <c r="D430" t="s">
        <v>73</v>
      </c>
    </row>
    <row r="431" spans="2:4" x14ac:dyDescent="0.25">
      <c r="B431">
        <v>428</v>
      </c>
      <c r="C431" t="s">
        <v>4373</v>
      </c>
      <c r="D431" t="s">
        <v>73</v>
      </c>
    </row>
    <row r="432" spans="2:4" x14ac:dyDescent="0.25">
      <c r="B432">
        <v>429</v>
      </c>
      <c r="C432" t="s">
        <v>3172</v>
      </c>
      <c r="D432" t="s">
        <v>73</v>
      </c>
    </row>
    <row r="433" spans="2:4" x14ac:dyDescent="0.25">
      <c r="B433">
        <v>430</v>
      </c>
      <c r="C433" t="s">
        <v>3177</v>
      </c>
      <c r="D433" t="s">
        <v>73</v>
      </c>
    </row>
    <row r="434" spans="2:4" x14ac:dyDescent="0.25">
      <c r="B434">
        <v>431</v>
      </c>
      <c r="C434" t="s">
        <v>4374</v>
      </c>
      <c r="D434" t="s">
        <v>73</v>
      </c>
    </row>
    <row r="435" spans="2:4" x14ac:dyDescent="0.25">
      <c r="B435">
        <v>432</v>
      </c>
      <c r="C435" t="s">
        <v>4375</v>
      </c>
      <c r="D435" t="s">
        <v>91</v>
      </c>
    </row>
    <row r="436" spans="2:4" x14ac:dyDescent="0.25">
      <c r="B436">
        <v>433</v>
      </c>
      <c r="C436" t="s">
        <v>4376</v>
      </c>
      <c r="D436" t="s">
        <v>73</v>
      </c>
    </row>
    <row r="437" spans="2:4" x14ac:dyDescent="0.25">
      <c r="B437">
        <v>434</v>
      </c>
      <c r="C437" t="s">
        <v>4377</v>
      </c>
      <c r="D437" t="s">
        <v>73</v>
      </c>
    </row>
    <row r="438" spans="2:4" x14ac:dyDescent="0.25">
      <c r="B438">
        <v>435</v>
      </c>
      <c r="C438" t="s">
        <v>4378</v>
      </c>
      <c r="D438" t="s">
        <v>73</v>
      </c>
    </row>
    <row r="439" spans="2:4" x14ac:dyDescent="0.25">
      <c r="B439">
        <v>436</v>
      </c>
      <c r="C439" t="s">
        <v>272</v>
      </c>
      <c r="D439" t="s">
        <v>120</v>
      </c>
    </row>
    <row r="440" spans="2:4" x14ac:dyDescent="0.25">
      <c r="B440">
        <v>437</v>
      </c>
      <c r="C440" t="s">
        <v>4379</v>
      </c>
      <c r="D440" t="s">
        <v>73</v>
      </c>
    </row>
    <row r="441" spans="2:4" x14ac:dyDescent="0.25">
      <c r="B441">
        <v>438</v>
      </c>
      <c r="C441" t="s">
        <v>4380</v>
      </c>
      <c r="D441" t="s">
        <v>73</v>
      </c>
    </row>
    <row r="442" spans="2:4" x14ac:dyDescent="0.25">
      <c r="B442">
        <v>439</v>
      </c>
      <c r="C442" t="s">
        <v>4381</v>
      </c>
      <c r="D442" t="s">
        <v>73</v>
      </c>
    </row>
    <row r="443" spans="2:4" x14ac:dyDescent="0.25">
      <c r="B443">
        <v>440</v>
      </c>
      <c r="C443" t="s">
        <v>2237</v>
      </c>
      <c r="D443" t="s">
        <v>73</v>
      </c>
    </row>
    <row r="444" spans="2:4" x14ac:dyDescent="0.25">
      <c r="B444">
        <v>441</v>
      </c>
      <c r="C444" t="s">
        <v>4382</v>
      </c>
      <c r="D444" t="s">
        <v>73</v>
      </c>
    </row>
    <row r="445" spans="2:4" x14ac:dyDescent="0.25">
      <c r="B445">
        <v>442</v>
      </c>
      <c r="C445" t="s">
        <v>4383</v>
      </c>
      <c r="D445" t="s">
        <v>73</v>
      </c>
    </row>
    <row r="446" spans="2:4" x14ac:dyDescent="0.25">
      <c r="B446">
        <v>443</v>
      </c>
      <c r="C446" t="s">
        <v>4384</v>
      </c>
      <c r="D446" t="s">
        <v>73</v>
      </c>
    </row>
    <row r="447" spans="2:4" x14ac:dyDescent="0.25">
      <c r="B447">
        <v>444</v>
      </c>
      <c r="C447" t="s">
        <v>2069</v>
      </c>
      <c r="D447" t="s">
        <v>73</v>
      </c>
    </row>
    <row r="448" spans="2:4" x14ac:dyDescent="0.25">
      <c r="B448">
        <v>445</v>
      </c>
      <c r="C448" t="s">
        <v>4385</v>
      </c>
      <c r="D448" t="s">
        <v>73</v>
      </c>
    </row>
    <row r="449" spans="2:4" x14ac:dyDescent="0.25">
      <c r="B449">
        <v>446</v>
      </c>
      <c r="C449" t="s">
        <v>4386</v>
      </c>
      <c r="D449" t="s">
        <v>73</v>
      </c>
    </row>
    <row r="450" spans="2:4" x14ac:dyDescent="0.25">
      <c r="B450">
        <v>447</v>
      </c>
      <c r="C450" t="s">
        <v>805</v>
      </c>
      <c r="D450" t="s">
        <v>73</v>
      </c>
    </row>
    <row r="451" spans="2:4" x14ac:dyDescent="0.25">
      <c r="B451">
        <v>448</v>
      </c>
      <c r="C451" t="s">
        <v>598</v>
      </c>
      <c r="D451" t="s">
        <v>73</v>
      </c>
    </row>
    <row r="452" spans="2:4" x14ac:dyDescent="0.25">
      <c r="B452">
        <v>449</v>
      </c>
      <c r="C452" t="s">
        <v>4387</v>
      </c>
      <c r="D452" t="s">
        <v>73</v>
      </c>
    </row>
    <row r="453" spans="2:4" x14ac:dyDescent="0.25">
      <c r="B453">
        <v>450</v>
      </c>
      <c r="C453" t="s">
        <v>4388</v>
      </c>
      <c r="D453" t="s">
        <v>73</v>
      </c>
    </row>
    <row r="454" spans="2:4" x14ac:dyDescent="0.25">
      <c r="B454">
        <v>451</v>
      </c>
      <c r="C454" t="s">
        <v>1901</v>
      </c>
      <c r="D454" t="s">
        <v>73</v>
      </c>
    </row>
    <row r="455" spans="2:4" x14ac:dyDescent="0.25">
      <c r="B455">
        <v>452</v>
      </c>
      <c r="C455" t="s">
        <v>4389</v>
      </c>
      <c r="D455" t="s">
        <v>267</v>
      </c>
    </row>
    <row r="456" spans="2:4" x14ac:dyDescent="0.25">
      <c r="B456">
        <v>453</v>
      </c>
      <c r="C456" t="s">
        <v>4390</v>
      </c>
      <c r="D456" t="s">
        <v>73</v>
      </c>
    </row>
    <row r="457" spans="2:4" x14ac:dyDescent="0.25">
      <c r="B457">
        <v>454</v>
      </c>
      <c r="C457" t="s">
        <v>4391</v>
      </c>
      <c r="D457" t="s">
        <v>91</v>
      </c>
    </row>
    <row r="458" spans="2:4" x14ac:dyDescent="0.25">
      <c r="B458">
        <v>455</v>
      </c>
      <c r="C458" t="s">
        <v>4392</v>
      </c>
      <c r="D458" t="s">
        <v>73</v>
      </c>
    </row>
    <row r="459" spans="2:4" x14ac:dyDescent="0.25">
      <c r="B459">
        <v>456</v>
      </c>
      <c r="C459" t="s">
        <v>4393</v>
      </c>
      <c r="D459" t="s">
        <v>73</v>
      </c>
    </row>
    <row r="460" spans="2:4" x14ac:dyDescent="0.25">
      <c r="B460">
        <v>457</v>
      </c>
      <c r="C460" t="s">
        <v>4394</v>
      </c>
      <c r="D460" t="s">
        <v>267</v>
      </c>
    </row>
    <row r="461" spans="2:4" x14ac:dyDescent="0.25">
      <c r="B461">
        <v>458</v>
      </c>
      <c r="C461" t="s">
        <v>4395</v>
      </c>
      <c r="D461" t="s">
        <v>73</v>
      </c>
    </row>
    <row r="462" spans="2:4" x14ac:dyDescent="0.25">
      <c r="B462">
        <v>459</v>
      </c>
      <c r="C462" t="s">
        <v>4396</v>
      </c>
      <c r="D462" t="s">
        <v>183</v>
      </c>
    </row>
    <row r="463" spans="2:4" x14ac:dyDescent="0.25">
      <c r="B463">
        <v>460</v>
      </c>
      <c r="C463" t="s">
        <v>4397</v>
      </c>
      <c r="D463" t="s">
        <v>73</v>
      </c>
    </row>
    <row r="464" spans="2:4" x14ac:dyDescent="0.25">
      <c r="B464">
        <v>461</v>
      </c>
      <c r="C464" t="s">
        <v>4398</v>
      </c>
      <c r="D464" t="s">
        <v>73</v>
      </c>
    </row>
    <row r="465" spans="2:4" x14ac:dyDescent="0.25">
      <c r="B465">
        <v>462</v>
      </c>
      <c r="C465" t="s">
        <v>4399</v>
      </c>
      <c r="D465" t="s">
        <v>120</v>
      </c>
    </row>
    <row r="466" spans="2:4" x14ac:dyDescent="0.25">
      <c r="B466">
        <v>463</v>
      </c>
      <c r="C466" t="s">
        <v>4400</v>
      </c>
      <c r="D466" t="s">
        <v>120</v>
      </c>
    </row>
    <row r="467" spans="2:4" x14ac:dyDescent="0.25">
      <c r="B467">
        <v>464</v>
      </c>
      <c r="C467" t="s">
        <v>4401</v>
      </c>
      <c r="D467" t="s">
        <v>73</v>
      </c>
    </row>
    <row r="468" spans="2:4" x14ac:dyDescent="0.25">
      <c r="B468">
        <v>465</v>
      </c>
      <c r="C468" t="s">
        <v>4402</v>
      </c>
      <c r="D468" t="s">
        <v>73</v>
      </c>
    </row>
    <row r="469" spans="2:4" x14ac:dyDescent="0.25">
      <c r="B469">
        <v>466</v>
      </c>
      <c r="C469" t="s">
        <v>2156</v>
      </c>
      <c r="D469" t="s">
        <v>267</v>
      </c>
    </row>
    <row r="470" spans="2:4" x14ac:dyDescent="0.25">
      <c r="B470">
        <v>467</v>
      </c>
      <c r="C470" t="s">
        <v>4403</v>
      </c>
      <c r="D470" t="s">
        <v>73</v>
      </c>
    </row>
    <row r="471" spans="2:4" x14ac:dyDescent="0.25">
      <c r="B471">
        <v>468</v>
      </c>
      <c r="C471" t="s">
        <v>3304</v>
      </c>
      <c r="D471" t="s">
        <v>73</v>
      </c>
    </row>
    <row r="472" spans="2:4" x14ac:dyDescent="0.25">
      <c r="B472">
        <v>469</v>
      </c>
      <c r="C472" t="s">
        <v>90</v>
      </c>
      <c r="D472" t="s">
        <v>91</v>
      </c>
    </row>
    <row r="473" spans="2:4" x14ac:dyDescent="0.25">
      <c r="B473">
        <v>470</v>
      </c>
      <c r="C473" t="s">
        <v>4404</v>
      </c>
      <c r="D473" t="s">
        <v>183</v>
      </c>
    </row>
    <row r="474" spans="2:4" x14ac:dyDescent="0.25">
      <c r="B474">
        <v>471</v>
      </c>
      <c r="C474" t="s">
        <v>4405</v>
      </c>
      <c r="D474" t="s">
        <v>267</v>
      </c>
    </row>
    <row r="475" spans="2:4" x14ac:dyDescent="0.25">
      <c r="B475">
        <v>472</v>
      </c>
      <c r="C475" t="s">
        <v>1954</v>
      </c>
      <c r="D475" t="s">
        <v>195</v>
      </c>
    </row>
    <row r="476" spans="2:4" x14ac:dyDescent="0.25">
      <c r="B476">
        <v>473</v>
      </c>
      <c r="C476" t="s">
        <v>4406</v>
      </c>
      <c r="D476" t="s">
        <v>183</v>
      </c>
    </row>
    <row r="477" spans="2:4" x14ac:dyDescent="0.25">
      <c r="B477">
        <v>474</v>
      </c>
      <c r="C477" t="s">
        <v>4407</v>
      </c>
      <c r="D477" t="s">
        <v>73</v>
      </c>
    </row>
    <row r="478" spans="2:4" x14ac:dyDescent="0.25">
      <c r="B478">
        <v>475</v>
      </c>
      <c r="C478" t="s">
        <v>4408</v>
      </c>
      <c r="D478" t="s">
        <v>120</v>
      </c>
    </row>
    <row r="479" spans="2:4" x14ac:dyDescent="0.25">
      <c r="B479">
        <v>476</v>
      </c>
      <c r="C479" t="s">
        <v>3034</v>
      </c>
      <c r="D479" t="s">
        <v>290</v>
      </c>
    </row>
    <row r="480" spans="2:4" x14ac:dyDescent="0.25">
      <c r="B480">
        <v>477</v>
      </c>
      <c r="C480" t="s">
        <v>1286</v>
      </c>
      <c r="D480" t="s">
        <v>120</v>
      </c>
    </row>
    <row r="481" spans="2:4" x14ac:dyDescent="0.25">
      <c r="B481">
        <v>478</v>
      </c>
      <c r="C481" t="s">
        <v>4409</v>
      </c>
      <c r="D481" t="s">
        <v>290</v>
      </c>
    </row>
    <row r="482" spans="2:4" x14ac:dyDescent="0.25">
      <c r="B482">
        <v>479</v>
      </c>
      <c r="C482" t="s">
        <v>1016</v>
      </c>
      <c r="D482" t="s">
        <v>120</v>
      </c>
    </row>
    <row r="483" spans="2:4" x14ac:dyDescent="0.25">
      <c r="B483">
        <v>480</v>
      </c>
      <c r="C483" t="s">
        <v>4410</v>
      </c>
      <c r="D483" t="s">
        <v>73</v>
      </c>
    </row>
    <row r="484" spans="2:4" x14ac:dyDescent="0.25">
      <c r="B484">
        <v>481</v>
      </c>
      <c r="C484" t="s">
        <v>4411</v>
      </c>
      <c r="D484" t="s">
        <v>73</v>
      </c>
    </row>
    <row r="485" spans="2:4" x14ac:dyDescent="0.25">
      <c r="B485">
        <v>482</v>
      </c>
      <c r="C485" t="s">
        <v>394</v>
      </c>
      <c r="D485" t="s">
        <v>73</v>
      </c>
    </row>
    <row r="486" spans="2:4" x14ac:dyDescent="0.25">
      <c r="B486">
        <v>483</v>
      </c>
      <c r="C486" t="s">
        <v>4412</v>
      </c>
      <c r="D486" t="s">
        <v>73</v>
      </c>
    </row>
    <row r="487" spans="2:4" x14ac:dyDescent="0.25">
      <c r="B487">
        <v>484</v>
      </c>
      <c r="C487" t="s">
        <v>4413</v>
      </c>
      <c r="D487" t="s">
        <v>290</v>
      </c>
    </row>
    <row r="488" spans="2:4" x14ac:dyDescent="0.25">
      <c r="B488">
        <v>485</v>
      </c>
      <c r="C488" t="s">
        <v>748</v>
      </c>
      <c r="D488" t="s">
        <v>73</v>
      </c>
    </row>
    <row r="489" spans="2:4" x14ac:dyDescent="0.25">
      <c r="B489">
        <v>486</v>
      </c>
      <c r="C489" t="s">
        <v>4414</v>
      </c>
      <c r="D489" t="s">
        <v>267</v>
      </c>
    </row>
    <row r="490" spans="2:4" x14ac:dyDescent="0.25">
      <c r="B490">
        <v>487</v>
      </c>
      <c r="C490" t="s">
        <v>4415</v>
      </c>
      <c r="D490" t="s">
        <v>73</v>
      </c>
    </row>
    <row r="491" spans="2:4" x14ac:dyDescent="0.25">
      <c r="B491">
        <v>488</v>
      </c>
      <c r="C491" t="s">
        <v>4416</v>
      </c>
      <c r="D491" t="s">
        <v>73</v>
      </c>
    </row>
    <row r="492" spans="2:4" x14ac:dyDescent="0.25">
      <c r="B492">
        <v>489</v>
      </c>
      <c r="C492" t="s">
        <v>1090</v>
      </c>
      <c r="D492" t="s">
        <v>189</v>
      </c>
    </row>
    <row r="493" spans="2:4" x14ac:dyDescent="0.25">
      <c r="B493">
        <v>490</v>
      </c>
      <c r="C493" t="s">
        <v>4417</v>
      </c>
      <c r="D493" t="s">
        <v>73</v>
      </c>
    </row>
    <row r="494" spans="2:4" x14ac:dyDescent="0.25">
      <c r="B494">
        <v>491</v>
      </c>
      <c r="C494" t="s">
        <v>4418</v>
      </c>
      <c r="D494" t="s">
        <v>73</v>
      </c>
    </row>
    <row r="495" spans="2:4" x14ac:dyDescent="0.25">
      <c r="B495">
        <v>492</v>
      </c>
      <c r="C495" t="s">
        <v>832</v>
      </c>
      <c r="D495" t="s">
        <v>73</v>
      </c>
    </row>
    <row r="496" spans="2:4" x14ac:dyDescent="0.25">
      <c r="B496">
        <v>493</v>
      </c>
      <c r="C496" t="s">
        <v>4419</v>
      </c>
      <c r="D496" t="s">
        <v>73</v>
      </c>
    </row>
    <row r="497" spans="2:4" x14ac:dyDescent="0.25">
      <c r="B497">
        <v>494</v>
      </c>
      <c r="C497" t="s">
        <v>4420</v>
      </c>
      <c r="D497" t="s">
        <v>73</v>
      </c>
    </row>
    <row r="498" spans="2:4" x14ac:dyDescent="0.25">
      <c r="B498">
        <v>495</v>
      </c>
      <c r="C498" t="s">
        <v>4421</v>
      </c>
      <c r="D498" t="s">
        <v>73</v>
      </c>
    </row>
    <row r="499" spans="2:4" x14ac:dyDescent="0.25">
      <c r="B499">
        <v>496</v>
      </c>
      <c r="C499" t="s">
        <v>4422</v>
      </c>
      <c r="D499" t="s">
        <v>73</v>
      </c>
    </row>
    <row r="500" spans="2:4" x14ac:dyDescent="0.25">
      <c r="B500">
        <v>497</v>
      </c>
      <c r="C500" t="s">
        <v>633</v>
      </c>
      <c r="D500" t="s">
        <v>73</v>
      </c>
    </row>
    <row r="501" spans="2:4" x14ac:dyDescent="0.25">
      <c r="B501">
        <v>498</v>
      </c>
      <c r="C501" t="s">
        <v>828</v>
      </c>
      <c r="D501" t="s">
        <v>73</v>
      </c>
    </row>
    <row r="502" spans="2:4" x14ac:dyDescent="0.25">
      <c r="B502">
        <v>499</v>
      </c>
      <c r="C502" t="s">
        <v>4423</v>
      </c>
      <c r="D502" t="s">
        <v>267</v>
      </c>
    </row>
    <row r="503" spans="2:4" x14ac:dyDescent="0.25">
      <c r="B503">
        <v>500</v>
      </c>
      <c r="C503" t="s">
        <v>4424</v>
      </c>
      <c r="D503" t="s">
        <v>195</v>
      </c>
    </row>
    <row r="504" spans="2:4" x14ac:dyDescent="0.25">
      <c r="B504">
        <v>501</v>
      </c>
      <c r="C504" t="s">
        <v>4425</v>
      </c>
      <c r="D504" t="s">
        <v>73</v>
      </c>
    </row>
    <row r="505" spans="2:4" x14ac:dyDescent="0.25">
      <c r="B505">
        <v>502</v>
      </c>
      <c r="C505" t="s">
        <v>4426</v>
      </c>
      <c r="D505" t="s">
        <v>73</v>
      </c>
    </row>
    <row r="506" spans="2:4" x14ac:dyDescent="0.25">
      <c r="B506">
        <v>503</v>
      </c>
      <c r="C506" t="s">
        <v>4427</v>
      </c>
      <c r="D506" t="s">
        <v>73</v>
      </c>
    </row>
    <row r="507" spans="2:4" x14ac:dyDescent="0.25">
      <c r="B507">
        <v>504</v>
      </c>
      <c r="C507" t="s">
        <v>4428</v>
      </c>
      <c r="D507" t="s">
        <v>73</v>
      </c>
    </row>
    <row r="508" spans="2:4" x14ac:dyDescent="0.25">
      <c r="B508">
        <v>505</v>
      </c>
      <c r="C508" t="s">
        <v>4429</v>
      </c>
      <c r="D508" t="s">
        <v>73</v>
      </c>
    </row>
    <row r="509" spans="2:4" x14ac:dyDescent="0.25">
      <c r="B509">
        <v>506</v>
      </c>
      <c r="C509" t="s">
        <v>4430</v>
      </c>
      <c r="D509" t="s">
        <v>73</v>
      </c>
    </row>
    <row r="510" spans="2:4" x14ac:dyDescent="0.25">
      <c r="B510">
        <v>507</v>
      </c>
      <c r="C510" t="s">
        <v>4431</v>
      </c>
      <c r="D510" t="s">
        <v>73</v>
      </c>
    </row>
    <row r="511" spans="2:4" x14ac:dyDescent="0.25">
      <c r="B511">
        <v>508</v>
      </c>
      <c r="C511" t="s">
        <v>4432</v>
      </c>
      <c r="D511" t="s">
        <v>73</v>
      </c>
    </row>
    <row r="512" spans="2:4" x14ac:dyDescent="0.25">
      <c r="B512">
        <v>509</v>
      </c>
      <c r="C512" t="s">
        <v>4433</v>
      </c>
      <c r="D512" t="s">
        <v>73</v>
      </c>
    </row>
    <row r="513" spans="2:4" x14ac:dyDescent="0.25">
      <c r="B513">
        <v>510</v>
      </c>
      <c r="C513" t="s">
        <v>135</v>
      </c>
      <c r="D513" t="s">
        <v>91</v>
      </c>
    </row>
    <row r="514" spans="2:4" x14ac:dyDescent="0.25">
      <c r="B514">
        <v>511</v>
      </c>
      <c r="C514" t="s">
        <v>4434</v>
      </c>
      <c r="D514" t="s">
        <v>73</v>
      </c>
    </row>
    <row r="515" spans="2:4" x14ac:dyDescent="0.25">
      <c r="B515">
        <v>512</v>
      </c>
      <c r="C515" t="s">
        <v>4435</v>
      </c>
      <c r="D515" t="s">
        <v>73</v>
      </c>
    </row>
    <row r="516" spans="2:4" x14ac:dyDescent="0.25">
      <c r="B516">
        <v>513</v>
      </c>
      <c r="C516" t="s">
        <v>4436</v>
      </c>
      <c r="D516" t="s">
        <v>73</v>
      </c>
    </row>
    <row r="517" spans="2:4" x14ac:dyDescent="0.25">
      <c r="B517">
        <v>514</v>
      </c>
      <c r="C517" t="s">
        <v>4437</v>
      </c>
      <c r="D517" t="s">
        <v>73</v>
      </c>
    </row>
    <row r="518" spans="2:4" x14ac:dyDescent="0.25">
      <c r="B518">
        <v>515</v>
      </c>
      <c r="C518" t="s">
        <v>4438</v>
      </c>
      <c r="D518" t="s">
        <v>120</v>
      </c>
    </row>
    <row r="519" spans="2:4" x14ac:dyDescent="0.25">
      <c r="B519">
        <v>516</v>
      </c>
      <c r="C519" t="s">
        <v>4439</v>
      </c>
      <c r="D519" t="s">
        <v>290</v>
      </c>
    </row>
    <row r="520" spans="2:4" x14ac:dyDescent="0.25">
      <c r="B520">
        <v>517</v>
      </c>
      <c r="C520" t="s">
        <v>4440</v>
      </c>
      <c r="D520" t="s">
        <v>73</v>
      </c>
    </row>
    <row r="521" spans="2:4" x14ac:dyDescent="0.25">
      <c r="B521">
        <v>518</v>
      </c>
      <c r="C521" t="s">
        <v>4441</v>
      </c>
      <c r="D521" t="s">
        <v>73</v>
      </c>
    </row>
    <row r="522" spans="2:4" x14ac:dyDescent="0.25">
      <c r="B522">
        <v>519</v>
      </c>
      <c r="C522" t="s">
        <v>4442</v>
      </c>
      <c r="D522" t="s">
        <v>91</v>
      </c>
    </row>
    <row r="523" spans="2:4" x14ac:dyDescent="0.25">
      <c r="B523">
        <v>520</v>
      </c>
      <c r="C523" t="s">
        <v>2207</v>
      </c>
      <c r="D523" t="s">
        <v>130</v>
      </c>
    </row>
    <row r="524" spans="2:4" x14ac:dyDescent="0.25">
      <c r="B524">
        <v>521</v>
      </c>
      <c r="C524" t="s">
        <v>3907</v>
      </c>
      <c r="D524" t="s">
        <v>73</v>
      </c>
    </row>
    <row r="525" spans="2:4" x14ac:dyDescent="0.25">
      <c r="B525">
        <v>522</v>
      </c>
      <c r="C525" t="s">
        <v>4443</v>
      </c>
      <c r="D525" t="s">
        <v>73</v>
      </c>
    </row>
    <row r="526" spans="2:4" x14ac:dyDescent="0.25">
      <c r="B526">
        <v>523</v>
      </c>
      <c r="C526" t="s">
        <v>246</v>
      </c>
      <c r="D526" t="s">
        <v>189</v>
      </c>
    </row>
    <row r="527" spans="2:4" x14ac:dyDescent="0.25">
      <c r="B527">
        <v>524</v>
      </c>
      <c r="C527" t="s">
        <v>905</v>
      </c>
      <c r="D527" t="s">
        <v>189</v>
      </c>
    </row>
    <row r="528" spans="2:4" x14ac:dyDescent="0.25">
      <c r="B528">
        <v>525</v>
      </c>
      <c r="C528" t="s">
        <v>4444</v>
      </c>
      <c r="D528" t="s">
        <v>73</v>
      </c>
    </row>
    <row r="529" spans="2:4" x14ac:dyDescent="0.25">
      <c r="B529">
        <v>526</v>
      </c>
      <c r="C529" t="s">
        <v>3132</v>
      </c>
      <c r="D529" t="s">
        <v>267</v>
      </c>
    </row>
    <row r="530" spans="2:4" x14ac:dyDescent="0.25">
      <c r="B530">
        <v>527</v>
      </c>
      <c r="C530" t="s">
        <v>4445</v>
      </c>
      <c r="D530" t="s">
        <v>195</v>
      </c>
    </row>
    <row r="531" spans="2:4" x14ac:dyDescent="0.25">
      <c r="B531">
        <v>528</v>
      </c>
      <c r="C531" t="s">
        <v>4446</v>
      </c>
      <c r="D531" t="s">
        <v>195</v>
      </c>
    </row>
    <row r="532" spans="2:4" x14ac:dyDescent="0.25">
      <c r="B532">
        <v>529</v>
      </c>
      <c r="C532" t="s">
        <v>4447</v>
      </c>
      <c r="D532" t="s">
        <v>4448</v>
      </c>
    </row>
    <row r="533" spans="2:4" x14ac:dyDescent="0.25">
      <c r="B533">
        <v>530</v>
      </c>
      <c r="C533" t="s">
        <v>4449</v>
      </c>
      <c r="D533" t="s">
        <v>183</v>
      </c>
    </row>
    <row r="534" spans="2:4" x14ac:dyDescent="0.25">
      <c r="B534">
        <v>531</v>
      </c>
      <c r="C534" t="s">
        <v>4450</v>
      </c>
      <c r="D534" t="s">
        <v>73</v>
      </c>
    </row>
    <row r="535" spans="2:4" x14ac:dyDescent="0.25">
      <c r="B535">
        <v>532</v>
      </c>
      <c r="C535" t="s">
        <v>1092</v>
      </c>
      <c r="D535" t="s">
        <v>189</v>
      </c>
    </row>
    <row r="536" spans="2:4" x14ac:dyDescent="0.25">
      <c r="B536">
        <v>533</v>
      </c>
      <c r="C536" t="s">
        <v>698</v>
      </c>
      <c r="D536" t="s">
        <v>73</v>
      </c>
    </row>
    <row r="537" spans="2:4" x14ac:dyDescent="0.25">
      <c r="B537">
        <v>534</v>
      </c>
      <c r="C537" t="s">
        <v>2362</v>
      </c>
      <c r="D537" t="s">
        <v>73</v>
      </c>
    </row>
    <row r="538" spans="2:4" x14ac:dyDescent="0.25">
      <c r="B538">
        <v>535</v>
      </c>
      <c r="C538" t="s">
        <v>4451</v>
      </c>
      <c r="D538" t="s">
        <v>73</v>
      </c>
    </row>
    <row r="539" spans="2:4" x14ac:dyDescent="0.25">
      <c r="B539">
        <v>536</v>
      </c>
      <c r="C539" t="s">
        <v>4452</v>
      </c>
      <c r="D539" t="s">
        <v>267</v>
      </c>
    </row>
    <row r="540" spans="2:4" x14ac:dyDescent="0.25">
      <c r="B540">
        <v>537</v>
      </c>
      <c r="C540" t="s">
        <v>4453</v>
      </c>
      <c r="D540" t="s">
        <v>267</v>
      </c>
    </row>
    <row r="541" spans="2:4" x14ac:dyDescent="0.25">
      <c r="B541">
        <v>538</v>
      </c>
      <c r="C541" t="s">
        <v>4454</v>
      </c>
      <c r="D541" t="s">
        <v>267</v>
      </c>
    </row>
    <row r="542" spans="2:4" x14ac:dyDescent="0.25">
      <c r="B542">
        <v>539</v>
      </c>
      <c r="C542" t="s">
        <v>4455</v>
      </c>
      <c r="D542" t="s">
        <v>267</v>
      </c>
    </row>
    <row r="543" spans="2:4" x14ac:dyDescent="0.25">
      <c r="B543">
        <v>540</v>
      </c>
      <c r="C543" t="s">
        <v>2526</v>
      </c>
      <c r="D543" t="s">
        <v>267</v>
      </c>
    </row>
    <row r="544" spans="2:4" x14ac:dyDescent="0.25">
      <c r="B544">
        <v>541</v>
      </c>
      <c r="C544" t="s">
        <v>3130</v>
      </c>
      <c r="D544" t="s">
        <v>267</v>
      </c>
    </row>
    <row r="545" spans="2:4" x14ac:dyDescent="0.25">
      <c r="B545">
        <v>542</v>
      </c>
      <c r="C545" t="s">
        <v>3578</v>
      </c>
      <c r="D545" t="s">
        <v>73</v>
      </c>
    </row>
    <row r="546" spans="2:4" x14ac:dyDescent="0.25">
      <c r="B546">
        <v>543</v>
      </c>
      <c r="C546" t="s">
        <v>1609</v>
      </c>
      <c r="D546" t="s">
        <v>73</v>
      </c>
    </row>
    <row r="547" spans="2:4" x14ac:dyDescent="0.25">
      <c r="B547">
        <v>544</v>
      </c>
      <c r="C547" t="s">
        <v>4456</v>
      </c>
      <c r="D547" t="s">
        <v>189</v>
      </c>
    </row>
    <row r="548" spans="2:4" x14ac:dyDescent="0.25">
      <c r="B548">
        <v>545</v>
      </c>
      <c r="C548" t="s">
        <v>4457</v>
      </c>
      <c r="D548" t="s">
        <v>267</v>
      </c>
    </row>
    <row r="549" spans="2:4" x14ac:dyDescent="0.25">
      <c r="B549">
        <v>546</v>
      </c>
      <c r="C549" t="s">
        <v>4458</v>
      </c>
      <c r="D549" t="s">
        <v>267</v>
      </c>
    </row>
    <row r="550" spans="2:4" x14ac:dyDescent="0.25">
      <c r="B550">
        <v>547</v>
      </c>
      <c r="C550" t="s">
        <v>4459</v>
      </c>
      <c r="D550" t="s">
        <v>267</v>
      </c>
    </row>
    <row r="551" spans="2:4" x14ac:dyDescent="0.25">
      <c r="B551">
        <v>548</v>
      </c>
      <c r="C551" t="s">
        <v>4460</v>
      </c>
      <c r="D551" t="s">
        <v>267</v>
      </c>
    </row>
    <row r="552" spans="2:4" x14ac:dyDescent="0.25">
      <c r="B552">
        <v>549</v>
      </c>
      <c r="C552" t="s">
        <v>4461</v>
      </c>
      <c r="D552" t="s">
        <v>267</v>
      </c>
    </row>
    <row r="553" spans="2:4" x14ac:dyDescent="0.25">
      <c r="B553">
        <v>550</v>
      </c>
      <c r="C553" t="s">
        <v>4462</v>
      </c>
      <c r="D553" t="s">
        <v>73</v>
      </c>
    </row>
    <row r="554" spans="2:4" x14ac:dyDescent="0.25">
      <c r="B554">
        <v>551</v>
      </c>
      <c r="C554" t="s">
        <v>4463</v>
      </c>
      <c r="D554" t="s">
        <v>267</v>
      </c>
    </row>
    <row r="555" spans="2:4" x14ac:dyDescent="0.25">
      <c r="B555">
        <v>552</v>
      </c>
      <c r="C555" t="s">
        <v>4464</v>
      </c>
      <c r="D555" t="s">
        <v>73</v>
      </c>
    </row>
    <row r="556" spans="2:4" x14ac:dyDescent="0.25">
      <c r="B556">
        <v>553</v>
      </c>
      <c r="C556" t="s">
        <v>4465</v>
      </c>
      <c r="D556" t="s">
        <v>73</v>
      </c>
    </row>
    <row r="557" spans="2:4" x14ac:dyDescent="0.25">
      <c r="B557">
        <v>554</v>
      </c>
      <c r="C557" t="s">
        <v>4466</v>
      </c>
      <c r="D557" t="s">
        <v>73</v>
      </c>
    </row>
    <row r="558" spans="2:4" x14ac:dyDescent="0.25">
      <c r="B558">
        <v>555</v>
      </c>
      <c r="C558" t="s">
        <v>4467</v>
      </c>
      <c r="D558" t="s">
        <v>73</v>
      </c>
    </row>
    <row r="559" spans="2:4" x14ac:dyDescent="0.25">
      <c r="B559">
        <v>556</v>
      </c>
      <c r="C559" t="s">
        <v>4468</v>
      </c>
      <c r="D559" t="s">
        <v>73</v>
      </c>
    </row>
    <row r="560" spans="2:4" x14ac:dyDescent="0.25">
      <c r="B560">
        <v>557</v>
      </c>
      <c r="C560" t="s">
        <v>4469</v>
      </c>
      <c r="D560" t="s">
        <v>195</v>
      </c>
    </row>
    <row r="561" spans="2:4" x14ac:dyDescent="0.25">
      <c r="B561">
        <v>558</v>
      </c>
      <c r="C561" t="s">
        <v>3409</v>
      </c>
      <c r="D561" t="s">
        <v>130</v>
      </c>
    </row>
    <row r="562" spans="2:4" x14ac:dyDescent="0.25">
      <c r="B562">
        <v>559</v>
      </c>
      <c r="C562" t="s">
        <v>4470</v>
      </c>
      <c r="D562" t="s">
        <v>73</v>
      </c>
    </row>
    <row r="563" spans="2:4" x14ac:dyDescent="0.25">
      <c r="B563">
        <v>560</v>
      </c>
      <c r="C563" t="s">
        <v>4471</v>
      </c>
      <c r="D563" t="s">
        <v>73</v>
      </c>
    </row>
    <row r="564" spans="2:4" x14ac:dyDescent="0.25">
      <c r="B564">
        <v>561</v>
      </c>
      <c r="C564" t="s">
        <v>4472</v>
      </c>
      <c r="D564" t="s">
        <v>73</v>
      </c>
    </row>
    <row r="565" spans="2:4" x14ac:dyDescent="0.25">
      <c r="B565">
        <v>562</v>
      </c>
      <c r="C565" t="s">
        <v>4473</v>
      </c>
      <c r="D565" t="s">
        <v>73</v>
      </c>
    </row>
    <row r="566" spans="2:4" x14ac:dyDescent="0.25">
      <c r="B566">
        <v>563</v>
      </c>
      <c r="C566" t="s">
        <v>4474</v>
      </c>
      <c r="D566" t="s">
        <v>130</v>
      </c>
    </row>
    <row r="567" spans="2:4" x14ac:dyDescent="0.25">
      <c r="B567">
        <v>564</v>
      </c>
      <c r="C567" t="s">
        <v>3046</v>
      </c>
      <c r="D567" t="s">
        <v>120</v>
      </c>
    </row>
    <row r="568" spans="2:4" x14ac:dyDescent="0.25">
      <c r="B568">
        <v>565</v>
      </c>
      <c r="C568" t="s">
        <v>4475</v>
      </c>
      <c r="D568" t="s">
        <v>130</v>
      </c>
    </row>
    <row r="569" spans="2:4" x14ac:dyDescent="0.25">
      <c r="B569">
        <v>566</v>
      </c>
      <c r="C569" t="s">
        <v>4476</v>
      </c>
      <c r="D569" t="s">
        <v>73</v>
      </c>
    </row>
    <row r="570" spans="2:4" x14ac:dyDescent="0.25">
      <c r="B570">
        <v>567</v>
      </c>
      <c r="C570" t="s">
        <v>4477</v>
      </c>
      <c r="D570" t="s">
        <v>267</v>
      </c>
    </row>
    <row r="571" spans="2:4" x14ac:dyDescent="0.25">
      <c r="B571">
        <v>568</v>
      </c>
      <c r="C571" t="s">
        <v>1126</v>
      </c>
      <c r="D571" t="s">
        <v>91</v>
      </c>
    </row>
    <row r="572" spans="2:4" x14ac:dyDescent="0.25">
      <c r="B572">
        <v>569</v>
      </c>
      <c r="C572" t="s">
        <v>3966</v>
      </c>
      <c r="D572" t="s">
        <v>73</v>
      </c>
    </row>
    <row r="573" spans="2:4" x14ac:dyDescent="0.25">
      <c r="B573">
        <v>570</v>
      </c>
      <c r="C573" t="s">
        <v>1111</v>
      </c>
      <c r="D573" t="s">
        <v>91</v>
      </c>
    </row>
    <row r="574" spans="2:4" x14ac:dyDescent="0.25">
      <c r="B574">
        <v>571</v>
      </c>
      <c r="C574" t="s">
        <v>342</v>
      </c>
      <c r="D574" t="s">
        <v>73</v>
      </c>
    </row>
    <row r="575" spans="2:4" x14ac:dyDescent="0.25">
      <c r="B575">
        <v>572</v>
      </c>
      <c r="C575" t="s">
        <v>539</v>
      </c>
      <c r="D575" t="s">
        <v>91</v>
      </c>
    </row>
    <row r="576" spans="2:4" x14ac:dyDescent="0.25">
      <c r="B576">
        <v>573</v>
      </c>
      <c r="C576" t="s">
        <v>3272</v>
      </c>
      <c r="D576" t="s">
        <v>267</v>
      </c>
    </row>
    <row r="577" spans="2:4" x14ac:dyDescent="0.25">
      <c r="B577">
        <v>574</v>
      </c>
      <c r="C577" t="s">
        <v>2461</v>
      </c>
      <c r="D577" t="s">
        <v>183</v>
      </c>
    </row>
    <row r="578" spans="2:4" x14ac:dyDescent="0.25">
      <c r="B578">
        <v>575</v>
      </c>
      <c r="C578" t="s">
        <v>1566</v>
      </c>
      <c r="D578" t="s">
        <v>183</v>
      </c>
    </row>
    <row r="579" spans="2:4" x14ac:dyDescent="0.25">
      <c r="B579">
        <v>576</v>
      </c>
      <c r="C579" t="s">
        <v>4478</v>
      </c>
      <c r="D579" t="s">
        <v>73</v>
      </c>
    </row>
    <row r="580" spans="2:4" x14ac:dyDescent="0.25">
      <c r="B580">
        <v>577</v>
      </c>
      <c r="C580" t="s">
        <v>4479</v>
      </c>
      <c r="D580" t="s">
        <v>73</v>
      </c>
    </row>
    <row r="581" spans="2:4" x14ac:dyDescent="0.25">
      <c r="B581">
        <v>578</v>
      </c>
      <c r="C581" t="s">
        <v>4480</v>
      </c>
      <c r="D581" t="s">
        <v>73</v>
      </c>
    </row>
    <row r="582" spans="2:4" x14ac:dyDescent="0.25">
      <c r="B582">
        <v>579</v>
      </c>
      <c r="C582" t="s">
        <v>3739</v>
      </c>
      <c r="D582" t="s">
        <v>120</v>
      </c>
    </row>
    <row r="583" spans="2:4" x14ac:dyDescent="0.25">
      <c r="B583">
        <v>580</v>
      </c>
      <c r="C583" t="s">
        <v>4481</v>
      </c>
      <c r="D583" t="s">
        <v>120</v>
      </c>
    </row>
    <row r="584" spans="2:4" x14ac:dyDescent="0.25">
      <c r="B584">
        <v>581</v>
      </c>
      <c r="C584" t="s">
        <v>4482</v>
      </c>
      <c r="D584" t="s">
        <v>73</v>
      </c>
    </row>
    <row r="585" spans="2:4" x14ac:dyDescent="0.25">
      <c r="B585">
        <v>582</v>
      </c>
      <c r="C585" t="s">
        <v>4483</v>
      </c>
      <c r="D585" t="s">
        <v>73</v>
      </c>
    </row>
    <row r="586" spans="2:4" x14ac:dyDescent="0.25">
      <c r="B586">
        <v>583</v>
      </c>
      <c r="C586" t="s">
        <v>4484</v>
      </c>
      <c r="D586" t="s">
        <v>73</v>
      </c>
    </row>
    <row r="587" spans="2:4" x14ac:dyDescent="0.25">
      <c r="B587">
        <v>584</v>
      </c>
      <c r="C587" t="s">
        <v>4485</v>
      </c>
      <c r="D587" t="s">
        <v>73</v>
      </c>
    </row>
    <row r="588" spans="2:4" x14ac:dyDescent="0.25">
      <c r="B588">
        <v>585</v>
      </c>
      <c r="C588" t="s">
        <v>4486</v>
      </c>
      <c r="D588" t="s">
        <v>73</v>
      </c>
    </row>
    <row r="589" spans="2:4" x14ac:dyDescent="0.25">
      <c r="B589">
        <v>586</v>
      </c>
      <c r="C589" t="s">
        <v>4487</v>
      </c>
      <c r="D589" t="s">
        <v>73</v>
      </c>
    </row>
    <row r="590" spans="2:4" x14ac:dyDescent="0.25">
      <c r="B590">
        <v>587</v>
      </c>
      <c r="C590" t="s">
        <v>4488</v>
      </c>
      <c r="D590" t="s">
        <v>73</v>
      </c>
    </row>
    <row r="591" spans="2:4" x14ac:dyDescent="0.25">
      <c r="B591">
        <v>588</v>
      </c>
      <c r="C591" t="s">
        <v>4489</v>
      </c>
      <c r="D591" t="s">
        <v>73</v>
      </c>
    </row>
    <row r="592" spans="2:4" x14ac:dyDescent="0.25">
      <c r="B592">
        <v>589</v>
      </c>
      <c r="C592" t="s">
        <v>4490</v>
      </c>
      <c r="D592" t="s">
        <v>73</v>
      </c>
    </row>
    <row r="593" spans="2:4" x14ac:dyDescent="0.25">
      <c r="B593">
        <v>590</v>
      </c>
      <c r="C593" t="s">
        <v>4491</v>
      </c>
      <c r="D593" t="s">
        <v>267</v>
      </c>
    </row>
    <row r="594" spans="2:4" x14ac:dyDescent="0.25">
      <c r="B594">
        <v>591</v>
      </c>
      <c r="C594" t="s">
        <v>497</v>
      </c>
      <c r="D594" t="s">
        <v>267</v>
      </c>
    </row>
    <row r="595" spans="2:4" x14ac:dyDescent="0.25">
      <c r="B595">
        <v>592</v>
      </c>
      <c r="C595" t="s">
        <v>4492</v>
      </c>
      <c r="D595" t="s">
        <v>267</v>
      </c>
    </row>
    <row r="596" spans="2:4" x14ac:dyDescent="0.25">
      <c r="B596">
        <v>593</v>
      </c>
      <c r="C596" t="s">
        <v>1224</v>
      </c>
      <c r="D596" t="s">
        <v>130</v>
      </c>
    </row>
    <row r="597" spans="2:4" x14ac:dyDescent="0.25">
      <c r="B597">
        <v>594</v>
      </c>
      <c r="C597" t="s">
        <v>3526</v>
      </c>
      <c r="D597" t="s">
        <v>73</v>
      </c>
    </row>
    <row r="598" spans="2:4" x14ac:dyDescent="0.25">
      <c r="B598">
        <v>595</v>
      </c>
      <c r="C598" t="s">
        <v>4493</v>
      </c>
      <c r="D598" t="s">
        <v>73</v>
      </c>
    </row>
    <row r="599" spans="2:4" x14ac:dyDescent="0.25">
      <c r="B599">
        <v>596</v>
      </c>
      <c r="C599" t="s">
        <v>787</v>
      </c>
      <c r="D599" t="s">
        <v>189</v>
      </c>
    </row>
    <row r="600" spans="2:4" x14ac:dyDescent="0.25">
      <c r="B600">
        <v>597</v>
      </c>
      <c r="C600" t="s">
        <v>4494</v>
      </c>
      <c r="D600" t="s">
        <v>189</v>
      </c>
    </row>
    <row r="601" spans="2:4" x14ac:dyDescent="0.25">
      <c r="B601">
        <v>598</v>
      </c>
      <c r="C601" t="s">
        <v>4495</v>
      </c>
      <c r="D601" t="s">
        <v>91</v>
      </c>
    </row>
    <row r="602" spans="2:4" x14ac:dyDescent="0.25">
      <c r="B602">
        <v>599</v>
      </c>
      <c r="C602" t="s">
        <v>4496</v>
      </c>
      <c r="D602" t="s">
        <v>267</v>
      </c>
    </row>
    <row r="603" spans="2:4" x14ac:dyDescent="0.25">
      <c r="B603">
        <v>600</v>
      </c>
      <c r="C603" t="s">
        <v>2182</v>
      </c>
      <c r="D603" t="s">
        <v>267</v>
      </c>
    </row>
    <row r="604" spans="2:4" x14ac:dyDescent="0.25">
      <c r="B604">
        <v>601</v>
      </c>
      <c r="C604" t="s">
        <v>3538</v>
      </c>
      <c r="D604" t="s">
        <v>91</v>
      </c>
    </row>
    <row r="605" spans="2:4" x14ac:dyDescent="0.25">
      <c r="B605">
        <v>602</v>
      </c>
      <c r="C605" t="s">
        <v>4497</v>
      </c>
      <c r="D605" t="s">
        <v>73</v>
      </c>
    </row>
    <row r="606" spans="2:4" x14ac:dyDescent="0.25">
      <c r="B606">
        <v>603</v>
      </c>
      <c r="C606" t="s">
        <v>4498</v>
      </c>
      <c r="D606" t="s">
        <v>73</v>
      </c>
    </row>
    <row r="607" spans="2:4" x14ac:dyDescent="0.25">
      <c r="B607">
        <v>604</v>
      </c>
      <c r="C607" t="s">
        <v>4499</v>
      </c>
      <c r="D607" t="s">
        <v>73</v>
      </c>
    </row>
    <row r="608" spans="2:4" x14ac:dyDescent="0.25">
      <c r="B608">
        <v>605</v>
      </c>
      <c r="C608" t="s">
        <v>4500</v>
      </c>
      <c r="D608" t="s">
        <v>73</v>
      </c>
    </row>
    <row r="609" spans="2:4" x14ac:dyDescent="0.25">
      <c r="B609">
        <v>606</v>
      </c>
      <c r="C609" t="s">
        <v>4501</v>
      </c>
      <c r="D609" t="s">
        <v>73</v>
      </c>
    </row>
    <row r="610" spans="2:4" x14ac:dyDescent="0.25">
      <c r="B610">
        <v>607</v>
      </c>
      <c r="C610" t="s">
        <v>4502</v>
      </c>
      <c r="D610" t="s">
        <v>73</v>
      </c>
    </row>
    <row r="611" spans="2:4" x14ac:dyDescent="0.25">
      <c r="B611">
        <v>608</v>
      </c>
      <c r="C611" t="s">
        <v>4503</v>
      </c>
      <c r="D611" t="s">
        <v>73</v>
      </c>
    </row>
    <row r="612" spans="2:4" x14ac:dyDescent="0.25">
      <c r="B612">
        <v>609</v>
      </c>
      <c r="C612" t="s">
        <v>4504</v>
      </c>
      <c r="D612" t="s">
        <v>73</v>
      </c>
    </row>
    <row r="613" spans="2:4" x14ac:dyDescent="0.25">
      <c r="B613">
        <v>610</v>
      </c>
      <c r="C613" t="s">
        <v>4505</v>
      </c>
      <c r="D613" t="s">
        <v>195</v>
      </c>
    </row>
    <row r="614" spans="2:4" x14ac:dyDescent="0.25">
      <c r="B614">
        <v>611</v>
      </c>
      <c r="C614" t="s">
        <v>4506</v>
      </c>
      <c r="D614" t="s">
        <v>73</v>
      </c>
    </row>
    <row r="615" spans="2:4" x14ac:dyDescent="0.25">
      <c r="B615">
        <v>612</v>
      </c>
      <c r="C615" t="s">
        <v>4507</v>
      </c>
      <c r="D615" t="s">
        <v>73</v>
      </c>
    </row>
    <row r="616" spans="2:4" x14ac:dyDescent="0.25">
      <c r="B616">
        <v>613</v>
      </c>
      <c r="C616" t="s">
        <v>4508</v>
      </c>
      <c r="D616" t="s">
        <v>4296</v>
      </c>
    </row>
    <row r="617" spans="2:4" x14ac:dyDescent="0.25">
      <c r="B617">
        <v>614</v>
      </c>
      <c r="C617" t="s">
        <v>4509</v>
      </c>
      <c r="D617" t="s">
        <v>73</v>
      </c>
    </row>
    <row r="618" spans="2:4" x14ac:dyDescent="0.25">
      <c r="B618">
        <v>615</v>
      </c>
      <c r="C618" t="s">
        <v>4510</v>
      </c>
      <c r="D618" t="s">
        <v>130</v>
      </c>
    </row>
    <row r="619" spans="2:4" x14ac:dyDescent="0.25">
      <c r="B619">
        <v>616</v>
      </c>
      <c r="C619" t="s">
        <v>4511</v>
      </c>
      <c r="D619" t="s">
        <v>73</v>
      </c>
    </row>
    <row r="620" spans="2:4" x14ac:dyDescent="0.25">
      <c r="B620">
        <v>617</v>
      </c>
      <c r="C620" t="s">
        <v>4512</v>
      </c>
      <c r="D620" t="s">
        <v>73</v>
      </c>
    </row>
    <row r="621" spans="2:4" x14ac:dyDescent="0.25">
      <c r="B621">
        <v>618</v>
      </c>
      <c r="C621" t="s">
        <v>103</v>
      </c>
      <c r="D621" t="s">
        <v>91</v>
      </c>
    </row>
    <row r="622" spans="2:4" x14ac:dyDescent="0.25">
      <c r="B622">
        <v>619</v>
      </c>
      <c r="C622" t="s">
        <v>4513</v>
      </c>
      <c r="D622" t="s">
        <v>73</v>
      </c>
    </row>
    <row r="623" spans="2:4" x14ac:dyDescent="0.25">
      <c r="B623">
        <v>620</v>
      </c>
      <c r="C623" t="s">
        <v>4514</v>
      </c>
      <c r="D623" t="s">
        <v>120</v>
      </c>
    </row>
    <row r="624" spans="2:4" x14ac:dyDescent="0.25">
      <c r="B624">
        <v>621</v>
      </c>
      <c r="C624" t="s">
        <v>4515</v>
      </c>
      <c r="D624" t="s">
        <v>73</v>
      </c>
    </row>
    <row r="625" spans="2:4" x14ac:dyDescent="0.25">
      <c r="B625">
        <v>622</v>
      </c>
      <c r="C625" t="s">
        <v>4516</v>
      </c>
      <c r="D625" t="s">
        <v>183</v>
      </c>
    </row>
    <row r="626" spans="2:4" x14ac:dyDescent="0.25">
      <c r="B626">
        <v>623</v>
      </c>
      <c r="C626" t="s">
        <v>4517</v>
      </c>
      <c r="D626" t="s">
        <v>73</v>
      </c>
    </row>
    <row r="627" spans="2:4" x14ac:dyDescent="0.25">
      <c r="B627">
        <v>624</v>
      </c>
      <c r="C627" t="s">
        <v>4518</v>
      </c>
      <c r="D627" t="s">
        <v>267</v>
      </c>
    </row>
    <row r="628" spans="2:4" x14ac:dyDescent="0.25">
      <c r="B628">
        <v>625</v>
      </c>
      <c r="C628" t="s">
        <v>4519</v>
      </c>
      <c r="D628" t="s">
        <v>73</v>
      </c>
    </row>
    <row r="629" spans="2:4" x14ac:dyDescent="0.25">
      <c r="B629">
        <v>626</v>
      </c>
      <c r="C629" t="s">
        <v>118</v>
      </c>
      <c r="D629" t="s">
        <v>120</v>
      </c>
    </row>
    <row r="630" spans="2:4" x14ac:dyDescent="0.25">
      <c r="B630">
        <v>627</v>
      </c>
      <c r="C630" t="s">
        <v>129</v>
      </c>
      <c r="D630" t="s">
        <v>130</v>
      </c>
    </row>
    <row r="631" spans="2:4" x14ac:dyDescent="0.25">
      <c r="B631">
        <v>628</v>
      </c>
      <c r="C631" t="s">
        <v>3368</v>
      </c>
      <c r="D631" t="s">
        <v>130</v>
      </c>
    </row>
    <row r="632" spans="2:4" x14ac:dyDescent="0.25">
      <c r="B632">
        <v>629</v>
      </c>
      <c r="C632" t="s">
        <v>3252</v>
      </c>
      <c r="D632" t="s">
        <v>130</v>
      </c>
    </row>
    <row r="633" spans="2:4" x14ac:dyDescent="0.25">
      <c r="B633">
        <v>630</v>
      </c>
      <c r="C633" t="s">
        <v>2831</v>
      </c>
      <c r="D633" t="s">
        <v>130</v>
      </c>
    </row>
    <row r="634" spans="2:4" x14ac:dyDescent="0.25">
      <c r="B634">
        <v>631</v>
      </c>
      <c r="C634" t="s">
        <v>4520</v>
      </c>
      <c r="D634" t="s">
        <v>130</v>
      </c>
    </row>
    <row r="635" spans="2:4" x14ac:dyDescent="0.25">
      <c r="B635">
        <v>632</v>
      </c>
      <c r="C635" t="s">
        <v>4521</v>
      </c>
      <c r="D635" t="s">
        <v>267</v>
      </c>
    </row>
    <row r="636" spans="2:4" x14ac:dyDescent="0.25">
      <c r="B636">
        <v>633</v>
      </c>
      <c r="C636" t="s">
        <v>4522</v>
      </c>
      <c r="D636" t="s">
        <v>267</v>
      </c>
    </row>
    <row r="637" spans="2:4" x14ac:dyDescent="0.25">
      <c r="B637">
        <v>634</v>
      </c>
      <c r="C637" t="s">
        <v>4523</v>
      </c>
      <c r="D637" t="s">
        <v>267</v>
      </c>
    </row>
    <row r="638" spans="2:4" x14ac:dyDescent="0.25">
      <c r="B638">
        <v>635</v>
      </c>
      <c r="C638" t="s">
        <v>4524</v>
      </c>
      <c r="D638" t="s">
        <v>267</v>
      </c>
    </row>
    <row r="639" spans="2:4" x14ac:dyDescent="0.25">
      <c r="B639">
        <v>636</v>
      </c>
      <c r="C639" t="s">
        <v>4525</v>
      </c>
      <c r="D639" t="s">
        <v>267</v>
      </c>
    </row>
    <row r="640" spans="2:4" x14ac:dyDescent="0.25">
      <c r="B640">
        <v>637</v>
      </c>
      <c r="C640" t="s">
        <v>4526</v>
      </c>
      <c r="D640" t="s">
        <v>73</v>
      </c>
    </row>
    <row r="641" spans="2:4" x14ac:dyDescent="0.25">
      <c r="B641">
        <v>638</v>
      </c>
      <c r="C641" t="s">
        <v>4527</v>
      </c>
      <c r="D641" t="s">
        <v>195</v>
      </c>
    </row>
    <row r="642" spans="2:4" x14ac:dyDescent="0.25">
      <c r="B642">
        <v>639</v>
      </c>
      <c r="C642" t="s">
        <v>3830</v>
      </c>
      <c r="D642" t="s">
        <v>73</v>
      </c>
    </row>
    <row r="643" spans="2:4" x14ac:dyDescent="0.25">
      <c r="B643">
        <v>640</v>
      </c>
      <c r="C643" t="s">
        <v>4528</v>
      </c>
      <c r="D643" t="s">
        <v>73</v>
      </c>
    </row>
    <row r="644" spans="2:4" x14ac:dyDescent="0.25">
      <c r="B644">
        <v>641</v>
      </c>
      <c r="C644" t="s">
        <v>4529</v>
      </c>
      <c r="D644" t="s">
        <v>73</v>
      </c>
    </row>
    <row r="645" spans="2:4" x14ac:dyDescent="0.25">
      <c r="B645">
        <v>642</v>
      </c>
      <c r="C645" t="s">
        <v>4530</v>
      </c>
      <c r="D645" t="s">
        <v>73</v>
      </c>
    </row>
    <row r="646" spans="2:4" x14ac:dyDescent="0.25">
      <c r="B646">
        <v>643</v>
      </c>
      <c r="C646" t="s">
        <v>4531</v>
      </c>
      <c r="D646" t="s">
        <v>73</v>
      </c>
    </row>
    <row r="647" spans="2:4" x14ac:dyDescent="0.25">
      <c r="B647">
        <v>644</v>
      </c>
      <c r="C647" t="s">
        <v>4532</v>
      </c>
      <c r="D647" t="s">
        <v>120</v>
      </c>
    </row>
    <row r="648" spans="2:4" x14ac:dyDescent="0.25">
      <c r="B648">
        <v>645</v>
      </c>
      <c r="C648" t="s">
        <v>4533</v>
      </c>
      <c r="D648" t="s">
        <v>73</v>
      </c>
    </row>
    <row r="649" spans="2:4" x14ac:dyDescent="0.25">
      <c r="B649">
        <v>646</v>
      </c>
      <c r="C649" t="s">
        <v>914</v>
      </c>
      <c r="D649" t="s">
        <v>4534</v>
      </c>
    </row>
    <row r="650" spans="2:4" x14ac:dyDescent="0.25">
      <c r="B650">
        <v>647</v>
      </c>
      <c r="C650" t="s">
        <v>4535</v>
      </c>
      <c r="D650" t="s">
        <v>73</v>
      </c>
    </row>
    <row r="651" spans="2:4" x14ac:dyDescent="0.25">
      <c r="B651">
        <v>648</v>
      </c>
      <c r="C651" t="s">
        <v>4536</v>
      </c>
      <c r="D651" t="s">
        <v>73</v>
      </c>
    </row>
    <row r="652" spans="2:4" x14ac:dyDescent="0.25">
      <c r="B652">
        <v>649</v>
      </c>
      <c r="C652" t="s">
        <v>4537</v>
      </c>
      <c r="D652" t="s">
        <v>120</v>
      </c>
    </row>
    <row r="653" spans="2:4" x14ac:dyDescent="0.25">
      <c r="B653">
        <v>650</v>
      </c>
      <c r="C653" t="s">
        <v>4538</v>
      </c>
      <c r="D653" t="s">
        <v>120</v>
      </c>
    </row>
    <row r="654" spans="2:4" x14ac:dyDescent="0.25">
      <c r="B654">
        <v>651</v>
      </c>
      <c r="C654" t="s">
        <v>2341</v>
      </c>
      <c r="D654" t="s">
        <v>120</v>
      </c>
    </row>
    <row r="655" spans="2:4" x14ac:dyDescent="0.25">
      <c r="B655">
        <v>652</v>
      </c>
      <c r="C655" t="s">
        <v>4539</v>
      </c>
      <c r="D655" t="s">
        <v>73</v>
      </c>
    </row>
    <row r="656" spans="2:4" x14ac:dyDescent="0.25">
      <c r="B656">
        <v>653</v>
      </c>
      <c r="C656" t="s">
        <v>3059</v>
      </c>
      <c r="D656" t="s">
        <v>120</v>
      </c>
    </row>
    <row r="657" spans="2:4" x14ac:dyDescent="0.25">
      <c r="B657">
        <v>654</v>
      </c>
      <c r="C657" t="s">
        <v>4540</v>
      </c>
      <c r="D657" t="s">
        <v>73</v>
      </c>
    </row>
    <row r="658" spans="2:4" x14ac:dyDescent="0.25">
      <c r="B658">
        <v>655</v>
      </c>
      <c r="C658" t="s">
        <v>4541</v>
      </c>
      <c r="D658" t="s">
        <v>91</v>
      </c>
    </row>
    <row r="659" spans="2:4" x14ac:dyDescent="0.25">
      <c r="B659">
        <v>656</v>
      </c>
      <c r="C659" t="s">
        <v>3595</v>
      </c>
      <c r="D659" t="s">
        <v>189</v>
      </c>
    </row>
    <row r="660" spans="2:4" x14ac:dyDescent="0.25">
      <c r="B660">
        <v>657</v>
      </c>
      <c r="C660" t="s">
        <v>4542</v>
      </c>
      <c r="D660" t="s">
        <v>73</v>
      </c>
    </row>
    <row r="661" spans="2:4" x14ac:dyDescent="0.25">
      <c r="B661">
        <v>658</v>
      </c>
      <c r="C661" t="s">
        <v>4543</v>
      </c>
      <c r="D661" t="s">
        <v>73</v>
      </c>
    </row>
    <row r="662" spans="2:4" x14ac:dyDescent="0.25">
      <c r="B662">
        <v>659</v>
      </c>
      <c r="C662" t="s">
        <v>4544</v>
      </c>
      <c r="D662" t="s">
        <v>73</v>
      </c>
    </row>
    <row r="663" spans="2:4" x14ac:dyDescent="0.25">
      <c r="B663">
        <v>660</v>
      </c>
      <c r="C663" t="s">
        <v>4545</v>
      </c>
      <c r="D663" t="s">
        <v>73</v>
      </c>
    </row>
    <row r="664" spans="2:4" x14ac:dyDescent="0.25">
      <c r="B664">
        <v>661</v>
      </c>
      <c r="C664" t="s">
        <v>4546</v>
      </c>
      <c r="D664" t="s">
        <v>73</v>
      </c>
    </row>
    <row r="665" spans="2:4" x14ac:dyDescent="0.25">
      <c r="B665">
        <v>662</v>
      </c>
      <c r="C665" t="s">
        <v>4547</v>
      </c>
      <c r="D665" t="s">
        <v>73</v>
      </c>
    </row>
    <row r="666" spans="2:4" x14ac:dyDescent="0.25">
      <c r="B666">
        <v>663</v>
      </c>
      <c r="C666" t="s">
        <v>4548</v>
      </c>
      <c r="D666" t="s">
        <v>73</v>
      </c>
    </row>
    <row r="667" spans="2:4" x14ac:dyDescent="0.25">
      <c r="B667">
        <v>664</v>
      </c>
      <c r="C667" t="s">
        <v>987</v>
      </c>
      <c r="D667" t="s">
        <v>73</v>
      </c>
    </row>
    <row r="668" spans="2:4" x14ac:dyDescent="0.25">
      <c r="B668">
        <v>665</v>
      </c>
      <c r="C668" t="s">
        <v>85</v>
      </c>
      <c r="D668" t="s">
        <v>73</v>
      </c>
    </row>
    <row r="669" spans="2:4" x14ac:dyDescent="0.25">
      <c r="B669">
        <v>666</v>
      </c>
      <c r="C669" t="s">
        <v>4549</v>
      </c>
      <c r="D669" t="s">
        <v>73</v>
      </c>
    </row>
    <row r="670" spans="2:4" x14ac:dyDescent="0.25">
      <c r="B670">
        <v>667</v>
      </c>
      <c r="C670" t="s">
        <v>4550</v>
      </c>
      <c r="D670" t="s">
        <v>267</v>
      </c>
    </row>
    <row r="671" spans="2:4" x14ac:dyDescent="0.25">
      <c r="B671">
        <v>668</v>
      </c>
      <c r="C671" t="s">
        <v>4551</v>
      </c>
      <c r="D671" t="s">
        <v>73</v>
      </c>
    </row>
    <row r="672" spans="2:4" x14ac:dyDescent="0.25">
      <c r="B672">
        <v>669</v>
      </c>
      <c r="C672" t="s">
        <v>4552</v>
      </c>
      <c r="D672" t="s">
        <v>267</v>
      </c>
    </row>
    <row r="673" spans="2:4" x14ac:dyDescent="0.25">
      <c r="B673">
        <v>670</v>
      </c>
      <c r="C673" t="s">
        <v>4553</v>
      </c>
      <c r="D673" t="s">
        <v>267</v>
      </c>
    </row>
    <row r="674" spans="2:4" x14ac:dyDescent="0.25">
      <c r="B674">
        <v>671</v>
      </c>
      <c r="C674" t="s">
        <v>4554</v>
      </c>
      <c r="D674" t="s">
        <v>183</v>
      </c>
    </row>
    <row r="675" spans="2:4" x14ac:dyDescent="0.25">
      <c r="B675">
        <v>672</v>
      </c>
      <c r="C675" t="s">
        <v>1002</v>
      </c>
      <c r="D675" t="s">
        <v>183</v>
      </c>
    </row>
    <row r="676" spans="2:4" x14ac:dyDescent="0.25">
      <c r="B676">
        <v>673</v>
      </c>
      <c r="C676" t="s">
        <v>4555</v>
      </c>
      <c r="D676" t="s">
        <v>73</v>
      </c>
    </row>
    <row r="677" spans="2:4" x14ac:dyDescent="0.25">
      <c r="B677">
        <v>674</v>
      </c>
      <c r="C677" t="s">
        <v>3673</v>
      </c>
      <c r="D677" t="s">
        <v>120</v>
      </c>
    </row>
    <row r="678" spans="2:4" x14ac:dyDescent="0.25">
      <c r="B678">
        <v>675</v>
      </c>
      <c r="C678" t="s">
        <v>4556</v>
      </c>
      <c r="D678" t="s">
        <v>73</v>
      </c>
    </row>
    <row r="679" spans="2:4" x14ac:dyDescent="0.25">
      <c r="B679">
        <v>676</v>
      </c>
      <c r="C679" t="s">
        <v>4557</v>
      </c>
      <c r="D679" t="s">
        <v>73</v>
      </c>
    </row>
    <row r="680" spans="2:4" x14ac:dyDescent="0.25">
      <c r="B680">
        <v>677</v>
      </c>
      <c r="C680" t="s">
        <v>181</v>
      </c>
      <c r="D680" t="s">
        <v>183</v>
      </c>
    </row>
    <row r="681" spans="2:4" x14ac:dyDescent="0.25">
      <c r="B681">
        <v>678</v>
      </c>
      <c r="C681" t="s">
        <v>4558</v>
      </c>
      <c r="D681" t="s">
        <v>73</v>
      </c>
    </row>
    <row r="682" spans="2:4" x14ac:dyDescent="0.25">
      <c r="B682">
        <v>679</v>
      </c>
      <c r="C682" t="s">
        <v>4559</v>
      </c>
      <c r="D682" t="s">
        <v>195</v>
      </c>
    </row>
    <row r="683" spans="2:4" x14ac:dyDescent="0.25">
      <c r="B683">
        <v>680</v>
      </c>
      <c r="C683" t="s">
        <v>4560</v>
      </c>
      <c r="D683" t="s">
        <v>183</v>
      </c>
    </row>
    <row r="684" spans="2:4" x14ac:dyDescent="0.25">
      <c r="B684">
        <v>681</v>
      </c>
      <c r="C684" t="s">
        <v>4561</v>
      </c>
      <c r="D684" t="s">
        <v>120</v>
      </c>
    </row>
    <row r="685" spans="2:4" x14ac:dyDescent="0.25">
      <c r="B685">
        <v>682</v>
      </c>
      <c r="C685" t="s">
        <v>921</v>
      </c>
      <c r="D685" t="s">
        <v>91</v>
      </c>
    </row>
    <row r="686" spans="2:4" x14ac:dyDescent="0.25">
      <c r="B686">
        <v>683</v>
      </c>
      <c r="C686" t="s">
        <v>4562</v>
      </c>
      <c r="D686" t="s">
        <v>267</v>
      </c>
    </row>
    <row r="687" spans="2:4" x14ac:dyDescent="0.25">
      <c r="B687">
        <v>684</v>
      </c>
      <c r="C687" t="s">
        <v>4563</v>
      </c>
      <c r="D687" t="s">
        <v>73</v>
      </c>
    </row>
    <row r="688" spans="2:4" x14ac:dyDescent="0.25">
      <c r="B688">
        <v>685</v>
      </c>
      <c r="C688" t="s">
        <v>4564</v>
      </c>
      <c r="D688" t="s">
        <v>73</v>
      </c>
    </row>
    <row r="689" spans="2:4" x14ac:dyDescent="0.25">
      <c r="B689">
        <v>686</v>
      </c>
      <c r="C689" t="s">
        <v>360</v>
      </c>
      <c r="D689" t="s">
        <v>120</v>
      </c>
    </row>
    <row r="690" spans="2:4" x14ac:dyDescent="0.25">
      <c r="B690">
        <v>687</v>
      </c>
      <c r="C690" t="s">
        <v>4565</v>
      </c>
      <c r="D690" t="s">
        <v>120</v>
      </c>
    </row>
    <row r="691" spans="2:4" x14ac:dyDescent="0.25">
      <c r="B691">
        <v>688</v>
      </c>
      <c r="C691" t="s">
        <v>4566</v>
      </c>
      <c r="D691" t="s">
        <v>120</v>
      </c>
    </row>
    <row r="692" spans="2:4" x14ac:dyDescent="0.25">
      <c r="B692">
        <v>689</v>
      </c>
      <c r="C692" t="s">
        <v>4567</v>
      </c>
      <c r="D692" t="s">
        <v>73</v>
      </c>
    </row>
    <row r="693" spans="2:4" x14ac:dyDescent="0.25">
      <c r="B693">
        <v>690</v>
      </c>
      <c r="C693" t="s">
        <v>4568</v>
      </c>
      <c r="D693" t="s">
        <v>73</v>
      </c>
    </row>
    <row r="694" spans="2:4" x14ac:dyDescent="0.25">
      <c r="B694">
        <v>691</v>
      </c>
      <c r="C694" t="s">
        <v>4569</v>
      </c>
      <c r="D694" t="s">
        <v>73</v>
      </c>
    </row>
    <row r="695" spans="2:4" x14ac:dyDescent="0.25">
      <c r="B695">
        <v>692</v>
      </c>
      <c r="C695" t="s">
        <v>4570</v>
      </c>
      <c r="D695" t="s">
        <v>73</v>
      </c>
    </row>
    <row r="696" spans="2:4" x14ac:dyDescent="0.25">
      <c r="B696">
        <v>693</v>
      </c>
      <c r="C696" t="s">
        <v>4571</v>
      </c>
      <c r="D696" t="s">
        <v>120</v>
      </c>
    </row>
    <row r="697" spans="2:4" x14ac:dyDescent="0.25">
      <c r="B697">
        <v>694</v>
      </c>
      <c r="C697" t="s">
        <v>4572</v>
      </c>
      <c r="D697" t="s">
        <v>91</v>
      </c>
    </row>
    <row r="698" spans="2:4" x14ac:dyDescent="0.25">
      <c r="B698">
        <v>695</v>
      </c>
      <c r="C698" t="s">
        <v>3349</v>
      </c>
      <c r="D698" t="s">
        <v>73</v>
      </c>
    </row>
    <row r="699" spans="2:4" x14ac:dyDescent="0.25">
      <c r="B699">
        <v>696</v>
      </c>
      <c r="C699" t="s">
        <v>193</v>
      </c>
      <c r="D699" t="s">
        <v>195</v>
      </c>
    </row>
    <row r="700" spans="2:4" x14ac:dyDescent="0.25">
      <c r="B700">
        <v>697</v>
      </c>
      <c r="C700" t="s">
        <v>4573</v>
      </c>
      <c r="D700" t="s">
        <v>73</v>
      </c>
    </row>
    <row r="701" spans="2:4" x14ac:dyDescent="0.25">
      <c r="B701">
        <v>698</v>
      </c>
      <c r="C701" t="s">
        <v>4574</v>
      </c>
      <c r="D701" t="s">
        <v>73</v>
      </c>
    </row>
    <row r="702" spans="2:4" x14ac:dyDescent="0.25">
      <c r="B702">
        <v>699</v>
      </c>
      <c r="C702" t="s">
        <v>4575</v>
      </c>
      <c r="D702" t="s">
        <v>73</v>
      </c>
    </row>
    <row r="703" spans="2:4" x14ac:dyDescent="0.25">
      <c r="B703">
        <v>700</v>
      </c>
      <c r="C703" t="s">
        <v>4576</v>
      </c>
      <c r="D703" t="s">
        <v>73</v>
      </c>
    </row>
    <row r="704" spans="2:4" x14ac:dyDescent="0.25">
      <c r="B704">
        <v>701</v>
      </c>
      <c r="C704" t="s">
        <v>4577</v>
      </c>
      <c r="D704" t="s">
        <v>73</v>
      </c>
    </row>
    <row r="705" spans="2:4" x14ac:dyDescent="0.25">
      <c r="B705">
        <v>702</v>
      </c>
      <c r="C705" t="s">
        <v>4578</v>
      </c>
      <c r="D705" t="s">
        <v>73</v>
      </c>
    </row>
    <row r="706" spans="2:4" x14ac:dyDescent="0.25">
      <c r="B706">
        <v>703</v>
      </c>
      <c r="C706" t="s">
        <v>4579</v>
      </c>
      <c r="D706" t="s">
        <v>73</v>
      </c>
    </row>
    <row r="707" spans="2:4" x14ac:dyDescent="0.25">
      <c r="B707">
        <v>704</v>
      </c>
      <c r="C707" t="s">
        <v>4580</v>
      </c>
      <c r="D707" t="s">
        <v>73</v>
      </c>
    </row>
    <row r="708" spans="2:4" x14ac:dyDescent="0.25">
      <c r="B708">
        <v>705</v>
      </c>
      <c r="C708" t="s">
        <v>4581</v>
      </c>
      <c r="D708" t="s">
        <v>73</v>
      </c>
    </row>
    <row r="709" spans="2:4" x14ac:dyDescent="0.25">
      <c r="B709">
        <v>706</v>
      </c>
      <c r="C709" t="s">
        <v>4582</v>
      </c>
      <c r="D709" t="s">
        <v>73</v>
      </c>
    </row>
    <row r="710" spans="2:4" x14ac:dyDescent="0.25">
      <c r="B710">
        <v>707</v>
      </c>
      <c r="C710" t="s">
        <v>911</v>
      </c>
      <c r="D710" t="s">
        <v>73</v>
      </c>
    </row>
    <row r="711" spans="2:4" x14ac:dyDescent="0.25">
      <c r="B711">
        <v>708</v>
      </c>
      <c r="C711" t="s">
        <v>4583</v>
      </c>
      <c r="D711" t="s">
        <v>73</v>
      </c>
    </row>
    <row r="712" spans="2:4" x14ac:dyDescent="0.25">
      <c r="B712">
        <v>709</v>
      </c>
      <c r="C712" t="s">
        <v>4584</v>
      </c>
      <c r="D712" t="s">
        <v>73</v>
      </c>
    </row>
    <row r="713" spans="2:4" x14ac:dyDescent="0.25">
      <c r="B713">
        <v>710</v>
      </c>
      <c r="C713" t="s">
        <v>4585</v>
      </c>
      <c r="D713" t="s">
        <v>73</v>
      </c>
    </row>
    <row r="714" spans="2:4" x14ac:dyDescent="0.25">
      <c r="B714">
        <v>711</v>
      </c>
      <c r="C714" t="s">
        <v>4586</v>
      </c>
      <c r="D714" t="s">
        <v>73</v>
      </c>
    </row>
    <row r="715" spans="2:4" x14ac:dyDescent="0.25">
      <c r="B715">
        <v>712</v>
      </c>
      <c r="C715" t="s">
        <v>3807</v>
      </c>
      <c r="D715" t="s">
        <v>73</v>
      </c>
    </row>
    <row r="716" spans="2:4" x14ac:dyDescent="0.25">
      <c r="B716">
        <v>713</v>
      </c>
      <c r="C716" t="s">
        <v>3813</v>
      </c>
      <c r="D716" t="s">
        <v>73</v>
      </c>
    </row>
    <row r="717" spans="2:4" x14ac:dyDescent="0.25">
      <c r="B717">
        <v>714</v>
      </c>
      <c r="C717" t="s">
        <v>4587</v>
      </c>
      <c r="D717" t="s">
        <v>195</v>
      </c>
    </row>
    <row r="718" spans="2:4" x14ac:dyDescent="0.25">
      <c r="B718">
        <v>715</v>
      </c>
      <c r="C718" t="s">
        <v>4588</v>
      </c>
      <c r="D718" t="s">
        <v>73</v>
      </c>
    </row>
    <row r="719" spans="2:4" x14ac:dyDescent="0.25">
      <c r="B719">
        <v>716</v>
      </c>
      <c r="C719" t="s">
        <v>4589</v>
      </c>
      <c r="D719" t="s">
        <v>120</v>
      </c>
    </row>
    <row r="720" spans="2:4" x14ac:dyDescent="0.25">
      <c r="B720">
        <v>717</v>
      </c>
      <c r="C720" t="s">
        <v>4590</v>
      </c>
      <c r="D720" t="s">
        <v>73</v>
      </c>
    </row>
    <row r="721" spans="2:4" x14ac:dyDescent="0.25">
      <c r="B721">
        <v>718</v>
      </c>
      <c r="C721" t="s">
        <v>2712</v>
      </c>
      <c r="D721" t="s">
        <v>120</v>
      </c>
    </row>
    <row r="722" spans="2:4" x14ac:dyDescent="0.25">
      <c r="B722">
        <v>719</v>
      </c>
      <c r="C722" t="s">
        <v>4591</v>
      </c>
      <c r="D722" t="s">
        <v>267</v>
      </c>
    </row>
    <row r="723" spans="2:4" x14ac:dyDescent="0.25">
      <c r="B723">
        <v>720</v>
      </c>
      <c r="C723" t="s">
        <v>2607</v>
      </c>
      <c r="D723" t="s">
        <v>91</v>
      </c>
    </row>
    <row r="724" spans="2:4" x14ac:dyDescent="0.25">
      <c r="B724">
        <v>721</v>
      </c>
      <c r="C724" t="s">
        <v>4592</v>
      </c>
      <c r="D724" t="s">
        <v>73</v>
      </c>
    </row>
    <row r="725" spans="2:4" x14ac:dyDescent="0.25">
      <c r="B725">
        <v>722</v>
      </c>
      <c r="C725" t="s">
        <v>4593</v>
      </c>
      <c r="D725" t="s">
        <v>73</v>
      </c>
    </row>
    <row r="726" spans="2:4" x14ac:dyDescent="0.25">
      <c r="B726">
        <v>723</v>
      </c>
      <c r="C726" t="s">
        <v>4594</v>
      </c>
      <c r="D726" t="s">
        <v>73</v>
      </c>
    </row>
    <row r="727" spans="2:4" x14ac:dyDescent="0.25">
      <c r="B727">
        <v>724</v>
      </c>
      <c r="C727" t="s">
        <v>4595</v>
      </c>
      <c r="D727" t="s">
        <v>73</v>
      </c>
    </row>
    <row r="728" spans="2:4" x14ac:dyDescent="0.25">
      <c r="B728">
        <v>725</v>
      </c>
      <c r="C728" t="s">
        <v>4596</v>
      </c>
      <c r="D728" t="s">
        <v>73</v>
      </c>
    </row>
    <row r="729" spans="2:4" x14ac:dyDescent="0.25">
      <c r="B729">
        <v>726</v>
      </c>
      <c r="C729" t="s">
        <v>4597</v>
      </c>
      <c r="D729" t="s">
        <v>73</v>
      </c>
    </row>
    <row r="730" spans="2:4" x14ac:dyDescent="0.25">
      <c r="B730">
        <v>727</v>
      </c>
      <c r="C730" t="s">
        <v>4598</v>
      </c>
      <c r="D730" t="s">
        <v>91</v>
      </c>
    </row>
    <row r="731" spans="2:4" x14ac:dyDescent="0.25">
      <c r="B731">
        <v>728</v>
      </c>
      <c r="C731" t="s">
        <v>4599</v>
      </c>
      <c r="D731" t="s">
        <v>73</v>
      </c>
    </row>
    <row r="732" spans="2:4" x14ac:dyDescent="0.25">
      <c r="B732">
        <v>729</v>
      </c>
      <c r="C732" t="s">
        <v>4600</v>
      </c>
      <c r="D732" t="s">
        <v>195</v>
      </c>
    </row>
    <row r="733" spans="2:4" x14ac:dyDescent="0.25">
      <c r="B733">
        <v>730</v>
      </c>
      <c r="C733" t="s">
        <v>4032</v>
      </c>
      <c r="D733" t="s">
        <v>73</v>
      </c>
    </row>
    <row r="734" spans="2:4" x14ac:dyDescent="0.25">
      <c r="B734">
        <v>731</v>
      </c>
      <c r="C734" t="s">
        <v>2928</v>
      </c>
      <c r="D734" t="s">
        <v>91</v>
      </c>
    </row>
    <row r="735" spans="2:4" x14ac:dyDescent="0.25">
      <c r="B735">
        <v>732</v>
      </c>
      <c r="C735" t="s">
        <v>4601</v>
      </c>
      <c r="D735" t="s">
        <v>91</v>
      </c>
    </row>
    <row r="736" spans="2:4" x14ac:dyDescent="0.25">
      <c r="B736">
        <v>733</v>
      </c>
      <c r="C736" t="s">
        <v>4602</v>
      </c>
      <c r="D736" t="s">
        <v>73</v>
      </c>
    </row>
    <row r="737" spans="2:4" x14ac:dyDescent="0.25">
      <c r="B737">
        <v>734</v>
      </c>
      <c r="C737" t="s">
        <v>3951</v>
      </c>
      <c r="D737" t="s">
        <v>73</v>
      </c>
    </row>
    <row r="738" spans="2:4" x14ac:dyDescent="0.25">
      <c r="B738">
        <v>735</v>
      </c>
      <c r="C738" t="s">
        <v>3954</v>
      </c>
      <c r="D738" t="s">
        <v>73</v>
      </c>
    </row>
    <row r="739" spans="2:4" x14ac:dyDescent="0.25">
      <c r="B739">
        <v>736</v>
      </c>
      <c r="C739" t="s">
        <v>814</v>
      </c>
      <c r="D739" t="s">
        <v>120</v>
      </c>
    </row>
    <row r="740" spans="2:4" x14ac:dyDescent="0.25">
      <c r="B740">
        <v>737</v>
      </c>
      <c r="C740" t="s">
        <v>4603</v>
      </c>
      <c r="D740" t="s">
        <v>73</v>
      </c>
    </row>
    <row r="741" spans="2:4" x14ac:dyDescent="0.25">
      <c r="B741">
        <v>738</v>
      </c>
      <c r="C741" t="s">
        <v>4604</v>
      </c>
      <c r="D741" t="s">
        <v>73</v>
      </c>
    </row>
    <row r="742" spans="2:4" x14ac:dyDescent="0.25">
      <c r="B742">
        <v>739</v>
      </c>
      <c r="C742" t="s">
        <v>4605</v>
      </c>
      <c r="D742" t="s">
        <v>73</v>
      </c>
    </row>
    <row r="743" spans="2:4" x14ac:dyDescent="0.25">
      <c r="B743">
        <v>740</v>
      </c>
      <c r="C743" t="s">
        <v>4606</v>
      </c>
      <c r="D743" t="s">
        <v>73</v>
      </c>
    </row>
    <row r="744" spans="2:4" x14ac:dyDescent="0.25">
      <c r="B744">
        <v>741</v>
      </c>
      <c r="C744" t="s">
        <v>4607</v>
      </c>
      <c r="D744" t="s">
        <v>73</v>
      </c>
    </row>
    <row r="745" spans="2:4" x14ac:dyDescent="0.25">
      <c r="B745">
        <v>742</v>
      </c>
      <c r="C745" t="s">
        <v>4608</v>
      </c>
      <c r="D745" t="s">
        <v>73</v>
      </c>
    </row>
    <row r="746" spans="2:4" x14ac:dyDescent="0.25">
      <c r="B746">
        <v>743</v>
      </c>
      <c r="C746" t="s">
        <v>4609</v>
      </c>
      <c r="D746" t="s">
        <v>73</v>
      </c>
    </row>
    <row r="747" spans="2:4" x14ac:dyDescent="0.25">
      <c r="B747">
        <v>744</v>
      </c>
      <c r="C747" t="s">
        <v>3339</v>
      </c>
      <c r="D747" t="s">
        <v>73</v>
      </c>
    </row>
    <row r="748" spans="2:4" x14ac:dyDescent="0.25">
      <c r="B748">
        <v>745</v>
      </c>
      <c r="C748" t="s">
        <v>2953</v>
      </c>
      <c r="D748" t="s">
        <v>120</v>
      </c>
    </row>
    <row r="749" spans="2:4" x14ac:dyDescent="0.25">
      <c r="B749">
        <v>746</v>
      </c>
      <c r="C749" t="s">
        <v>4610</v>
      </c>
      <c r="D749" t="s">
        <v>73</v>
      </c>
    </row>
    <row r="750" spans="2:4" x14ac:dyDescent="0.25">
      <c r="B750">
        <v>747</v>
      </c>
      <c r="C750" t="s">
        <v>4611</v>
      </c>
      <c r="D750" t="s">
        <v>73</v>
      </c>
    </row>
    <row r="751" spans="2:4" x14ac:dyDescent="0.25">
      <c r="B751">
        <v>748</v>
      </c>
      <c r="C751" t="s">
        <v>1994</v>
      </c>
      <c r="D751" t="s">
        <v>120</v>
      </c>
    </row>
    <row r="752" spans="2:4" x14ac:dyDescent="0.25">
      <c r="B752">
        <v>749</v>
      </c>
      <c r="C752" t="s">
        <v>4612</v>
      </c>
      <c r="D752" t="s">
        <v>120</v>
      </c>
    </row>
    <row r="753" spans="2:4" x14ac:dyDescent="0.25">
      <c r="B753">
        <v>750</v>
      </c>
      <c r="C753" t="s">
        <v>4613</v>
      </c>
      <c r="D753" t="s">
        <v>73</v>
      </c>
    </row>
    <row r="754" spans="2:4" x14ac:dyDescent="0.25">
      <c r="B754">
        <v>751</v>
      </c>
      <c r="C754" t="s">
        <v>1229</v>
      </c>
      <c r="D754" t="s">
        <v>267</v>
      </c>
    </row>
    <row r="755" spans="2:4" x14ac:dyDescent="0.25">
      <c r="B755">
        <v>752</v>
      </c>
      <c r="C755" t="s">
        <v>4614</v>
      </c>
      <c r="D755" t="s">
        <v>73</v>
      </c>
    </row>
    <row r="756" spans="2:4" x14ac:dyDescent="0.25">
      <c r="B756">
        <v>753</v>
      </c>
      <c r="C756" t="s">
        <v>4615</v>
      </c>
      <c r="D756" t="s">
        <v>73</v>
      </c>
    </row>
    <row r="757" spans="2:4" x14ac:dyDescent="0.25">
      <c r="B757">
        <v>754</v>
      </c>
      <c r="C757" t="s">
        <v>4616</v>
      </c>
      <c r="D757" t="s">
        <v>73</v>
      </c>
    </row>
    <row r="758" spans="2:4" x14ac:dyDescent="0.25">
      <c r="B758">
        <v>755</v>
      </c>
      <c r="C758" t="s">
        <v>4617</v>
      </c>
      <c r="D758" t="s">
        <v>73</v>
      </c>
    </row>
    <row r="759" spans="2:4" x14ac:dyDescent="0.25">
      <c r="B759">
        <v>756</v>
      </c>
      <c r="C759" t="s">
        <v>824</v>
      </c>
      <c r="D759" t="s">
        <v>189</v>
      </c>
    </row>
    <row r="760" spans="2:4" x14ac:dyDescent="0.25">
      <c r="B760">
        <v>757</v>
      </c>
      <c r="C760" t="s">
        <v>4618</v>
      </c>
      <c r="D760" t="s">
        <v>91</v>
      </c>
    </row>
    <row r="761" spans="2:4" x14ac:dyDescent="0.25">
      <c r="B761">
        <v>758</v>
      </c>
      <c r="C761" t="s">
        <v>2401</v>
      </c>
      <c r="D761" t="s">
        <v>130</v>
      </c>
    </row>
    <row r="762" spans="2:4" x14ac:dyDescent="0.25">
      <c r="B762">
        <v>759</v>
      </c>
      <c r="C762" t="s">
        <v>4619</v>
      </c>
      <c r="D762" t="s">
        <v>130</v>
      </c>
    </row>
    <row r="763" spans="2:4" x14ac:dyDescent="0.25">
      <c r="B763">
        <v>760</v>
      </c>
      <c r="C763" t="s">
        <v>4620</v>
      </c>
      <c r="D763" t="s">
        <v>91</v>
      </c>
    </row>
    <row r="764" spans="2:4" x14ac:dyDescent="0.25">
      <c r="B764">
        <v>761</v>
      </c>
      <c r="C764" t="s">
        <v>4621</v>
      </c>
      <c r="D764" t="s">
        <v>189</v>
      </c>
    </row>
    <row r="765" spans="2:4" x14ac:dyDescent="0.25">
      <c r="B765">
        <v>762</v>
      </c>
      <c r="C765" t="s">
        <v>4622</v>
      </c>
      <c r="D765" t="s">
        <v>91</v>
      </c>
    </row>
    <row r="766" spans="2:4" x14ac:dyDescent="0.25">
      <c r="B766">
        <v>763</v>
      </c>
      <c r="C766" t="s">
        <v>4623</v>
      </c>
      <c r="D766" t="s">
        <v>189</v>
      </c>
    </row>
    <row r="767" spans="2:4" x14ac:dyDescent="0.25">
      <c r="B767">
        <v>764</v>
      </c>
      <c r="C767" t="s">
        <v>2111</v>
      </c>
      <c r="D767" t="s">
        <v>189</v>
      </c>
    </row>
    <row r="768" spans="2:4" x14ac:dyDescent="0.25">
      <c r="B768">
        <v>765</v>
      </c>
      <c r="C768" t="s">
        <v>187</v>
      </c>
      <c r="D768" t="s">
        <v>189</v>
      </c>
    </row>
    <row r="769" spans="2:4" x14ac:dyDescent="0.25">
      <c r="B769">
        <v>766</v>
      </c>
      <c r="C769" t="s">
        <v>3477</v>
      </c>
      <c r="D769" t="s">
        <v>91</v>
      </c>
    </row>
    <row r="770" spans="2:4" x14ac:dyDescent="0.25">
      <c r="B770">
        <v>767</v>
      </c>
      <c r="C770" t="s">
        <v>4624</v>
      </c>
      <c r="D770" t="s">
        <v>91</v>
      </c>
    </row>
    <row r="771" spans="2:4" x14ac:dyDescent="0.25">
      <c r="B771">
        <v>768</v>
      </c>
      <c r="C771" t="s">
        <v>4625</v>
      </c>
      <c r="D771" t="s">
        <v>91</v>
      </c>
    </row>
    <row r="772" spans="2:4" x14ac:dyDescent="0.25">
      <c r="B772">
        <v>769</v>
      </c>
      <c r="C772" t="s">
        <v>4626</v>
      </c>
      <c r="D772" t="s">
        <v>91</v>
      </c>
    </row>
    <row r="773" spans="2:4" x14ac:dyDescent="0.25">
      <c r="B773">
        <v>770</v>
      </c>
      <c r="C773" t="s">
        <v>4627</v>
      </c>
      <c r="D773" t="s">
        <v>189</v>
      </c>
    </row>
    <row r="774" spans="2:4" x14ac:dyDescent="0.25">
      <c r="B774">
        <v>771</v>
      </c>
      <c r="C774" t="s">
        <v>265</v>
      </c>
      <c r="D774" t="s">
        <v>267</v>
      </c>
    </row>
    <row r="775" spans="2:4" x14ac:dyDescent="0.25">
      <c r="B775">
        <v>772</v>
      </c>
      <c r="C775" t="s">
        <v>2311</v>
      </c>
      <c r="D775" t="s">
        <v>120</v>
      </c>
    </row>
    <row r="776" spans="2:4" x14ac:dyDescent="0.25">
      <c r="B776">
        <v>773</v>
      </c>
      <c r="C776" t="s">
        <v>4628</v>
      </c>
      <c r="D776" t="s">
        <v>183</v>
      </c>
    </row>
    <row r="777" spans="2:4" x14ac:dyDescent="0.25">
      <c r="B777">
        <v>774</v>
      </c>
      <c r="C777" t="s">
        <v>4629</v>
      </c>
      <c r="D777" t="s">
        <v>73</v>
      </c>
    </row>
    <row r="778" spans="2:4" x14ac:dyDescent="0.25">
      <c r="B778">
        <v>775</v>
      </c>
      <c r="C778" t="s">
        <v>4630</v>
      </c>
      <c r="D778" t="s">
        <v>73</v>
      </c>
    </row>
    <row r="779" spans="2:4" x14ac:dyDescent="0.25">
      <c r="B779">
        <v>776</v>
      </c>
      <c r="C779" t="s">
        <v>4631</v>
      </c>
      <c r="D779" t="s">
        <v>73</v>
      </c>
    </row>
    <row r="780" spans="2:4" x14ac:dyDescent="0.25">
      <c r="B780">
        <v>777</v>
      </c>
      <c r="C780" t="s">
        <v>4632</v>
      </c>
      <c r="D780" t="s">
        <v>73</v>
      </c>
    </row>
    <row r="781" spans="2:4" x14ac:dyDescent="0.25">
      <c r="B781">
        <v>778</v>
      </c>
      <c r="C781" t="s">
        <v>3096</v>
      </c>
      <c r="D781" t="s">
        <v>120</v>
      </c>
    </row>
    <row r="782" spans="2:4" x14ac:dyDescent="0.25">
      <c r="B782">
        <v>779</v>
      </c>
      <c r="C782" t="s">
        <v>4633</v>
      </c>
      <c r="D782" t="s">
        <v>120</v>
      </c>
    </row>
    <row r="783" spans="2:4" x14ac:dyDescent="0.25">
      <c r="B783" t="s">
        <v>4634</v>
      </c>
      <c r="C783" t="s">
        <v>327</v>
      </c>
      <c r="D783" t="s">
        <v>91</v>
      </c>
    </row>
    <row r="784" spans="2:4" x14ac:dyDescent="0.25">
      <c r="B784" t="s">
        <v>4634</v>
      </c>
      <c r="C784" t="s">
        <v>846</v>
      </c>
      <c r="D784" t="s">
        <v>120</v>
      </c>
    </row>
    <row r="785" spans="2:4" x14ac:dyDescent="0.25">
      <c r="B785" t="s">
        <v>4634</v>
      </c>
      <c r="C785" t="s">
        <v>693</v>
      </c>
      <c r="D785" t="s">
        <v>73</v>
      </c>
    </row>
    <row r="786" spans="2:4" x14ac:dyDescent="0.25">
      <c r="B786" t="s">
        <v>4634</v>
      </c>
      <c r="C786" t="s">
        <v>110</v>
      </c>
      <c r="D786" t="s">
        <v>91</v>
      </c>
    </row>
    <row r="787" spans="2:4" x14ac:dyDescent="0.25">
      <c r="B787" t="s">
        <v>4634</v>
      </c>
      <c r="C787" t="s">
        <v>2102</v>
      </c>
      <c r="D787" t="s">
        <v>73</v>
      </c>
    </row>
    <row r="788" spans="2:4" x14ac:dyDescent="0.25">
      <c r="B788" t="s">
        <v>4634</v>
      </c>
      <c r="C788" t="s">
        <v>2319</v>
      </c>
      <c r="D788" t="s">
        <v>73</v>
      </c>
    </row>
    <row r="789" spans="2:4" x14ac:dyDescent="0.25">
      <c r="B789" t="s">
        <v>4634</v>
      </c>
      <c r="C789" t="s">
        <v>3572</v>
      </c>
      <c r="D789" t="s">
        <v>73</v>
      </c>
    </row>
    <row r="790" spans="2:4" x14ac:dyDescent="0.25">
      <c r="B790" t="s">
        <v>4634</v>
      </c>
      <c r="C790" t="s">
        <v>3818</v>
      </c>
      <c r="D790" t="s">
        <v>73</v>
      </c>
    </row>
    <row r="791" spans="2:4" x14ac:dyDescent="0.25">
      <c r="B791" t="s">
        <v>4634</v>
      </c>
      <c r="C791" t="s">
        <v>1387</v>
      </c>
      <c r="D791" t="s">
        <v>91</v>
      </c>
    </row>
  </sheetData>
  <autoFilter ref="$B$3:$D$791"/>
  <mergeCells count="1">
    <mergeCell ref="B1:D1"/>
  </mergeCells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보조기기 서비스 상세</vt:lpstr>
      <vt:lpstr>제품명</vt:lpstr>
      <vt:lpstr>품목명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Unknown</cp:lastModifiedBy>
  <dcterms:created xsi:type="dcterms:W3CDTF">2011-12-27T06:40:31Z</dcterms:created>
  <dcterms:modified xsi:type="dcterms:W3CDTF">2026-05-31T11:56:27Z</dcterms:modified>
</cp:coreProperties>
</file>