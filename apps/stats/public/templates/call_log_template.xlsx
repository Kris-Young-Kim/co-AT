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5" sheetId="2" r:id="rId5"/>
    <sheet state="visible" name="2025DB" sheetId="3" r:id="rId6"/>
    <sheet state="visible" name="2024" sheetId="4" r:id="rId7"/>
    <sheet state="visible" name="2024DB" sheetId="5" r:id="rId8"/>
  </sheets>
  <definedNames>
    <definedName hidden="1" localSheetId="0" name="_xlnm._FilterDatabase">'2026'!$B$3:$T$193</definedName>
    <definedName hidden="1" localSheetId="1" name="_xlnm._FilterDatabase">'2025'!$B$3:$T$193</definedName>
    <definedName hidden="1" localSheetId="3" name="_xlnm._FilterDatabase">'2024'!$B$3:$T$193</definedName>
  </definedNames>
  <calcPr/>
  <extLst>
    <ext uri="GoogleSheetsCustomDataVersion2">
      <go:sheetsCustomData xmlns:go="http://customooxmlschemas.google.com/" r:id="rId9" roundtripDataChecksum="ABTRSQff0JbBiO1JCBKSX7h6tNtX105NgHAwEIoQD/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ID#AAABNl21TG8
정소영    (2024-05-22 14:28:47)
연번 숫자 ctrl-c  ctrl-v 할 것. 
연번 자동 생성</t>
      </text>
    </comment>
    <comment authorId="0" ref="G5">
      <text>
        <t xml:space="preserve">======
ID#AAABNl21TG4
NRC    (2024-05-22 14:28:47)
※ 의뢰인 유형 
- 장애 당사자 
- 보호자 및 지인 : 가족, 활동보조인 등
- 시군구(및 읍면동) 담당자 
- 유관기관 종사자 : 복지관, 협회, 보건소, 공단 등
- 교육기관 종사자 : 초중고, 어린이집, 유치원, 특수교육지원센터 등
- 기타 : 병원, 업체 등</t>
      </text>
    </comment>
    <comment authorId="0" ref="P6">
      <text>
        <t xml:space="preserve">======
ID#AAABNl21TG0
NRC    (2024-05-22 14:28:47)
사례연계
- 사례관리 서비스 요청에 관한 문의사항
1. 사례관리 서비스 요청
2. 타 센터 및 기관 사례 연계 
3. 기타GATC:</t>
      </text>
    </comment>
  </commentList>
  <extLst>
    <ext uri="GoogleSheetsCustomDataVersion2">
      <go:sheetsCustomData xmlns:go="http://customooxmlschemas.google.com/" r:id="rId1" roundtripDataSignature="AMtx7mhJ7X252HPYZsgeNYmgw7FEUQcqbA=="/>
    </ext>
  </extLst>
</comments>
</file>

<file path=xl/sharedStrings.xml><?xml version="1.0" encoding="utf-8"?>
<sst xmlns="http://schemas.openxmlformats.org/spreadsheetml/2006/main" count="3609" uniqueCount="1508">
  <si>
    <r>
      <rPr>
        <rFont val="맑은 고딕"/>
        <b/>
        <color theme="1"/>
        <sz val="10.0"/>
      </rPr>
      <t>&lt;안내 사항&gt;</t>
    </r>
    <r>
      <rPr>
        <rFont val="맑은 고딕"/>
        <color theme="1"/>
        <sz val="10.0"/>
      </rPr>
      <t xml:space="preserve">
1. 향후 각 보조기기센터 콜센터 상담일지 내용 취합 시 개인정보보호법 해당되는 </t>
    </r>
    <r>
      <rPr>
        <rFont val="맑은 고딕"/>
        <color rgb="FFFF0000"/>
        <sz val="10.0"/>
      </rPr>
      <t>의뢰인 성명, 의뢰인 연락처에 해당되는 항목은 제외</t>
    </r>
    <r>
      <rPr>
        <rFont val="맑은 고딕"/>
        <color theme="1"/>
        <sz val="10.0"/>
      </rPr>
      <t xml:space="preserve">하여 회신
 * 의뢰인 성명, 의뢰인 연락처 : 개인을 알아볼 수 있는 정보(해당 정보만으로는 특정 개인을 알아볼 수 없더라도 다른 정보와 쉽게 결합하여 알아볼 수 있는 것을 포함함)
2. 엑셀시트 항목 중 </t>
    </r>
    <r>
      <rPr>
        <rFont val="맑은 고딕"/>
        <color rgb="FFFF0000"/>
        <sz val="10.0"/>
      </rPr>
      <t>진한글씨항목(연번, 상담일, 의뢰외 유형, 상담내용(질문유형, 질문내용, 답볍))은 필수항목</t>
    </r>
    <r>
      <rPr>
        <rFont val="맑은 고딕"/>
        <color theme="1"/>
        <sz val="10.0"/>
      </rPr>
      <t>이므로 반드시 입력, 이외 나머지는 선택사항임
3. 상담내용 작성 시</t>
    </r>
    <r>
      <rPr>
        <rFont val="맑은 고딕"/>
        <color rgb="FFFF0000"/>
        <sz val="10.0"/>
      </rPr>
      <t>, 반드시 질문유형(공적급여, 민간급여, 보조기기, 사례연계, 기타)에 한가지는 입력 후</t>
    </r>
    <r>
      <rPr>
        <rFont val="맑은 고딕"/>
        <color theme="1"/>
        <sz val="10.0"/>
      </rPr>
      <t xml:space="preserve"> 질문내용 및 답변 입력 필요</t>
    </r>
  </si>
  <si>
    <t>일반정보</t>
  </si>
  <si>
    <t>상담내용</t>
  </si>
  <si>
    <t>상담자</t>
  </si>
  <si>
    <t>연번</t>
  </si>
  <si>
    <t>상담일</t>
  </si>
  <si>
    <t>의뢰인
성명</t>
  </si>
  <si>
    <t>의뢰인
지역 또는 소속</t>
  </si>
  <si>
    <t>의뢰인
연락처</t>
  </si>
  <si>
    <t>의뢰인 
유형</t>
  </si>
  <si>
    <t>대상자
성명</t>
  </si>
  <si>
    <t>대상자
성별</t>
  </si>
  <si>
    <t>대상자
장애유형</t>
  </si>
  <si>
    <t>대상자
장애정도</t>
  </si>
  <si>
    <t>대상자
경제상황</t>
  </si>
  <si>
    <t>질문 유형</t>
  </si>
  <si>
    <t>질문내용</t>
  </si>
  <si>
    <t>답변
(상담에 따른 조치사항 등)</t>
  </si>
  <si>
    <t>공적급여</t>
  </si>
  <si>
    <t>민간급여</t>
  </si>
  <si>
    <t>보조기기</t>
  </si>
  <si>
    <t>사례연계</t>
  </si>
  <si>
    <t>기타</t>
  </si>
  <si>
    <t>김인욱</t>
  </si>
  <si>
    <t>강릉</t>
  </si>
  <si>
    <t>010-3718-8962</t>
  </si>
  <si>
    <t>장애 당사자</t>
  </si>
  <si>
    <t>대여</t>
  </si>
  <si>
    <t>안구마우스 반납 관련 문의</t>
  </si>
  <si>
    <t>현재 출장 방문이 어려운 상황으로, 추후 출장 일정이  확정되는 대로 연락드린 후 보조기기 수거를 진행할
 예정임을 안내함.</t>
  </si>
  <si>
    <t>심채연</t>
  </si>
  <si>
    <t>동해시장애요양원</t>
  </si>
  <si>
    <t>070-4259-4701
010-3487-3471</t>
  </si>
  <si>
    <t>유관기관 종사자</t>
  </si>
  <si>
    <t>바디서포트 대여 문의</t>
  </si>
  <si>
    <t xml:space="preserve">현재 대여 사업이 시작되지 않아, 대여 사업이 시작하면 사전에 연락드릴 수 있도록 보조기기 대기명단 안내와 등록과정을 도와드림. </t>
  </si>
  <si>
    <t>원주 발달장애인
통합돌봄서비스
제공기관</t>
  </si>
  <si>
    <t>010-3221-6143</t>
  </si>
  <si>
    <t>휠체어 침상을 이동할 수 있는 보조기기에 대한 정보 문의</t>
  </si>
  <si>
    <t xml:space="preserve">이동식 전동 리프트, 슬라이딩보드 및 시트 정보를 안내드림. </t>
  </si>
  <si>
    <t>원주</t>
  </si>
  <si>
    <t>010-8800-7532</t>
  </si>
  <si>
    <t>보호자 및 지인</t>
  </si>
  <si>
    <t xml:space="preserve">장애인등록은 되어 있으시고 기초생활수급자이고 보조기기 지원사업에 대해서 안내 </t>
  </si>
  <si>
    <t>교부사업에 대해서 안내해드렸음.</t>
  </si>
  <si>
    <t>이창하</t>
  </si>
  <si>
    <t>전기택</t>
  </si>
  <si>
    <t>춘천</t>
  </si>
  <si>
    <t>010-7368-1174</t>
  </si>
  <si>
    <t>보조기기 교부사업 신청 안내 및 건강보험공단 보조기기 지원사업 안내에 대한 문의를 주셨음.</t>
  </si>
  <si>
    <t xml:space="preserve">건강보험공단 보조기기 지원사업 연락처 안내 및 교부사업 신청 안내 </t>
  </si>
  <si>
    <t>010-2240-8667</t>
  </si>
  <si>
    <t>김지원</t>
  </si>
  <si>
    <t>남</t>
  </si>
  <si>
    <t>자폐</t>
  </si>
  <si>
    <t>중증</t>
  </si>
  <si>
    <t xml:space="preserve">마이토키 스마트 대여 관련 문의 </t>
  </si>
  <si>
    <t xml:space="preserve">현재 발생되고 있는 문제(상징물 저장 안됨)에 대해 해결 방안을  안내드렸음. </t>
  </si>
  <si>
    <t>010-2018-0313</t>
  </si>
  <si>
    <t>한윤주</t>
  </si>
  <si>
    <t>여</t>
  </si>
  <si>
    <t>지체</t>
  </si>
  <si>
    <t xml:space="preserve">좌석형 계단식 리프트 대여 요청 </t>
  </si>
  <si>
    <t xml:space="preserve">현재 대여나간 품목이기 때문에 당장은 대여가 불가능하다는 점을 안내드렸고, 추후 반납 시 연락드릴 수 있도록 보조기기 대기 명단 안내와 등록과정을 도와드림.  </t>
  </si>
  <si>
    <t>김희진</t>
  </si>
  <si>
    <t>철원</t>
  </si>
  <si>
    <t>010-8654-4730</t>
  </si>
  <si>
    <t>한소네 대여 관련 문의</t>
  </si>
  <si>
    <t xml:space="preserve">대여 대기관리 대장 확인 결과, 대여는 가능하지만 현재 당장은 대여가 불가능하고, 추후 대여 사업 시작 시 다시 연락드리기로 함. </t>
  </si>
  <si>
    <t>033-737-5985</t>
  </si>
  <si>
    <t>시군구(및 읍면동) 담당자</t>
  </si>
  <si>
    <t>신청</t>
  </si>
  <si>
    <t>장애인 보조기기 교부사업 신청 방법, 교부 가능 품목 확인</t>
  </si>
  <si>
    <t>교부사업 신청 과정 및 방법 안내, 보조기기 품목(휠체어 액세서리)에 대해 안내 드림.</t>
  </si>
  <si>
    <t>양하나</t>
  </si>
  <si>
    <t>방시우</t>
  </si>
  <si>
    <t>영월</t>
  </si>
  <si>
    <t>010-8711-9062</t>
  </si>
  <si>
    <t>아동용 보행보조기 추천</t>
  </si>
  <si>
    <t>아동용 보행보조기 추천을 해드렸음.</t>
  </si>
  <si>
    <t>김광희</t>
  </si>
  <si>
    <t>홍천</t>
  </si>
  <si>
    <t>010-8918-5923</t>
  </si>
  <si>
    <t>시각</t>
  </si>
  <si>
    <t>심한</t>
  </si>
  <si>
    <t>수급자</t>
  </si>
  <si>
    <t>텍스트 음성 변환장치(TTS) 보조기기 안내 및 지원 가능 여부</t>
  </si>
  <si>
    <t>장애인 보조기기 교부사업에서 신청 가능한 TTS소프트웨어 안내드림.</t>
  </si>
  <si>
    <t>권송자</t>
  </si>
  <si>
    <t>010-7240-8085</t>
  </si>
  <si>
    <t>의족 수리 관련 문의</t>
  </si>
  <si>
    <t xml:space="preserve">재활병원 내 의족 수리기사님과 통화후 연계함. </t>
  </si>
  <si>
    <t>철원군 보건소
cbs팀</t>
  </si>
  <si>
    <t>033-450-4023</t>
  </si>
  <si>
    <t>보행차(zeen) 보조기기 대여 및 지원 가능 여부</t>
  </si>
  <si>
    <t xml:space="preserve">현재 센터 내에서는 zeen과 관련한 보조기기는 보유하지 않아 대여가 불가능하다는 것을 안내드림. </t>
  </si>
  <si>
    <t>홍수복</t>
  </si>
  <si>
    <t>010-5072-5667</t>
  </si>
  <si>
    <t>김승아</t>
  </si>
  <si>
    <t>뇌병변</t>
  </si>
  <si>
    <t>숟가락 보조기기 제작 의뢰</t>
  </si>
  <si>
    <t>2월 중 방문예정</t>
  </si>
  <si>
    <t>송근필</t>
  </si>
  <si>
    <t>이상기</t>
  </si>
  <si>
    <t>010-9066-0275</t>
  </si>
  <si>
    <t>개조 및 제작</t>
  </si>
  <si>
    <t xml:space="preserve">랩보드 제작 요청 문의 </t>
  </si>
  <si>
    <t xml:space="preserve">랩보드 제작 요청하여 담당자에게 전달드린다고 함. </t>
  </si>
  <si>
    <t>김승겸</t>
  </si>
  <si>
    <t>속초시장애인체육회</t>
  </si>
  <si>
    <t>010-2747-6091</t>
  </si>
  <si>
    <t xml:space="preserve">보치아선수 보조기기 제작 의뢰 </t>
  </si>
  <si>
    <t>2월 중 속초 방문 일정 잡기로함</t>
  </si>
  <si>
    <t>010-4012-8805</t>
  </si>
  <si>
    <t>권수미</t>
  </si>
  <si>
    <t xml:space="preserve">사용하고 있던 수동휠체어가 망가져 급하게 대여요청 문의 </t>
  </si>
  <si>
    <t>대여 담당자에게 정보전달</t>
  </si>
  <si>
    <t>010-6722-5055</t>
  </si>
  <si>
    <t>박진수</t>
  </si>
  <si>
    <t xml:space="preserve">남 </t>
  </si>
  <si>
    <t>급여 정보</t>
  </si>
  <si>
    <t>자세보조용구 (서기형) 급여결정 통지서 받은 후 
지원 받는 절차 안내 문의</t>
  </si>
  <si>
    <t xml:space="preserve">건강보험공단에 등록되어 있는 제조업체(에이블라이프) 연락처 안내 </t>
  </si>
  <si>
    <t>010-6739-9753</t>
  </si>
  <si>
    <t>이재학</t>
  </si>
  <si>
    <t>목욕용 휠체어 급여정보 및 신청 기관 문의</t>
  </si>
  <si>
    <t>건강보험납입, 장기요양 대상자에 해당되어 복지용구 급여 신청을 위해 건강보험공단으로 문의할 수 있도록 안내드림.</t>
  </si>
  <si>
    <t>010-6381-1565</t>
  </si>
  <si>
    <t>수리</t>
  </si>
  <si>
    <t>캐롯카시트 끈조질 및 길이 연장 가능한지에 대한 문의를 주셨음.</t>
  </si>
  <si>
    <t>재활병원 어린이병동에 계시다가 하셔서 카시트를 직접 가지고 방문하시면 수리 여부 가능한지 안내해드리기로 하였음.</t>
  </si>
  <si>
    <t>조지영</t>
  </si>
  <si>
    <t>010-9057-2102</t>
  </si>
  <si>
    <t>전동휠체어 대여 문의</t>
  </si>
  <si>
    <t xml:space="preserve">전동휠체어 대여 가능여부에 대해 불가능하다는 답변을 드렸고, 구매 정보에 대한
 안내 드렸음. </t>
  </si>
  <si>
    <t>오터 목욕의자 대여 문의</t>
  </si>
  <si>
    <t xml:space="preserve">대상자 키의 맞는 목욕의자 찾게 되면 다시 재 연락드린다고 안내 드렸음. </t>
  </si>
  <si>
    <t>010-3935-8224</t>
  </si>
  <si>
    <t>대여 사업을 언제부터 진행하는 지 문의를 주셨음.</t>
  </si>
  <si>
    <t>3월달부터 진행한다고 안내해드렸음.</t>
  </si>
  <si>
    <t>동해</t>
  </si>
  <si>
    <t>010-9074-5441</t>
  </si>
  <si>
    <t>맞춤제작 휠체어,높낮이 조절 책상 지원 또는 구매방법에 대하여 알고 싶다고 문의를 주셨음.</t>
  </si>
  <si>
    <t xml:space="preserve">푸르메재단 민간지원사업 안내해드렸음. </t>
  </si>
  <si>
    <t>이현준</t>
  </si>
  <si>
    <t>010-9496-7411</t>
  </si>
  <si>
    <t>보조기기
서비스</t>
  </si>
  <si>
    <t xml:space="preserve">장애진단이 없음에도 지원받을 수 있는 보조기기 서비스에 대하여 문의주셨음. </t>
  </si>
  <si>
    <t xml:space="preserve">장애진단과 장기요양으로 등록되어 있지 않기 때문에 보조기기센터 이용하는데 어려움이 있으며, 장애등록서비스 안내해드림. </t>
  </si>
  <si>
    <t>화천군
보건의료센터</t>
  </si>
  <si>
    <t>화천군</t>
  </si>
  <si>
    <t>033-440-2818</t>
  </si>
  <si>
    <t>구입</t>
  </si>
  <si>
    <t xml:space="preserve">일반수동휠체어 구입 관련 문의주셨음. </t>
  </si>
  <si>
    <t xml:space="preserve">장애인보조기기 급여사업에 대한 정보를 안내드렸음. </t>
  </si>
  <si>
    <t>춘천시</t>
  </si>
  <si>
    <t>010-9000-7050</t>
  </si>
  <si>
    <t>휠체어 대여 관련 문의주셨음</t>
  </si>
  <si>
    <t xml:space="preserve">장기요양 등록 확인 후 대여 안내드리고 하였음. </t>
  </si>
  <si>
    <t xml:space="preserve">영월군 </t>
  </si>
  <si>
    <t>일반</t>
  </si>
  <si>
    <t xml:space="preserve">포니워커 대여 관련 문의주셨음. </t>
  </si>
  <si>
    <t xml:space="preserve">확인 후 다시 연락드리고 안내드렸음. </t>
  </si>
  <si>
    <t>강장복 화천CBS</t>
  </si>
  <si>
    <t>033-441-2491</t>
  </si>
  <si>
    <t>견학</t>
  </si>
  <si>
    <t>보조기기센터 견학관련 문의</t>
  </si>
  <si>
    <t>보조기기 견학 서비스 정보안내 및 일정조율 4월 9일 견학요청 예정</t>
  </si>
  <si>
    <t>장영자</t>
  </si>
  <si>
    <t>철원군</t>
  </si>
  <si>
    <t>010-2773-0466</t>
  </si>
  <si>
    <t>보조기기 신청 관련 문의</t>
  </si>
  <si>
    <t xml:space="preserve">노인장기요양보험복지용구급여사업 신청 전 롤레이터 사용을 원하신다구 하셔서 대여 서비스 안내드림.
강원 철원군 갈말읍 명성로179번길 10 나동 106호 </t>
  </si>
  <si>
    <t>이한순</t>
  </si>
  <si>
    <t>영월군</t>
  </si>
  <si>
    <t>010-9441-0205</t>
  </si>
  <si>
    <t>자동차 개조,장애등록이 되어 있는데 운전면허증 갱신일이 다 되어가는데 운전면허가 바로 취소가 되는지,지체장애를 가지고 있는 지원받을 수 있는 지원사업이 있는지.</t>
  </si>
  <si>
    <t>국립재활원에 문의를 드렸고 운전면허증은 자동으로 취소가 될것으로 안내해드렸음.
기초생활수급자이셔서 교부사업 신청에 대해서 안내해드렸음.</t>
  </si>
  <si>
    <t>임승택</t>
  </si>
  <si>
    <t>원주시</t>
  </si>
  <si>
    <t>010-3470-6566</t>
  </si>
  <si>
    <t>경증</t>
  </si>
  <si>
    <t>타이핑을 하는데 필요한 보조기구에 대한 정보제공이 필요함</t>
  </si>
  <si>
    <t xml:space="preserve">출장 일정 잡은 후 환경 평가하면서 함께 필요한 보조기구 설명드리기로 하였음. 
원주시 혁신로 224번길 604동 903호 </t>
  </si>
  <si>
    <t>정선군</t>
  </si>
  <si>
    <t>010-2317-5397</t>
  </si>
  <si>
    <t>복합(지체, 청각)</t>
  </si>
  <si>
    <t xml:space="preserve">청각 및 지체에 관련된 공적 지원사업에 대한 정보제공이 필요함. </t>
  </si>
  <si>
    <t xml:space="preserve">교부사업 및 행정복지센터에서 전동휠체어 신청받는 방법에 대해 안내해드림. </t>
  </si>
  <si>
    <t xml:space="preserve">춘천시 </t>
  </si>
  <si>
    <t>010-8684-1476</t>
  </si>
  <si>
    <t>교육</t>
  </si>
  <si>
    <t>휠마스터 교육 관련 문의</t>
  </si>
  <si>
    <t xml:space="preserve">보조기기센터 자체에서 휠마스터 교육을 하는지 문의주셔서 진행하지 않는다고 답변 드림. 또한 장애인 일자리 관련 문의도 함께 주셔서 춘천시청장애인복지과로 연결해드림. </t>
  </si>
  <si>
    <t>임찬후</t>
  </si>
  <si>
    <t>010-7285-6046</t>
  </si>
  <si>
    <t>장애아동용 유모차 대여</t>
  </si>
  <si>
    <t xml:space="preserve">가벼운 유모차 희망하여 우선 확인 후 다시 연락드린다고 말씀드림. </t>
  </si>
  <si>
    <t>안지유</t>
  </si>
  <si>
    <t>현대모비스 지원사업 신청방법 문의</t>
  </si>
  <si>
    <t>지원사업에 대한 안내와 신청 서류 관련 이메일 송부 드림</t>
  </si>
  <si>
    <t>김하민</t>
  </si>
  <si>
    <t>차상위</t>
  </si>
  <si>
    <t>품목</t>
  </si>
  <si>
    <t>현대모비스 지원사업 신청 보조기기 품목 문의</t>
  </si>
  <si>
    <t>이동보조기기 품목 확인 가능한 사이트 안내드림</t>
  </si>
  <si>
    <t>이다온</t>
  </si>
  <si>
    <t>전다온</t>
  </si>
  <si>
    <t>강릉시</t>
  </si>
  <si>
    <t>010-5259-5731</t>
  </si>
  <si>
    <t>뇌병변, 언어</t>
  </si>
  <si>
    <t>기립기 품목 확인 가능한 사이트 안내드림</t>
  </si>
  <si>
    <t>한지율</t>
  </si>
  <si>
    <t>임가현</t>
  </si>
  <si>
    <t>강릉솔향유치원</t>
  </si>
  <si>
    <t>교육기관 종사자</t>
  </si>
  <si>
    <t>횡성군보건소</t>
  </si>
  <si>
    <t>033-340-5617</t>
  </si>
  <si>
    <t>대상자의 안전손잡이 설치를 위한 지원사업 문의</t>
  </si>
  <si>
    <t>대상자 기본정보 파악 후 장기요양보험 복지용구 지원사업 안내드림</t>
  </si>
  <si>
    <t>인제군 특수교육
지원센터</t>
  </si>
  <si>
    <t>현재 센터내 보유 품목이 아니기 때문에 대여는 불가능하나, 구입 가능한 업체 안내 드림.</t>
  </si>
  <si>
    <t>조예샘</t>
  </si>
  <si>
    <t>010-8925-1730</t>
  </si>
  <si>
    <t>민간지원신청 관련 문의</t>
  </si>
  <si>
    <t xml:space="preserve">민간지원 신청에 필요한 서류 문의주셔서 안내 드림. </t>
  </si>
  <si>
    <t>이신재</t>
  </si>
  <si>
    <t xml:space="preserve">원주시 돌봄센터 </t>
  </si>
  <si>
    <t>010-4256-4623</t>
  </si>
  <si>
    <t>식사용 보조기기 제작 관련 문의</t>
  </si>
  <si>
    <t xml:space="preserve">맞춤제작의 경우, 현재 수요가 높아 제작 기간이 조금 지연될 수 있다는점과 더불어 
상담 일정은 추후 잡히는 대로 연락드리기로 하였음. </t>
  </si>
  <si>
    <t>류연수</t>
  </si>
  <si>
    <t>철원군 보건소</t>
  </si>
  <si>
    <t>033-450-5556</t>
  </si>
  <si>
    <t>핸드쿠션 제작 의뢰</t>
  </si>
  <si>
    <t xml:space="preserve">핸드쿠션 제작 의뢰에 필요한 서류 안내 드림. </t>
  </si>
  <si>
    <t>서성자</t>
  </si>
  <si>
    <t>춘천시종합사회복지관</t>
  </si>
  <si>
    <t>010-2369-9419</t>
  </si>
  <si>
    <t>좌석형 롤레이터 대여 문의</t>
  </si>
  <si>
    <t xml:space="preserve">좌석형 롤레이터 대여 대기명단에 등록 후 추후 대여 시 진행하기로 함. </t>
  </si>
  <si>
    <t>르베랑  유치원</t>
  </si>
  <si>
    <t>현대모비스 지원사업 신청 문의</t>
  </si>
  <si>
    <t>신청안내에 필요한 서류를 안내드리고 유치원 담임교사께서 보호자께 전달하기로 함.</t>
  </si>
  <si>
    <t>송연준</t>
  </si>
  <si>
    <t>010-5129-3286</t>
  </si>
  <si>
    <t>독서용확대기 대여 문의</t>
  </si>
  <si>
    <t>대여 절차에 대한 안내, 독서확대기 보유 품목 확인 후 문자안내 드리기로 함.</t>
  </si>
  <si>
    <t>박동재</t>
  </si>
  <si>
    <t>010-3004-5739</t>
  </si>
  <si>
    <t>경사로 및 안전손잡이 설치 가능 여부</t>
  </si>
  <si>
    <t>방문을 통하여 현장을 직접봐야한다고 안내해드렸음. 
사진 발송해주시기로 하심.</t>
  </si>
  <si>
    <t>홍천군청</t>
  </si>
  <si>
    <t>033-430-4018</t>
  </si>
  <si>
    <t>종류</t>
  </si>
  <si>
    <t>저시력 시각장애인용 키보드 종류 문의</t>
  </si>
  <si>
    <t>자판의 크기가 큰 키보드 문의 하셔서 키가드 확대 키보드안내드림. 
보조기기 체험, 대여 가능 여부 말씀드렸으며 홍천군청에서 대상자 의뢰 공문 보낼 예정</t>
  </si>
  <si>
    <t>박설화</t>
  </si>
  <si>
    <t>춘천시보건소</t>
  </si>
  <si>
    <t xml:space="preserve"> 033-250-4578</t>
  </si>
  <si>
    <t>기립훈련, 안전을 위한 보조기기 대여 문의</t>
  </si>
  <si>
    <t>대여 가능 보조기기 안내완료. 대상자 의뢰 공문 보낼 예정</t>
  </si>
  <si>
    <t>물빛나래어린이집</t>
  </si>
  <si>
    <t>010-4614-9114</t>
  </si>
  <si>
    <t>장애인의 날 홍보부스, 교육 진행 가능 여부 문의</t>
  </si>
  <si>
    <t>4월 타 홍보부스 진행으로 인해 참석 어려움을 안내드림. 
추후 홍보부스 진행 요청 시  일정조율을 위해 미리 연락을 요청드렸음.</t>
  </si>
  <si>
    <t>010-2379-3966</t>
  </si>
  <si>
    <t>화물차에 탈부착 가능한 왼발 엑셀 보조기기 구매처 문의</t>
  </si>
  <si>
    <t>네오엘에프엔 하라이드 업체 사이트 주소, 보조공학기기 지원사업 안내드림.</t>
  </si>
  <si>
    <t>양구</t>
  </si>
  <si>
    <t>033-482-9765</t>
  </si>
  <si>
    <t>가격</t>
  </si>
  <si>
    <t>기립보조기기 가격 및 구매 문의</t>
  </si>
  <si>
    <t>제품마다 금액 상이하며 대략적인 금액 안내드렸으며, 보조기기센터에서 체험도 가능함을 안내드림.</t>
  </si>
  <si>
    <t>조서현</t>
  </si>
  <si>
    <t>010-2008-6814</t>
  </si>
  <si>
    <t>발 보조기기 신청 문의</t>
  </si>
  <si>
    <t>21년도 춘천시 지역사회 통합돌봄 사업을 통해 지원받은 이력 확인하였음. 대상자의 경제상황에 따라 행정복지센터에서 신청 가능함을 안내드렸음.</t>
  </si>
  <si>
    <t>박성수</t>
  </si>
  <si>
    <t>010-3479-9870</t>
  </si>
  <si>
    <t>휠체어 대여 문의  5월 18일 ~ 20일 / 2대</t>
  </si>
  <si>
    <t>대여 가능하다는 안내 드렸으며, 대여자가 직접 내방하여 대여 및 반납 할 예정</t>
  </si>
  <si>
    <t>033-250-4577</t>
  </si>
  <si>
    <t>목욕의자 대여가능여부,스마트홈 사업으로 받았던 스마트 초인종 점검 요청</t>
  </si>
  <si>
    <t xml:space="preserve">대상자 보호자분과 논의 후 서비스 의뢰서 송부해드리기로 함. </t>
  </si>
  <si>
    <t>원연서</t>
  </si>
  <si>
    <t>010-7359-0852</t>
  </si>
  <si>
    <t>곽연희</t>
  </si>
  <si>
    <t>정선</t>
  </si>
  <si>
    <t>010-8784-9256</t>
  </si>
  <si>
    <t>김영자</t>
  </si>
  <si>
    <t>심하지 않은</t>
  </si>
  <si>
    <t>활동형휠체어 지원 문의</t>
  </si>
  <si>
    <t>현재 휠체어 사용자의 신체 상황으로는 활동형 휠체어를 사용할 수 없어 현재 사용하고 있는 휠체어 사용 권장드림.</t>
  </si>
  <si>
    <t>010-5394-5125</t>
  </si>
  <si>
    <t>김형</t>
  </si>
  <si>
    <t>보조기기 교부사업 신청 문의</t>
  </si>
  <si>
    <t>자동소변수집장치 내구연한 및 신청 방법 안내드림.</t>
  </si>
  <si>
    <t>010-9910-3137</t>
  </si>
  <si>
    <t>보행보조기기(보행차) 대여 문의</t>
  </si>
  <si>
    <t>대여 기간, 대여 조건 안내드림. 대여 가능 보조기기 확인 후 연락드리기로 함.</t>
  </si>
  <si>
    <t>삼척</t>
  </si>
  <si>
    <t>010-4409-4610</t>
  </si>
  <si>
    <t>윤낙운</t>
  </si>
  <si>
    <t>휠체어 대여를 장기적으로 가능한지</t>
  </si>
  <si>
    <t>대여기간은 6개월 가능하며 현재 수동휠체어 대기자 분들이 많고 수요가 많아 장기적으로 대여는 불가능하다고 안내해드렸음.</t>
  </si>
  <si>
    <t>김선범</t>
  </si>
  <si>
    <t>장애인e스포츠 관련 보조기기 지원사업 문의</t>
  </si>
  <si>
    <t>서울, 경기 지역은 지원사업이 있으나, 강원 지역은 장애인e스포츠 관련 지원사업이 없다고 안내함</t>
  </si>
  <si>
    <t>김영기</t>
  </si>
  <si>
    <t>김수철</t>
  </si>
  <si>
    <t>도청 진흥정보정책과</t>
  </si>
  <si>
    <t>033-249-3013</t>
  </si>
  <si>
    <t>6월 24일 ~ 7월 15일
정보통신보조기기 심층상담 협조 가능 문의</t>
  </si>
  <si>
    <t>추후 연락 주시면 내부 검토 후 진행 여부 답변하겠다고 안내함</t>
  </si>
  <si>
    <t>길가영</t>
  </si>
  <si>
    <t>홍천군보건소</t>
  </si>
  <si>
    <t>033-430-4077</t>
  </si>
  <si>
    <t>사례관리 서비스 요청</t>
  </si>
  <si>
    <t>서비스 의뢰서 이메일 수신 확인 차 연락</t>
  </si>
  <si>
    <t>이메일 수신 확인되었다고 안내함</t>
  </si>
  <si>
    <t>010-9018-5186</t>
  </si>
  <si>
    <t>기초생활수급자, 당뇨로 인한 신장 투석, 장애2급, 거동이 불편하여 목욕의자 지원 희망</t>
  </si>
  <si>
    <t>주민센터에서 신청가능한 장애인보조기기 교부사업 안내</t>
  </si>
  <si>
    <t>이명호</t>
  </si>
  <si>
    <t>010-4894-6376</t>
  </si>
  <si>
    <t>책마루3 OCR 기능 고장으로 셀바스헬스케어에 수리 맡겼으나 정상작동 되지 않아 사용 중지 상태
업체에서 매뉴얼은 받았으나 내용을 확인할 수 없어 불편 호소
지난 번 다녀갔던 여자, 남자 선생님이 다시 방문해주길 원함</t>
  </si>
  <si>
    <t>춘천시 남면 거주
수급자, 중증 뇌병변 장애인
휠체어 착석시 몸이 오른쪽으로 기울어져 등 지지대 지원 희망</t>
  </si>
  <si>
    <t>장애인보조기기 교부사업 품목 중 휠체어 액세서리 품목 신청가능하다고 안내함</t>
  </si>
  <si>
    <t>010-3386-2921</t>
  </si>
  <si>
    <t>조율기</t>
  </si>
  <si>
    <t>2026 롯데재단 보조기기 지원사업 신청 가능 품목 문의</t>
  </si>
  <si>
    <t xml:space="preserve">보조기기센터 홈페이지 게시물 안내드림. </t>
  </si>
  <si>
    <t>천정식</t>
  </si>
  <si>
    <t>010-5008-2310</t>
  </si>
  <si>
    <t>김혜경</t>
  </si>
  <si>
    <t>건보</t>
  </si>
  <si>
    <t xml:space="preserve">안구마우스 구입 문의 </t>
  </si>
  <si>
    <t>김학신</t>
  </si>
  <si>
    <t>010-3389-3063</t>
  </si>
  <si>
    <t>정보통신보조기기보급사업 신청방법 문의</t>
  </si>
  <si>
    <t>접처수 안내</t>
  </si>
  <si>
    <r>
      <rPr>
        <rFont val="맑은 고딕"/>
        <b/>
        <color theme="1"/>
        <sz val="10.0"/>
      </rPr>
      <t>&lt;안내 사항&gt;</t>
    </r>
    <r>
      <rPr>
        <rFont val="맑은 고딕"/>
        <color theme="1"/>
        <sz val="10.0"/>
      </rPr>
      <t xml:space="preserve">
1. 향후 각 보조기기센터 콜센터 상담일지 내용 취합 시 개인정보보호법 해당되는 </t>
    </r>
    <r>
      <rPr>
        <rFont val="맑은 고딕"/>
        <color rgb="FFFF0000"/>
        <sz val="10.0"/>
      </rPr>
      <t>의뢰인 성명, 의뢰인 연락처에 해당되는 항목은 제외</t>
    </r>
    <r>
      <rPr>
        <rFont val="맑은 고딕"/>
        <color theme="1"/>
        <sz val="10.0"/>
      </rPr>
      <t xml:space="preserve">하여 회신
 * 의뢰인 성명, 의뢰인 연락처 : 개인을 알아볼 수 있는 정보(해당 정보만으로는 특정 개인을 알아볼 수 없더라도 다른 정보와 쉽게 결합하여 알아볼 수 있는 것을 포함함)
2. 엑셀시트 항목 중 </t>
    </r>
    <r>
      <rPr>
        <rFont val="맑은 고딕"/>
        <color rgb="FFFF0000"/>
        <sz val="10.0"/>
      </rPr>
      <t>진한글씨항목(연번, 상담일, 의뢰외 유형, 상담내용(질문유형, 질문내용, 답볍))은 필수항목</t>
    </r>
    <r>
      <rPr>
        <rFont val="맑은 고딕"/>
        <color theme="1"/>
        <sz val="10.0"/>
      </rPr>
      <t>이므로 반드시 입력, 이외 나머지는 선택사항임
3. 상담내용 작성 시</t>
    </r>
    <r>
      <rPr>
        <rFont val="맑은 고딕"/>
        <color rgb="FFFF0000"/>
        <sz val="10.0"/>
      </rPr>
      <t>, 반드시 질문유형(공적급여, 민간급여, 보조기기, 사례연계, 기타)에 한가지는 입력 후</t>
    </r>
    <r>
      <rPr>
        <rFont val="맑은 고딕"/>
        <color theme="1"/>
        <sz val="10.0"/>
      </rPr>
      <t xml:space="preserve"> 질문내용 및 답변 입력 필요</t>
    </r>
  </si>
  <si>
    <t>한장금</t>
  </si>
  <si>
    <t>인제</t>
  </si>
  <si>
    <t>010-5378-5000</t>
  </si>
  <si>
    <t>리보3S 지원 문의</t>
  </si>
  <si>
    <t>정보통신보조기기보급사업 관련 내용 안내</t>
  </si>
  <si>
    <t>김정진</t>
  </si>
  <si>
    <t>010-7525-2404</t>
  </si>
  <si>
    <t>김종은</t>
  </si>
  <si>
    <t>ITDA 제작 플랫폼으로 리코더 받침대 제작 의뢰</t>
  </si>
  <si>
    <t>추후 일정조율 건으로 다시 연락드리기로 함</t>
  </si>
  <si>
    <t>원서빈</t>
  </si>
  <si>
    <t>010-3677-7556</t>
  </si>
  <si>
    <t>경민성</t>
  </si>
  <si>
    <t>보완대체의사소통 보조기기(한뼘 AAC) 대여 문의</t>
  </si>
  <si>
    <t>대기명단에 추가하여 차례가 되었을 때 연락드린다고 함.</t>
  </si>
  <si>
    <t>장홍민</t>
  </si>
  <si>
    <t>김인숙</t>
  </si>
  <si>
    <t>010-7475-7161</t>
  </si>
  <si>
    <t>에이블라이프에 대해서 설명 부탁드립니다.</t>
  </si>
  <si>
    <t>1. 에이블라이프 정보 제공
2. 노트북은 보조기기가 아니라 보조기기센터에서 지원하지 않는다고 알려드림</t>
  </si>
  <si>
    <t>화천</t>
  </si>
  <si>
    <t>심하지않은</t>
  </si>
  <si>
    <t>워커 지원사업 문의</t>
  </si>
  <si>
    <t>1. 의사 처방 후 건강보험공단
2. 주민센터 방문 장애인보조기기 교부사업(25만원 지원)
3. 주변 의료기기업체 자부담 구매</t>
  </si>
  <si>
    <t>(부)</t>
  </si>
  <si>
    <t>010-4921-0992</t>
  </si>
  <si>
    <t>96년생</t>
  </si>
  <si>
    <t>슈마DA-7800 대여 가능 문의</t>
  </si>
  <si>
    <t>보유하고있지 않아 대체 보조기기(SS-1000) 안내 및 교부사업, 민간지원사업, 대여 사업 안내</t>
  </si>
  <si>
    <t>이찬섭</t>
  </si>
  <si>
    <t>010-4941-7292</t>
  </si>
  <si>
    <t>기립기 대여 가능 날짜 문의</t>
  </si>
  <si>
    <t>2월~3월 사이 가능할 것 같다고 안내함. 대여가 가능할 때 다시 연락드린다고 함.</t>
  </si>
  <si>
    <t>탁충열</t>
  </si>
  <si>
    <t>고성</t>
  </si>
  <si>
    <t>010-5688-2990</t>
  </si>
  <si>
    <t>전동침대 지원 문의</t>
  </si>
  <si>
    <t>주민센터 방문하여 장애인보조기기 교부사업 신청 가능하다고 안내해드림</t>
  </si>
  <si>
    <t>010-9446-6777</t>
  </si>
  <si>
    <t>보행차 지원받을 수 있는 방법에 대해 문의</t>
  </si>
  <si>
    <t>지원사업과 대여 서비스에 대해서 안내, 장애등록과 노인장기요양등급 받는 방법에 대해서도 안내</t>
  </si>
  <si>
    <t>033-660-3740</t>
  </si>
  <si>
    <t>욕창예방매트리스, 방석 신청 가능 장애유형에 대해 문의</t>
  </si>
  <si>
    <t>심장장애만 신청 가능하다고 답변</t>
  </si>
  <si>
    <t>횡성</t>
  </si>
  <si>
    <t>033-340-2167</t>
  </si>
  <si>
    <t>보조기기교부사업으로 받은 대화용장치 수리에 대해 문의</t>
  </si>
  <si>
    <t>센터에서는 간단한 경정비외에는 수리를 진행하지 않아 업체에 연락하여 수리 진행하면 된다고 답변함.</t>
  </si>
  <si>
    <t>010-3465-7449</t>
  </si>
  <si>
    <t>전동휠체어 대여 가능 문의</t>
  </si>
  <si>
    <t>전동휠체어는 안전상의 이유로 대여가 불가능하다고 답변.</t>
  </si>
  <si>
    <t>작년에 전동휠체어를 지원 받았는데 올해 전동침대 받을 수 있는지 문의</t>
  </si>
  <si>
    <t>전동침대와 전동휠체어는 다른 사업이라 교부사업으로 전동침대 신청 가능하다고 안내함</t>
  </si>
  <si>
    <t>안두훈</t>
  </si>
  <si>
    <t>010-7183-7948</t>
  </si>
  <si>
    <t>재제작</t>
  </si>
  <si>
    <t>작년에 받은 컵홀더 파손되어 재제작 가능한지 문의</t>
  </si>
  <si>
    <t>재제작 가능하며, 2월초 출장 일정 잡아서 방문하기로 함</t>
  </si>
  <si>
    <t>삼척시청</t>
  </si>
  <si>
    <t>033-570-3329</t>
  </si>
  <si>
    <t>적합성 평가 의뢰한 대상자분 언제 진행이 가능한지, 결과보고서는 언제 받을 수 있는 문의</t>
  </si>
  <si>
    <t>2월 지나서 출장 가능하여 2월 2번째주는 지나야 출장이 가능할 것 같다고 답변하고, 출장 후에 2~3일 이내에 결과보고서 보낼 예정이라고 답변</t>
  </si>
  <si>
    <t>010-2800-1025</t>
  </si>
  <si>
    <t>한효리</t>
  </si>
  <si>
    <t>2025 희귀난치어린이 의료비 사업 제출 서류 중 의사소견서 
3개월이 지난 의사소견서로 제출이 가능한지 문의</t>
  </si>
  <si>
    <t>제출이 가능하지만 불이익이 있을수 있음을 공지함.</t>
  </si>
  <si>
    <t>010-9261-2716</t>
  </si>
  <si>
    <t>배재현</t>
  </si>
  <si>
    <t>맞춤제작 지원 일정 조율</t>
  </si>
  <si>
    <t>일정 조율 완료</t>
  </si>
  <si>
    <t>033-640-1261</t>
  </si>
  <si>
    <t>희귀난치어린이지원사업 신청서 작성법 문의</t>
  </si>
  <si>
    <t>신청서 작성 요령 안내</t>
  </si>
  <si>
    <t>010-4234-6376</t>
  </si>
  <si>
    <t>점검</t>
  </si>
  <si>
    <t>센스리더 사용중이며 현재 고장이 나서 고칠수 있는지 문의
 (작년 상범선생님 담당했던 대상자)</t>
  </si>
  <si>
    <t>010-8454-2046</t>
  </si>
  <si>
    <t>전동휠체어 지원사업 문의</t>
  </si>
  <si>
    <t>건강보험 보조기기 지원사업, 민간지원사업, 토도웍스 상상인 지원사업 안내</t>
  </si>
  <si>
    <t>이정자</t>
  </si>
  <si>
    <t>033-737-5866</t>
  </si>
  <si>
    <t>교부사업 신청 대상자분께서 리보3S 보조기기를 신청할려고
하는데 교부사업 품목에 해당이 되는지 문의</t>
  </si>
  <si>
    <t xml:space="preserve">눅음 및 재생장치에 품목에 관련 설명 및 교부사업
가이드북 배포 예정 </t>
  </si>
  <si>
    <t>010-5155-7276</t>
  </si>
  <si>
    <t>처방전을 받아 이너시트를 신청하려는데 어떻게 신청하는건지 문의</t>
  </si>
  <si>
    <t>국민건강보험 장애인 보조기기 급여제도에 대해 안내</t>
  </si>
  <si>
    <t>삼척시보건소</t>
  </si>
  <si>
    <t>033-570-4662</t>
  </si>
  <si>
    <t xml:space="preserve">교부사업 가이드북 관련문의 </t>
  </si>
  <si>
    <t>가이드북 활용법 및 교부사업 정보 안내</t>
  </si>
  <si>
    <t>조현지</t>
  </si>
  <si>
    <t>010-8967-1324</t>
  </si>
  <si>
    <t>이동식 리프드 대여 반납 , 맞춤 제작 (트랜스퍼보드) 가능한지 문의</t>
  </si>
  <si>
    <t>대여 담당자에게 전달, 대여 반납 받으면서 맞춤제작 상담 진행</t>
  </si>
  <si>
    <t>010-4717-7558</t>
  </si>
  <si>
    <t>욕창예방매트리스 신청 방법에 대해 문의</t>
  </si>
  <si>
    <t>국민건강보험 급여제품 사업에 대해 안내</t>
  </si>
  <si>
    <t>소연정</t>
  </si>
  <si>
    <t>010-5496-9998</t>
  </si>
  <si>
    <t>이용자분중에 시각장애를 가지고 계신 이용자분이 계심. 책마루2 보조기기대여요청하셨음.</t>
  </si>
  <si>
    <t>대여 담당자에게 전달</t>
  </si>
  <si>
    <t>김용숙</t>
  </si>
  <si>
    <t>010-6806-5415</t>
  </si>
  <si>
    <t>보호자 자녀분꼐서 전동침대 대여에 대하여 문의를 주셨음.</t>
  </si>
  <si>
    <t>대여기간이 너무 짧아 대여는 원치 않으셨고 의료기기 판매점을 통하여 구입가능하다고 안내해드렸음.</t>
  </si>
  <si>
    <t>행정복지센터</t>
  </si>
  <si>
    <t>내구연한</t>
  </si>
  <si>
    <t xml:space="preserve">24년 정보통신보조기기보급사업으로 데이지플레이어를 지원 받았으며,
25년도에 동일한 품목으로 교부사업에서 지원받을 수 있는지 문의 </t>
  </si>
  <si>
    <t>교부사업 지침상 타 교부사업에서 지원받은 품목 내구연한이 경과되지 않았으면 신청 불가능</t>
  </si>
  <si>
    <t>김종웅</t>
  </si>
  <si>
    <t>010-9058-3960</t>
  </si>
  <si>
    <t>시각장애인이 사용할수  있는 보조기기 지원 문의</t>
  </si>
  <si>
    <t>정보통신보조기기 보급사업, 장애인보조기기 교부사업 안내 
문자판독기에 관련 상담 진행</t>
  </si>
  <si>
    <t>033-255-3482</t>
  </si>
  <si>
    <t>한쪽시각장애인 대상자가 지원받을 수 있는 지원사업이나 보조기기에 대해 문의</t>
  </si>
  <si>
    <t>정보통신보조기기 보급사업 안내, 보조기기의 경우에는 대상자의 욕구에 따라 달라져 상담이 필요하다고 안내함</t>
  </si>
  <si>
    <t>21년 통합돌봄 지원 대상자: 전동침대 높낮이 조절 부분이 고장이 나서 A/s 문의</t>
  </si>
  <si>
    <t>확인 후 다시 연락드리기로 함</t>
  </si>
  <si>
    <t>010-8790-8064</t>
  </si>
  <si>
    <t>기초생활수급잦이고 전동스쿠터 구입에 대한 문의를 주셨음.</t>
  </si>
  <si>
    <t>건강보험공단 급여제품 안내 책자 참고하여 전동스쿠터 가격과 지원금액 안내해드렸음.</t>
  </si>
  <si>
    <t>인제군 사회복지관</t>
  </si>
  <si>
    <t>033-461-0660</t>
  </si>
  <si>
    <t>보조기기 대여 문의</t>
  </si>
  <si>
    <t>담당자에게 전달</t>
  </si>
  <si>
    <t>김민주</t>
  </si>
  <si>
    <t>010-6594-2968</t>
  </si>
  <si>
    <t xml:space="preserve">리프트 휠체어 발판 제작 문의 </t>
  </si>
  <si>
    <t>상담은 완료했으며  제작 일정 관련해서 재연락하기로 함</t>
  </si>
  <si>
    <t>곽경범</t>
  </si>
  <si>
    <t>010-4395-1093</t>
  </si>
  <si>
    <t>이동식전동리프트 지원 문의</t>
  </si>
  <si>
    <t>의료급여 절차 및 신청 방법 안내</t>
  </si>
  <si>
    <t>이용호</t>
  </si>
  <si>
    <t>010-8759-0737</t>
  </si>
  <si>
    <t>이동식리프트 체험문의</t>
  </si>
  <si>
    <t>대여 중인 상황 설명. 추후 기기 회수 한 후에 연락드리기로 함</t>
  </si>
  <si>
    <t>수리보장구센터</t>
  </si>
  <si>
    <t>033-532-6688</t>
  </si>
  <si>
    <t>차량개조에 관련하여 방법, 업체 문의</t>
  </si>
  <si>
    <t>토탈모빌리티 업체 안내</t>
  </si>
  <si>
    <t>미끄럼보드 교부사업으로 신청이 가능한지 문의</t>
  </si>
  <si>
    <t>24년 교부사업으로 신청하였으니, 예산부족으로 받지 못했음. 25년 교부사업으로 재신청 안내</t>
  </si>
  <si>
    <t>엄계수</t>
  </si>
  <si>
    <t>033-264-0505</t>
  </si>
  <si>
    <t>수동휠체어 지원받는 방법 문의</t>
  </si>
  <si>
    <t>건강보험공단 급여사업 안내</t>
  </si>
  <si>
    <t>원주시시각장애인연합회</t>
  </si>
  <si>
    <t>033-762-2771</t>
  </si>
  <si>
    <t>전성숙</t>
  </si>
  <si>
    <t>한소네 대여 관련하여 상담주셨음.</t>
  </si>
  <si>
    <t xml:space="preserve">작년 대여 나갔던 대여품목을 수거중에 있으며 진행하게 되면 연락드리기로 하였음. </t>
  </si>
  <si>
    <t>동해시
특수교육지원청</t>
  </si>
  <si>
    <t>033-530-3036</t>
  </si>
  <si>
    <t>현재 특수교육청에 휠체어를 보유하고 있으며 점검받은지 오래되어 전체적으로 점검 받기를 요청하셨음.</t>
  </si>
  <si>
    <t xml:space="preserve">동해시에도 수리지원센터가 있는지 파악후 전화드리기로 하였음. </t>
  </si>
  <si>
    <t>홍성지</t>
  </si>
  <si>
    <t>010-5361-6363</t>
  </si>
  <si>
    <t>교부사업으로 보행차 신청이 가능한지 문의</t>
  </si>
  <si>
    <t xml:space="preserve">23년 보행차 지원 받았음. 내구연한이 지나고 난 뒤 재신청이 가능하다고 안내를 드렸으며,  목욕의자가 필요하다고 하여 25년 교부사업으로 신청 가능하다 안내. </t>
  </si>
  <si>
    <t>이순미</t>
  </si>
  <si>
    <t>010-8918-1526</t>
  </si>
  <si>
    <t>한소네 대여 문의</t>
  </si>
  <si>
    <t>담당자 출장으로 추후 연락드리기로 함</t>
  </si>
  <si>
    <t>한소네 대여문의</t>
  </si>
  <si>
    <t>담당자 상담중으로 추후 연라드리기로 함</t>
  </si>
  <si>
    <t>김영광</t>
  </si>
  <si>
    <t>영월군노인요양원</t>
  </si>
  <si>
    <t>010-4056-1625</t>
  </si>
  <si>
    <t>세척</t>
  </si>
  <si>
    <t>소독세척문의(휠체어 40대)</t>
  </si>
  <si>
    <t>010-8854-0065</t>
  </si>
  <si>
    <t>지팡이 구입 관련하여 문의주셨음.</t>
  </si>
  <si>
    <t>대학병원 근처에 위치한 의료기기  상사에서 구입가능하다고 안내해드렸음.</t>
  </si>
  <si>
    <t>김수미</t>
  </si>
  <si>
    <t>춘천동원학교</t>
  </si>
  <si>
    <t>033-240-7736</t>
  </si>
  <si>
    <t>대여 담당자 분에게 내용 전달하였음.</t>
  </si>
  <si>
    <t>033-250-1763</t>
  </si>
  <si>
    <t>아동 업기 어부바 보조기기 구입 문의</t>
  </si>
  <si>
    <t>아동 업기 어부바 구입처 번호 안내</t>
  </si>
  <si>
    <t>횡성군청일면사무소</t>
  </si>
  <si>
    <t>033-402-2843</t>
  </si>
  <si>
    <t>차량기어봉 보조기기 구입 문의</t>
  </si>
  <si>
    <t>3D프린트 제작 가능한지 담당자분과 상의하기로 함.</t>
  </si>
  <si>
    <t>010-8969-4196</t>
  </si>
  <si>
    <t>장애아동,청소년 재활 및 학습 보조기구 지원사업 관련문의
학습 보조기구 중 IT관련된 보조기기 품목안내 요청</t>
  </si>
  <si>
    <t>IT보조기기 품목 예시 문자로 안내해드렸음.</t>
  </si>
  <si>
    <t xml:space="preserve">춘천 </t>
  </si>
  <si>
    <t>010-7228-5411</t>
  </si>
  <si>
    <t>지용환</t>
  </si>
  <si>
    <t>목욕의자 지원받는 방법 문의</t>
  </si>
  <si>
    <t>교부사업 정보 안내</t>
  </si>
  <si>
    <t>활동보조인</t>
  </si>
  <si>
    <t>010-5495-5725</t>
  </si>
  <si>
    <t>이인남</t>
  </si>
  <si>
    <t>전동침대 렌탈 문의</t>
  </si>
  <si>
    <t>의료기상사에 대해 안내</t>
  </si>
  <si>
    <t>010-9910-7836</t>
  </si>
  <si>
    <t>차연서</t>
  </si>
  <si>
    <t>코지 베이직 체어 대여 문의</t>
  </si>
  <si>
    <t>현재 대여는 불가능하고, 5월 이후 가능하여 4월 중순~말쯤 다시 연락드린다고 함.</t>
  </si>
  <si>
    <t>박창제</t>
  </si>
  <si>
    <t>010-5701-1914</t>
  </si>
  <si>
    <t>교부사업 관련 회신 전화</t>
  </si>
  <si>
    <t xml:space="preserve"> 담당자분께 내용 전달하였음.</t>
  </si>
  <si>
    <t>강원특별자치도 
장애인 협회</t>
  </si>
  <si>
    <t>033-257-8400</t>
  </si>
  <si>
    <t>휠체어 대여 관련 문의</t>
  </si>
  <si>
    <t>010-2489-6852</t>
  </si>
  <si>
    <t>아동 휠체어,카시트.유모차 구입 문의</t>
  </si>
  <si>
    <t xml:space="preserve">구입처 안내 </t>
  </si>
  <si>
    <t>서춘화</t>
  </si>
  <si>
    <t>010-9785-6897</t>
  </si>
  <si>
    <t>욕창예방방석 구매 문의</t>
  </si>
  <si>
    <t>건강보험공단 급여비 제도 안내</t>
  </si>
  <si>
    <t>이종배</t>
  </si>
  <si>
    <t>010-8375-5425</t>
  </si>
  <si>
    <t>전동휠체어 배터리 교체 문의</t>
  </si>
  <si>
    <t>담당자분께 내용전달하였음</t>
  </si>
  <si>
    <t>성선희</t>
  </si>
  <si>
    <t>화천군 용암초등학교(특수학급교사)</t>
  </si>
  <si>
    <t>070-4849-5747</t>
  </si>
  <si>
    <t>EY한영 학습보조기기 의사소견서 관련 문의</t>
  </si>
  <si>
    <t>어린이병동 쪽 외래로 방문하여 의사소견서를 받으면 된다고 안내</t>
  </si>
  <si>
    <t>정혜경</t>
  </si>
  <si>
    <t>현재 대여는 불가능하고 5월 이후 가능하여 대상자분께서 5월 안에 가능한 시간에 다시 연락주신다고 함</t>
  </si>
  <si>
    <t>이병현</t>
  </si>
  <si>
    <t>평창</t>
  </si>
  <si>
    <t>033-333-1297</t>
  </si>
  <si>
    <t xml:space="preserve">3D프린터 제작 </t>
  </si>
  <si>
    <t>033-640-5346</t>
  </si>
  <si>
    <t xml:space="preserve">교부사업관련 문의 </t>
  </si>
  <si>
    <t xml:space="preserve">신호장치 교부사업 신청 안내해드렸음 </t>
  </si>
  <si>
    <t>010-8862-7879</t>
  </si>
  <si>
    <t>교부사업품목관련하여 문의</t>
  </si>
  <si>
    <t>홈페이지에 2025년 교부사업 품목관련하여 공지하기로 하였으며 추가적으로 궁금하신 사항있으면 전화주시기로 하였음.</t>
  </si>
  <si>
    <t>010-8470-1727</t>
  </si>
  <si>
    <t>이복순</t>
  </si>
  <si>
    <t>보조기기 기증 관련하여 문의</t>
  </si>
  <si>
    <t>목받침 있는 수동 휠체어 기증을 해주신다고 하셔서 
5월 중 방문하겠다고 말씀드림. 평일의 경우 5시 이후에 방문을 원하심
주소: 석사동 기흥아파트 103동 1408호</t>
  </si>
  <si>
    <t>교부사업관련 문의</t>
  </si>
  <si>
    <t>교부사업 적합성 평가의뢰 한후 진행사항에 대하여 안내해드렸음.</t>
  </si>
  <si>
    <t>전정탁</t>
  </si>
  <si>
    <t>010-4122-196</t>
  </si>
  <si>
    <t xml:space="preserve">욕창예방 방석 대여 문의 </t>
  </si>
  <si>
    <t xml:space="preserve">욕창예방 방석 대여 여부를 문의주셨고 가능하다고 답변함. 대상자분께서는 집으로 방문하여 대여해주길 원하심. 일정을 잡은 후 연락드리기로 함. </t>
  </si>
  <si>
    <t>김하민 아버지</t>
  </si>
  <si>
    <t xml:space="preserve">토커블 대여 문의 </t>
  </si>
  <si>
    <t xml:space="preserve">토커블 대여 여부를 문의주셨고, 토커블 구성물품 확인 후 연락드리기로 함. </t>
  </si>
  <si>
    <t>대여 관련 문의</t>
  </si>
  <si>
    <t xml:space="preserve">만연필 같이 생겨서 책,영수증, 돈 등을 읽어주는 보조기기를 찾으심. 책마루와 리보3s를 안내해드렸으나 거부하심. 다음주 중 올캠 마이리더에 대해 안내해드리고 거부하실 경우 대여 불가 안내 예정  </t>
  </si>
  <si>
    <t>010-5497-1147</t>
  </si>
  <si>
    <t>윤주환</t>
  </si>
  <si>
    <t>보조기기 구입에 대한 문의를 주셨음.</t>
  </si>
  <si>
    <t xml:space="preserve">보조기기 구입은 도와드리고 있지 않으며 구입처는 안내해드렸음. </t>
  </si>
  <si>
    <t>010-8131-2748</t>
  </si>
  <si>
    <t>롯데복지재단 휠체어 신청 가능한지 문의</t>
  </si>
  <si>
    <t>휠체어 신청 가능하며 지원 기기 리스트 안내함.</t>
  </si>
  <si>
    <t>033-240-7746</t>
  </si>
  <si>
    <t>김강예</t>
  </si>
  <si>
    <t>퀵토거 대여 요청</t>
  </si>
  <si>
    <t>담당자분께 내용 전달 후 연락드리기로 하였음.</t>
  </si>
  <si>
    <t>플라스틱 바구니 수리 요청</t>
  </si>
  <si>
    <t>이동기</t>
  </si>
  <si>
    <t>010-3380-2706</t>
  </si>
  <si>
    <t>교부사업 관련 일정 변경</t>
  </si>
  <si>
    <t>강릉시 일정이 잡힌 후 다시 연락드리기로 하였음.</t>
  </si>
  <si>
    <t xml:space="preserve">춘천시보건소
마음건강과
</t>
  </si>
  <si>
    <t>경사로 제작 또는 대여 관련 문의</t>
  </si>
  <si>
    <t>담당자에게 전달하였고, 현장방문 후 판단해야 될 거같다고 안내해드렸음.</t>
  </si>
  <si>
    <t>김우진</t>
  </si>
  <si>
    <t>010-7345-5900</t>
  </si>
  <si>
    <t>피더시트 및 유모차 관련 대여 문의</t>
  </si>
  <si>
    <t>센터 내 보유하고 있는 보조기기에 대해 안내해드렸고 추후 센터 일정을 잡은 후 나가기로 전달해드림
주소: 횡성읍 골든클래스 아파트 102동 1306호</t>
  </si>
  <si>
    <t>철원시보건소</t>
  </si>
  <si>
    <t>033-450-0556</t>
  </si>
  <si>
    <t>워커,휠체어,지팡이 대여 가능여부</t>
  </si>
  <si>
    <t>대여가능하다고 전달하였고, 대여는 최대 6개월이며 대기자분이 없을 경우에 1회 연장가능하며 사전에 대기를 신청해주셔야지 빠른 대여가 가능하다고 안내해드렸음.</t>
  </si>
  <si>
    <t>삼척시성내동행정복지센터</t>
  </si>
  <si>
    <t>033-570-4532</t>
  </si>
  <si>
    <t>이용자분이 책마루3 교부사업 신청관련 문의와 전자책리더기관련하여 문의 전화주셨음.</t>
  </si>
  <si>
    <t>책마루3 교부사업 품목으로 가능하다고 안내해드렸으며 전자책리더기는 태블릿pc를 활용하여 가능한 제품으로 이용자분이 원하는 방향과는 다를 수 있다라고 안내해드렸음. /교부사업 품목책자안내서 메일로 보내드렸음.</t>
  </si>
  <si>
    <t>강릉특수교육청</t>
  </si>
  <si>
    <t>033-640-1296</t>
  </si>
  <si>
    <t>학생이 수업 듣는데 에 있어 잘들리지 않아 FM보청기 대여 요청하였음</t>
  </si>
  <si>
    <t>대여 담당자 분께 전달해드리고 월요일날 연락드리기로함.</t>
  </si>
  <si>
    <t>010-9747-4109</t>
  </si>
  <si>
    <t>수동휠체어 대여 관련 문의전화를 주셨음. 바로 대여가 가능한지 문의전화주셨음.</t>
  </si>
  <si>
    <t>대여는 바로 어렵고 대기자 명단에 올려드려야되는상황이라고 안내해드렸음. 바로 사용해야되서 대기자 명단은 올려주지 않으셔도 된다고 하셨음.</t>
  </si>
  <si>
    <t>010-3764-9929</t>
  </si>
  <si>
    <t>체험</t>
  </si>
  <si>
    <t xml:space="preserve">수동휠체어 체험문의 주셨음. </t>
  </si>
  <si>
    <t>방문전에 연락주시면 준비하여 도움을 드릴 수 있다고 안내해드렸음.</t>
  </si>
  <si>
    <t>010-3445-7292</t>
  </si>
  <si>
    <t>결혼식 때 단기대여로 이동식경사로 요청하셨음.</t>
  </si>
  <si>
    <t>대여 가능하며 센터에 내방하셔서 계약서 작성 대여가능하다고 안내해드렸음.</t>
  </si>
  <si>
    <t>속초시행정복지센터</t>
  </si>
  <si>
    <t>033-249-2203</t>
  </si>
  <si>
    <t>지원범위</t>
  </si>
  <si>
    <t>배회감지기가 교부사업 품목에 해당되는지 문의</t>
  </si>
  <si>
    <t>보조기기센터 교부사업 해당 품목은 아니나, 노인장기요양보험 복지용구급여사업으로 교부받을 수 있다는 것을 안내드림.</t>
  </si>
  <si>
    <t>천정숙</t>
  </si>
  <si>
    <t>안구마우스 사용처험 문의</t>
  </si>
  <si>
    <t>6/18 14:50 안구마우스 사용체험 예약</t>
  </si>
  <si>
    <t>태백</t>
  </si>
  <si>
    <t>010-5256-6409</t>
  </si>
  <si>
    <t>교부사업 신청 품목 중에 목욕의자가 없다고 행정복지센터에서 안내를 받아 확인차 연락을 주셨음.</t>
  </si>
  <si>
    <t>교부사업 품목에 목욕의자 품목이 있고 행정복지센터와 통화하여 대상자분께 전화드리기로 하였음.</t>
  </si>
  <si>
    <t>태백시장성동행정복지센터</t>
  </si>
  <si>
    <t>033-581-6903</t>
  </si>
  <si>
    <t xml:space="preserve">교부사업 품목 중 목욕의자 신청이 가능한지에 대한 문의
교부사업이 어떤 사업인지에 대한 안내 </t>
  </si>
  <si>
    <t>교부사업 품목 중 목욕의자가 해당이 가능하며 
기초생활수급자,차상위가 대상이 대며 품목은 3가지 품목이 가능하며 1년에 200만원 지원금액이 있음을 안내해드렸음.</t>
  </si>
  <si>
    <t>010-6476-9912</t>
  </si>
  <si>
    <t>교부사업 신청 시 진단서가 필요한가요? 지체장애를 가지고 있고 목욕의자,휴대용경사로 신청이 가능한가요?</t>
  </si>
  <si>
    <t>진단서는 따로 필요없고 장애인등록증을 소유하고 있고 기초생활수급자,차상위계층이시면 지원신청가능하며 목욕의자,휴대용경사로 신청 모두 가능합니다.</t>
  </si>
  <si>
    <t>횡성군지제장애인협회</t>
  </si>
  <si>
    <t>070-4900-2662</t>
  </si>
  <si>
    <t>교부사업 신청 시 필요한 서류 및 대상자 등 지원사업 관련하여 문의주셨음.</t>
  </si>
  <si>
    <t>교부사업에 대하여 설명 안내해 드렸음.</t>
  </si>
  <si>
    <t>010-8919-8711</t>
  </si>
  <si>
    <t>센터 방문하여  목욕의자 사용체험 후 대여가 가능한지문의를 주셨음.</t>
  </si>
  <si>
    <t xml:space="preserve">강원도 지역에 거주하고 계시고 장애등록증가지고 계시면 대여 가능하며 현재 목욕의자 보유하고 있다고 안내해드렸음. </t>
  </si>
  <si>
    <t>010-3923-2927</t>
  </si>
  <si>
    <t>유모차 사용체험 후 대여 문의 
철원인데 혹시  출장가능한지에 대한 문의</t>
  </si>
  <si>
    <t>철원 일정이 잡혀있지 않아 바로 방문은 어렵고 철원일정 잡히는 대로 연락드리고 방문 진행하기로 하였음.</t>
  </si>
  <si>
    <t>인제군보건소</t>
  </si>
  <si>
    <t>033-460-2522</t>
  </si>
  <si>
    <t>일반대상자분이시고 안전손잡이 지원 가능한지에 대한 문의를 주셨음.</t>
  </si>
  <si>
    <t>건강보험공단을 통해서 장기요양등급 판정 후 도움 받는 방법이 있다고 안내해드렸음.</t>
  </si>
  <si>
    <t>중앙보조기기센터</t>
  </si>
  <si>
    <t>02-901-1959</t>
  </si>
  <si>
    <t>맞춤제작, CNC발표 관련 문의</t>
  </si>
  <si>
    <t xml:space="preserve">담당선생님께 전달해드리고 목요일 날 다시 연락드리고 함. </t>
  </si>
  <si>
    <t>김응화</t>
  </si>
  <si>
    <t>010-4500-2991</t>
  </si>
  <si>
    <t xml:space="preserve">전동침대 수리 및 구입관련 문의주셨음. </t>
  </si>
  <si>
    <t xml:space="preserve">센터에서 구입은 할 수 없다고 설명드렸으며, 전동침대 수리의 경우 구입처 찾아서 번호 안내드렸음. </t>
  </si>
  <si>
    <t>춘천다원요양원</t>
  </si>
  <si>
    <t>010-8794-7595</t>
  </si>
  <si>
    <t xml:space="preserve">손가락 구축 대상자에게 적합한 보조기기가 무엇이 있는지 맞춤제작이 가능한지 문의주셨음. </t>
  </si>
  <si>
    <t xml:space="preserve">손가락 구축 방지 쿠션에 대해 설명드리고 맞춤제작 희망하신다고 하셔서 담당선생님께 내용 전달해드리고 추후 일정 잡기로 함. 6월 27일 상담하러 오시기 희망하심. </t>
  </si>
  <si>
    <t>동해시청</t>
  </si>
  <si>
    <t>010-9351-8170</t>
  </si>
  <si>
    <t>기능</t>
  </si>
  <si>
    <t>교부사업으로 책마루3 교부를 받으셨지만 사용방법이 어려워 사용을 못하고 계심. 방문하여서 설명이 가능한지 문의를 주셨음.</t>
  </si>
  <si>
    <t>교부사업 담당자분에게 전달하였음</t>
  </si>
  <si>
    <t>한기석</t>
  </si>
  <si>
    <t>010-7363-6766</t>
  </si>
  <si>
    <t>청각</t>
  </si>
  <si>
    <t>건강보험</t>
  </si>
  <si>
    <t>진동시계 지원 및 구입 문의</t>
  </si>
  <si>
    <t>해당되는 지원사업이 없어 자부담으로 구매가 가능하다고 안내.</t>
  </si>
  <si>
    <t>010-9978-2257</t>
  </si>
  <si>
    <t>코모도 변기 휠체어 대여 문의</t>
  </si>
  <si>
    <t>현재 코모도 변기 휠체어는 센터에 보유하고 있지 않아 라온아띠 801과 cm-5178에 대해 설명해드렸고 라온아띠 801 대여 후 cm-5178이 반납되면 그걸로 교체하시기를 원하심 
강원특별자치도 원주시 혁신로 400, 푸른숨 1003동 11층 1104호 (주소변경가능성있음)</t>
  </si>
  <si>
    <t xml:space="preserve">허영주 </t>
  </si>
  <si>
    <t>010-3926-6416</t>
  </si>
  <si>
    <t xml:space="preserve">목욕의자 대여 문의 </t>
  </si>
  <si>
    <t>목욕의자 대여를 원하셔서 현재 센터 내 보유 중인 목욕의자 종류에 대해 설명해드리고, 대여 과정에 대해 간략하게 설명함. 현재 보호자도 병원에 입원 중이라 집에 방문하길 원함. 
춘천시 동면 도일길 6-1, 101호</t>
  </si>
  <si>
    <t>010-2361-3434</t>
  </si>
  <si>
    <t>어머니가 서울에 거주하고 있는데 대여가 가능한지 문의를 주셨음.</t>
  </si>
  <si>
    <t>서울시보조기기센터로 안내해드렸고 거기서 대여가 불가능하다고하면 구입처 안내도 함께 해드렸음.</t>
  </si>
  <si>
    <t>욕창방석을 대여 했던 것을 반납하고 수동휠체어 대여가 가능한지 문의를 주셨음.</t>
  </si>
  <si>
    <t>가능하다고 안내해드리고  2025.06.25.(수) 10:00시에 방문해주면 대여 진행하겠다고 안내해드렸음.</t>
  </si>
  <si>
    <t>탁승희</t>
  </si>
  <si>
    <t>강원특별자치도장애인종합복지관</t>
  </si>
  <si>
    <t>070-4454-6750</t>
  </si>
  <si>
    <t>기초</t>
  </si>
  <si>
    <t>효자주공8단지 거주.  아파트 1층 계단 이용시 이동식 경사로를 사용하고 있지만, 뒤로 넘어지는 경우가 많아 이를 해결할 수 있는 방안이 있는지 문의</t>
  </si>
  <si>
    <t>추후 방문관련해서 어떻게 진행할지 강장복에서 보조기기센터로 다시 연락주기로함</t>
  </si>
  <si>
    <t>태백시상정동행정복지센터</t>
  </si>
  <si>
    <t>033-550-2359</t>
  </si>
  <si>
    <t>수동휠체어 구입을 원하는데 지원해주는 사업이 있는 문의를 주셨음.</t>
  </si>
  <si>
    <t>기초생활수급자,차상위도 해당이 안되시고 일반 대상자분이셔서 지원사업은 현재 없고 구매쪽으로 하셔야 될 것 같다고 안내해드린 후 다시한번 알아보고 연락드리기로 하였음.</t>
  </si>
  <si>
    <t>원주의료원</t>
  </si>
  <si>
    <t>033-760-4604</t>
  </si>
  <si>
    <t>체험,교육</t>
  </si>
  <si>
    <t>원주의료원 보조기기 사용체험, 교육, 대여 연계문의</t>
  </si>
  <si>
    <t>사용체험 및 교육은 가능하며 일정 조율이 필요할 것 같다고 안내하였음. 다시 연락 주기로 함.</t>
  </si>
  <si>
    <t>아동용 기립기 대여 관련 문의 주셨음.</t>
  </si>
  <si>
    <t>담당자에게 전달하였음.</t>
  </si>
  <si>
    <t>춘천시보건소 마음건강과</t>
  </si>
  <si>
    <t>033-250-4578</t>
  </si>
  <si>
    <t>재사용</t>
  </si>
  <si>
    <t>목발 기증 관련 문의 주셨음</t>
  </si>
  <si>
    <t xml:space="preserve">춘천시보건소에서 '목발' 5대 기증하고 싶다고 연락주셨고, 센터에서 상의 후 다시 연락드리기로 함. </t>
  </si>
  <si>
    <t>박영희</t>
  </si>
  <si>
    <t>010-2428-7774</t>
  </si>
  <si>
    <t>수동휠체어 대여 관련 문의 주셨음.</t>
  </si>
  <si>
    <t xml:space="preserve">수동휠체어 대여 가능하다고 말씀드렸고, 재사용 사업 품목에도 수동휠체어 있다고 안내해드렸음. 방문하시는걸 희망하셔서 관내 출장 일정 잡히는대로 연락드리기로 함. 
석사 3지구 301동 101호 </t>
  </si>
  <si>
    <t>김장원</t>
  </si>
  <si>
    <t>010-6331-7349</t>
  </si>
  <si>
    <t>정보통신보조기기 심층상담 출장 관련 회신</t>
  </si>
  <si>
    <t xml:space="preserve">대상자에게 정보통신보조기기 심층상담은 대면으로 진행해야 함을 안내하였고, 상담 기한도 설명 드림. 이에 대해 대상자는 개인 사유로 일정 조율이 어려워 상담을 취소 요청함. </t>
  </si>
  <si>
    <t>이지우</t>
  </si>
  <si>
    <t>010-2271-2579</t>
  </si>
  <si>
    <t xml:space="preserve">피기백 라이더, 틸팅 유모차 대여 문의 주셨음. </t>
  </si>
  <si>
    <t xml:space="preserve">피기백 라이더는 현재 센터에 보유된게 없어 대여가 불가능하다고 말씀드렸고, 대상자 사이즈에 맞는 틸팅 유모차의 경우 점검이 필요하여 점검후 안내드리기로 함. </t>
  </si>
  <si>
    <t>양구군청</t>
  </si>
  <si>
    <t>033-480-2481</t>
  </si>
  <si>
    <t>지체 장애를 가진 성인 여성이  자세 교정을 할 수 있는 보조기기가 어떤게 있는지 문의를 주셨음.</t>
  </si>
  <si>
    <t xml:space="preserve">바디서포트라는 제품으로 설명을 드렸음. </t>
  </si>
  <si>
    <t>박종운</t>
  </si>
  <si>
    <t>033-581-8786</t>
  </si>
  <si>
    <t>한소네6 대여 중인데 충전기 되지 않아 점검 요청하셨음.점검 후 충전이 되지 않으면 반납을 원하심</t>
  </si>
  <si>
    <t>내용을 담당자에게 전달 후 태백일정이 잡히면 연락드리기로 하였음.</t>
  </si>
  <si>
    <t>목욕의자 대여문의</t>
  </si>
  <si>
    <t>담당자에게 연결</t>
  </si>
  <si>
    <t>010-4023-1293</t>
  </si>
  <si>
    <t>올캠마이아이 체험을 원하심</t>
  </si>
  <si>
    <t>내일(수)요일 오후 3시에 방문하기로 하였음.</t>
  </si>
  <si>
    <t>정종식</t>
  </si>
  <si>
    <t>033-636-2491</t>
  </si>
  <si>
    <t xml:space="preserve">화장실 경사로 제작 관련 문의 </t>
  </si>
  <si>
    <t xml:space="preserve">담당자에게 전달하였음. </t>
  </si>
  <si>
    <t>박봄비</t>
  </si>
  <si>
    <t>양양</t>
  </si>
  <si>
    <t>010-9569-5002</t>
  </si>
  <si>
    <t>정다운마을(장애인거주시설) 소독세척 문의</t>
  </si>
  <si>
    <t>010-3429-7924</t>
  </si>
  <si>
    <t>와상용 목욕의자.야놀드 대여 문의를 주셨음.</t>
  </si>
  <si>
    <t>담당자에게 전달하였음.
바로 대여를 원하는 것은 아님.</t>
  </si>
  <si>
    <t>010-9755-4833</t>
  </si>
  <si>
    <t>장애아동용 유모차 대여 가능여부, 대여과정 문의</t>
  </si>
  <si>
    <t>대여절차, 기간에 대해 안내드렸음.
직접 내방/출장방문 조금 더 생각해보고 연락주시기로함.</t>
  </si>
  <si>
    <t>이영철</t>
  </si>
  <si>
    <t>010-5287-0974</t>
  </si>
  <si>
    <t>수동휠체어 대여 문의</t>
  </si>
  <si>
    <t xml:space="preserve">수동휠체어 대여 관련해서 말씀을 미리 드렸고, 현재 출장 일정이 미정이여서 잡히는대로 연락드리기로 하였음. </t>
  </si>
  <si>
    <t>010-5365-2095</t>
  </si>
  <si>
    <t>교부사업 신청 및 전동침대 제품 안내, 수동휠체어 관련 문의</t>
  </si>
  <si>
    <t>전동침대 교부사업 신청 가능 안내 및 수동휠체어 지원은 건강보험공단 연계</t>
  </si>
  <si>
    <t>조경숙</t>
  </si>
  <si>
    <t>010-3343-3123</t>
  </si>
  <si>
    <t>목욕의자,유모차 사용체험 후 대여 문의</t>
  </si>
  <si>
    <t>양성철</t>
  </si>
  <si>
    <t>010-5363-0421</t>
  </si>
  <si>
    <t>야놀드150 배터리 구입 문의</t>
  </si>
  <si>
    <t>에이블라이프 업체에 문의하여 안내해드렸음.
안내내용:당시 구입했던 모델은 단종된 상황이고 신제품 구입쪽으로 안내해드렸음.</t>
  </si>
  <si>
    <t>이정선</t>
  </si>
  <si>
    <t>010-5368-8719</t>
  </si>
  <si>
    <t>정확한 보조기기 명칙을 모르심. (기립기 점검문의)</t>
  </si>
  <si>
    <t>보조기기 체험 협조 문의</t>
  </si>
  <si>
    <t xml:space="preserve">우선 협조 공문 보내달라고 하였고, 자세한 사항은 
다음주에 확정지어서 보내드린다고 함. </t>
  </si>
  <si>
    <t>010-4546-1245</t>
  </si>
  <si>
    <t xml:space="preserve">카시트,피더시트 등 아동이 사용할 수 있는 보조기기 문의를 주셨음. </t>
  </si>
  <si>
    <t xml:space="preserve">피더시트 대사이즈 외에는 대여중이라 올해는 대여가 어려운 상황임을 안내해드리고 카시트는 시착 후 사용해야 된다고 안내해드렸음. </t>
  </si>
  <si>
    <t>정선, 강릉</t>
  </si>
  <si>
    <t>010-3740-4895</t>
  </si>
  <si>
    <t xml:space="preserve">한소네6 사용방법 문의 및 일정 문의 </t>
  </si>
  <si>
    <t xml:space="preserve">한소네6 정보제공 관련해서 출장일정 문의주셨고, 아직 정선, 강릉 일정 잡히는대로 연락드린다고 안내해드렸음. </t>
  </si>
  <si>
    <t>김지현</t>
  </si>
  <si>
    <t>010-4013-5529</t>
  </si>
  <si>
    <t>장애인 보조기기 교부사업 전동침대 내구연한 관련 문의</t>
  </si>
  <si>
    <t>전동침대의 경우 내구연한 10년인 점 안내 드렸으며, 교부사업 지원 가능 품목 수량 및 지원금액에 대해 안내드렸음.</t>
  </si>
  <si>
    <t>횡성군 보건소</t>
  </si>
  <si>
    <t>033-340-5667</t>
  </si>
  <si>
    <t>김옥향</t>
  </si>
  <si>
    <t xml:space="preserve">워커 대여 문의 </t>
  </si>
  <si>
    <t>워커 대여 가능하다고 안내드렸고, 직접 대상자와 연락해서 안내해드린다고 하였음.
대상자 주소: 횡성읍 어수로 39 햇살이 머무르는 집 B동 1번방
010-6435-2542
생년월일: 470203-2</t>
  </si>
  <si>
    <t>010-3365-1639</t>
  </si>
  <si>
    <t xml:space="preserve">휠체어 대여 문의 </t>
  </si>
  <si>
    <t xml:space="preserve">휠체어 대여 관련해서 문의를 주셨고, 불가능하다고 안내드림. </t>
  </si>
  <si>
    <t>춘천시장애인복지관</t>
  </si>
  <si>
    <t>033-262-0035</t>
  </si>
  <si>
    <t>이남교</t>
  </si>
  <si>
    <t>아동용 클러치 맞춤제작 문의</t>
  </si>
  <si>
    <t>아동용 클러치 맞춤제작 연계 가능 여부, 상담 진행을 위해 맞춤제작 담당자 연락처 전달드림.</t>
  </si>
  <si>
    <t>010-6734-6760</t>
  </si>
  <si>
    <t>독서확대기 대여 가능 여부</t>
  </si>
  <si>
    <t xml:space="preserve">대여 절차, 대상 조건에 대해 안내드렸으며, 대상자께서 강원도 이사 예정으로 거주지 이전 후 보조기기 체험과 대여를 위해 내방한다고 하였음. </t>
  </si>
  <si>
    <t>속초</t>
  </si>
  <si>
    <t>010-6388-3937</t>
  </si>
  <si>
    <t>김민정</t>
  </si>
  <si>
    <t xml:space="preserve">뇌병변,지적
</t>
  </si>
  <si>
    <t>보조기기센터에서 지원 받을 수 있는 서비스, 
자세유지 보조기기 및 AAC 대여 가능여부</t>
  </si>
  <si>
    <t>대상자 정보 파악 후 보조기기 추천하였음. 센터에서 진행하는 대여사업에 대한 안내하였으며 피더시트, AAC 대여 가능여부 파악 후 다시 연락 드리기로함.</t>
  </si>
  <si>
    <t>010-4324-5735</t>
  </si>
  <si>
    <t>유주하</t>
  </si>
  <si>
    <t>카시트 대여 가능 여부</t>
  </si>
  <si>
    <t xml:space="preserve">현재 대여 나갈 수 있는 카시트는 불가하다고 안내드렸으며, 9월에 새로 입고되는 캐롯 카시트가 있으니 그때 대여 할 수 있도록 안내드렸음. 
원주시 지장면 가곡로50 롯데캐슬더퍼스트 1005동 2406호  </t>
  </si>
  <si>
    <t>010-4311-7605</t>
  </si>
  <si>
    <t>홍애자</t>
  </si>
  <si>
    <t>수저사용하는 데 보조할 수 있는 보조기기 맞춤제작 문의</t>
  </si>
  <si>
    <t>010-4993-5623</t>
  </si>
  <si>
    <t>교부사업 신청이 가능한지 문의를 주셨음.</t>
  </si>
  <si>
    <t>원주는 예산이 모두 소진되어 내년이나 신청이 가능한다고 안내해드림.</t>
  </si>
  <si>
    <t>010-4237-1674</t>
  </si>
  <si>
    <t>010-6386-1273</t>
  </si>
  <si>
    <t>수동휠체어 지원가능한 지원사업이 있는지를 문의를 주셨음.</t>
  </si>
  <si>
    <t>교부사업에는 지원이 불가능하고 건강보험공단에 확인후 내일 연락드리기로 하였음.</t>
  </si>
  <si>
    <t>김영근</t>
  </si>
  <si>
    <t>010-3543-3364</t>
  </si>
  <si>
    <t xml:space="preserve">GYENNO Parkinson 스푼 대여 가능한지 문의 주셨음. </t>
  </si>
  <si>
    <t>GYENNO Parkinson 스푼의 경우 위생 문제로 인해 대여가 불가능하다는 점을 안내해드렸고, 보조기기체험은 가능하다고 안내드렸음.</t>
  </si>
  <si>
    <t>장애아동용 유모차 대여 및 당일 내방 가능 여부</t>
  </si>
  <si>
    <t>대여 가능한 장애아동용 유모차 안내드림. 내방하여 보조기기 확인을 원하셨으며, 당일 내방 약속 후 방문하기로 함.</t>
  </si>
  <si>
    <t>진미숙</t>
  </si>
  <si>
    <t>홍천군 보건소 재활사업팀</t>
  </si>
  <si>
    <t>010-3317-6788</t>
  </si>
  <si>
    <t>보조기기서비스(상담 후 보조기기추천, 대여, 지원사업 안내 등) 연계 가능 여부</t>
  </si>
  <si>
    <t>보조기기센터 진행 사업에 대해 안내드렸으며, 사례연계 공문 확인 후 해당 대상자분 일정 잡아 서비스 진행하기로 함.</t>
  </si>
  <si>
    <t>김호경</t>
  </si>
  <si>
    <t>010-2356-4671</t>
  </si>
  <si>
    <t>감호경</t>
  </si>
  <si>
    <t>센스원 대여 가능 여부, 이외 시각 관련 보조기기 상담</t>
  </si>
  <si>
    <t>대여 담당자 확인 후 다시 안내 드리기르 함.</t>
  </si>
  <si>
    <t>010-2171-7882</t>
  </si>
  <si>
    <t>윤혜정</t>
  </si>
  <si>
    <t xml:space="preserve">수동휠체어 재사용 여부 </t>
  </si>
  <si>
    <t>수동휠체어 기증 받기를 원하셨고, 현재 일정상 기증은 어려운 상황이며 11월 이후 일정 정리되면 다시 연락드리기로 함. 
010-2171-7882</t>
  </si>
  <si>
    <t>010-2635-2496</t>
  </si>
  <si>
    <t>전동침대 대여</t>
  </si>
  <si>
    <t xml:space="preserve">전동침대 대여의 경우 불가능하다고 설명드림. </t>
  </si>
  <si>
    <t>010-5579-6107</t>
  </si>
  <si>
    <t>박승후</t>
  </si>
  <si>
    <t>목욕의자 대여</t>
  </si>
  <si>
    <t xml:space="preserve">목욕의자 대여 가능 여부와 대여 절차에 대해 설명드렸으며
</t>
  </si>
  <si>
    <t>원주시장애인복지관</t>
  </si>
  <si>
    <t>010-2701-8790</t>
  </si>
  <si>
    <t>토마토 피더시트 대여 문의</t>
  </si>
  <si>
    <t>11월 중 토마토 피더시트 들어올 예정이라고 안내해드렸음.</t>
  </si>
  <si>
    <t>강릉장애인복지과</t>
  </si>
  <si>
    <t>033-245-5829</t>
  </si>
  <si>
    <t>정형신발 지원이 가능한지 문의</t>
  </si>
  <si>
    <t>정형신발은 지원이 불가능하며, 민간지원사업으로 지원받을 수 있는 방법이 있다고 안내함.</t>
  </si>
  <si>
    <t>이종철</t>
  </si>
  <si>
    <t>010-4277-5738</t>
  </si>
  <si>
    <t>10월 중으로는 대여가 어렵고 11월 중에 다시한번  연락드린다고 안내해드렸음.</t>
  </si>
  <si>
    <t>김상현</t>
  </si>
  <si>
    <t>010-3199-1117</t>
  </si>
  <si>
    <t>전동식 높낮이 조절 세면대 세종시보조기기센터에서 보시고 체험 및 구매문의주셨음.</t>
  </si>
  <si>
    <t>구매 사이트 안내해드렸고 체험은 센터 내에 없어서 체험은 어렵다고 안내해드렸음.</t>
  </si>
  <si>
    <t>최종태</t>
  </si>
  <si>
    <t>010-3537-0568</t>
  </si>
  <si>
    <t>보조기기 관리원 교육에 대해 문의 주심</t>
  </si>
  <si>
    <t xml:space="preserve">인력개발원에서 하는 사업이라고 안내드렸고, 내년에 개발원에 문의하라고 말씀드렸음. </t>
  </si>
  <si>
    <t>010-3193-1434</t>
  </si>
  <si>
    <t>보조기기센터 홈페이지가 있는지에 대한 문의와 보조기기가 어떤것들이 있는지 안내를 원하셨음.</t>
  </si>
  <si>
    <t>홈페이지 안내를 통하여 보유 보조기기 보시고 필요한게 있으면 연락달라고 안내해드렸음.</t>
  </si>
  <si>
    <t>권미미</t>
  </si>
  <si>
    <t>010-6708-8253</t>
  </si>
  <si>
    <t>신길남</t>
  </si>
  <si>
    <t>장기요양</t>
  </si>
  <si>
    <t>안구마우스 대여 문의</t>
  </si>
  <si>
    <t xml:space="preserve">안구마우스 대여의 경우 현재는 다른 대상자분이 기다리고 계셔서 대여 불가능하다고 안내드렸고, 대기를 걸어놓은 다음 추후 다시 연락드리기로 함. </t>
  </si>
  <si>
    <t xml:space="preserve"> 춘천</t>
  </si>
  <si>
    <t>빙고 대여 4년이 가능한지 문의를 주셨음.</t>
  </si>
  <si>
    <t>대여는 6개월 가능하며 1회 연장시 1년이 가능하다고 안내해드렸음.</t>
  </si>
  <si>
    <t>행복나눔콜센터</t>
  </si>
  <si>
    <t>015-225-000</t>
  </si>
  <si>
    <t>시각장애인분들이 라디오 듣기, 책을 읽을 때 도움을 주는 보조기기가 있는지 문의를 주셨음.</t>
  </si>
  <si>
    <t>책마루3 보조기기에 대하여 안내해드렸으며 대여가능여부는 담당자가 와야지 가능한다고 안내해드렸음.</t>
  </si>
  <si>
    <t>배태랑</t>
  </si>
  <si>
    <t>010-3955-0550</t>
  </si>
  <si>
    <t>AAC 보조기기 대여 문의</t>
  </si>
  <si>
    <t>대여 안내 및 일정 잡아 방문드릴예정(대여 담당자에게 전달)</t>
  </si>
  <si>
    <t>조현경</t>
  </si>
  <si>
    <t>보조기기 맞춤제작 의뢰 문의</t>
  </si>
  <si>
    <t>올해 맞춤제작 서비스가 종료되어 내년 초 다시 재연락할수 있도록 안내</t>
  </si>
  <si>
    <t>남궁은경</t>
  </si>
  <si>
    <t>010-7737-5021</t>
  </si>
  <si>
    <t>장애인용 신발 제작의뢰요청, 보조기기 정보제공</t>
  </si>
  <si>
    <t>보조기기센터에서 장애인용 신발을 제작해드릴수 없다고 설명드렸으며, 보조기기에 대한 정보를 안내받고 싶어 내방한다고 함.</t>
  </si>
  <si>
    <t>홍정국</t>
  </si>
  <si>
    <t>010-4801-7083</t>
  </si>
  <si>
    <t>교부사업 신청 가능한지? 전동침대를 현재 지원을 받을 수 있는지?</t>
  </si>
  <si>
    <t xml:space="preserve">가까운 행정복지센터에서 확인이 가능하다고 안내해드렸음. </t>
  </si>
  <si>
    <t>한옥화</t>
  </si>
  <si>
    <t>010-6322-6517</t>
  </si>
  <si>
    <t>전동계단리프트 충전방법 문의</t>
  </si>
  <si>
    <t>충전방법을 설명드렸고, 추후에도 방법을 모를경우 내방드려서 안내드린다고 말씀드림.</t>
  </si>
  <si>
    <t>원주복지원</t>
  </si>
  <si>
    <t>033-747-1795</t>
  </si>
  <si>
    <t xml:space="preserve">대상자분은 현재 장애등록은 되어 있으시고 기초생활수급자로 되어있음. 욕창예방방석 구매가 가능한지? </t>
  </si>
  <si>
    <t>구매하는 곳은 아니라고 안내해드렸음. 교부사업을 안내해드렸고 내년에 신청하실 수있도록 방법도 함께 안내해드렸음.</t>
  </si>
  <si>
    <t>우이서</t>
  </si>
  <si>
    <t>010-9402-0414</t>
  </si>
  <si>
    <t xml:space="preserve">아동용 워커, 체간이 잡히지 않아 아동이 안정적으로 앉을 수 있는 의자가 있는지, 있다면 대여하고 싶다고 문의주셨음. </t>
  </si>
  <si>
    <t xml:space="preserve">아동용 워커와, 피더시트 종류가 센터에 보유중이지만, 현재 대여사업이 종료되었다고 안내드림. 추후 대여 사업이 다시 시작되면 안내드릴 수 있도록 대기명단에 등록해놓겠다고 함. </t>
  </si>
  <si>
    <t>석수인</t>
  </si>
  <si>
    <t>대여 일정 관련해서 문의주심</t>
  </si>
  <si>
    <t xml:space="preserve">다른 대상자분과 대여 일정을 조율한 후 다시 연락드리기로 함。 </t>
  </si>
  <si>
    <t>박성호</t>
  </si>
  <si>
    <t>대상자들과 조율중이라 답변이 늦어졌다는 설명과 함께 가능한 일정 확인 후 대여나가기로 함.</t>
  </si>
  <si>
    <t>이충인</t>
  </si>
  <si>
    <t>010-7346-3167</t>
  </si>
  <si>
    <t>지원사업 및 목욕의자 구입 관련해서 문의주심</t>
  </si>
  <si>
    <t>지원사업의 경우 현재 지원대상이 되지 않아 불가능하다는 답변과 함께 춘천에서 구입 가능한 복지용구소 안내드림.</t>
  </si>
  <si>
    <t>최종선</t>
  </si>
  <si>
    <t>010-6251-1153</t>
  </si>
  <si>
    <t>대여 절차, 기간에 대해 안내드렸으며 대여 담당자에게 전달함. 대여대기명단에 기록 완료하였음</t>
  </si>
  <si>
    <t>김성학</t>
  </si>
  <si>
    <t>010-6231-4591</t>
  </si>
  <si>
    <t>보조기기 사용체험 문의</t>
  </si>
  <si>
    <t>추천보조기기 설명과, 보조기기센터 방문하여 체험진행하기로 함.</t>
  </si>
  <si>
    <t>계단식 좌석형 리프트 충전 방법</t>
  </si>
  <si>
    <t xml:space="preserve">충전 방법에 대한 설명을 드렸고, 안내에 따라 시도한 결과 충전을 할 수 있게 되었음. </t>
  </si>
  <si>
    <t>010-9545-2891</t>
  </si>
  <si>
    <t>윤준</t>
  </si>
  <si>
    <t>오터 목욕의자 받침대 대여 문의</t>
  </si>
  <si>
    <t>받침대의 경우 부속품이기 때문에 대여가 불가능하다고 안내드림.</t>
  </si>
  <si>
    <t>보조기기센터 위치 문의</t>
  </si>
  <si>
    <t>보조기기센터 위치 안내드림.</t>
  </si>
  <si>
    <t>010-5812-7236</t>
  </si>
  <si>
    <t>민간지원사업 신청 가능 여부, 신청 방법</t>
  </si>
  <si>
    <t>신청서류, 보조기기센터 이메일 주소 안내하였음.</t>
  </si>
  <si>
    <t>박영율</t>
  </si>
  <si>
    <t>010-8792-2021</t>
  </si>
  <si>
    <t>보조기기 대여 신청 방법</t>
  </si>
  <si>
    <t>대여 신청 절차에 대해 안내드렸으며, 올해는 사업이 종료되어 불가능하다고 안내드림.</t>
  </si>
  <si>
    <t>접이식 지팡이 구매 문의</t>
  </si>
  <si>
    <t>구매 가능한 업체 안내하였음.</t>
  </si>
  <si>
    <t>010-2401-1548</t>
  </si>
  <si>
    <t>정무영</t>
  </si>
  <si>
    <t>4년전 고성특수교육지원센터에서 지원받은 보조기기 반납 문의</t>
  </si>
  <si>
    <t>특수교육지원센터에서 대여기기 인지 확인 후 결정 진행</t>
  </si>
  <si>
    <t>010-8843-8154</t>
  </si>
  <si>
    <t>보조기기 등록 관련하여 문의를 주셨음.</t>
  </si>
  <si>
    <t xml:space="preserve">중앙보조기기센터 연락처 안내해드렸음. </t>
  </si>
  <si>
    <t>월</t>
  </si>
  <si>
    <t>건수</t>
  </si>
  <si>
    <t>의뢰인 유형</t>
  </si>
  <si>
    <t>1월</t>
  </si>
  <si>
    <t>급여정보</t>
  </si>
  <si>
    <t>2월</t>
  </si>
  <si>
    <t>타 센터 및 기관 사례 연계</t>
  </si>
  <si>
    <t>3월</t>
  </si>
  <si>
    <t>4월</t>
  </si>
  <si>
    <t>5월</t>
  </si>
  <si>
    <t>명칭</t>
  </si>
  <si>
    <t>6월</t>
  </si>
  <si>
    <t>7월</t>
  </si>
  <si>
    <t>합계</t>
  </si>
  <si>
    <t>8월</t>
  </si>
  <si>
    <t>9월</t>
  </si>
  <si>
    <t>10월</t>
  </si>
  <si>
    <t>11월</t>
  </si>
  <si>
    <t>12월</t>
  </si>
  <si>
    <r>
      <rPr>
        <rFont val="맑은 고딕"/>
        <b/>
        <color theme="1"/>
        <sz val="10.0"/>
      </rPr>
      <t>&lt;안내 사항&gt;</t>
    </r>
    <r>
      <rPr>
        <rFont val="맑은 고딕"/>
        <color theme="1"/>
        <sz val="10.0"/>
      </rPr>
      <t xml:space="preserve">
1. 향후 각 보조기기센터 콜센터 상담일지 내용 취합 시 개인정보보호법 해당되는 </t>
    </r>
    <r>
      <rPr>
        <rFont val="맑은 고딕"/>
        <color rgb="FFFF0000"/>
        <sz val="10.0"/>
      </rPr>
      <t>의뢰인 성명, 의뢰인 연락처에 해당되는 항목은 제외</t>
    </r>
    <r>
      <rPr>
        <rFont val="맑은 고딕"/>
        <color theme="1"/>
        <sz val="10.0"/>
      </rPr>
      <t xml:space="preserve">하여 회신
 * 의뢰인 성명, 의뢰인 연락처 : 개인을 알아볼 수 있는 정보(해당 정보만으로는 특정 개인을 알아볼 수 없더라도 다른 정보와 쉽게 결합하여 알아볼 수 있는 것을 포함함)
2. 엑셀시트 항목 중 </t>
    </r>
    <r>
      <rPr>
        <rFont val="맑은 고딕"/>
        <color rgb="FFFF0000"/>
        <sz val="10.0"/>
      </rPr>
      <t>진한글씨항목(연번, 상담일, 의뢰외 유형, 상담내용(질문유형, 질문내용, 답볍))은 필수항목</t>
    </r>
    <r>
      <rPr>
        <rFont val="맑은 고딕"/>
        <color theme="1"/>
        <sz val="10.0"/>
      </rPr>
      <t>이므로 반드시 입력, 이외 나머지는 선택사항임
3. 상담내용 작성 시</t>
    </r>
    <r>
      <rPr>
        <rFont val="맑은 고딕"/>
        <color rgb="FFFF0000"/>
        <sz val="10.0"/>
      </rPr>
      <t>, 반드시 질문유형(공적급여, 민간급여, 보조기기, 사례연계, 기타)에 한가지는 입력 후</t>
    </r>
    <r>
      <rPr>
        <rFont val="맑은 고딕"/>
        <color theme="1"/>
        <sz val="10.0"/>
      </rPr>
      <t xml:space="preserve"> 질문내용 및 답변 입력 필요</t>
    </r>
  </si>
  <si>
    <t>동해시청 복지과</t>
  </si>
  <si>
    <t>의료급여 욕창예방방석 장애유형은 지체, 뇌병변인데 교부사업과 치이</t>
  </si>
  <si>
    <t>교부사업은 심장장애인 경우 지원 가능하다고 답변</t>
  </si>
  <si>
    <t>정소영</t>
  </si>
  <si>
    <t>이미정</t>
  </si>
  <si>
    <t>010-4806-2025</t>
  </si>
  <si>
    <t>휠체어담요 사이즈교환 및 교부사업 재신청 가능 여부</t>
  </si>
  <si>
    <t>사이즈교환은 불가능하고 내구연한 2년 제품으로 2026년 재신청 가능하다고 답변</t>
  </si>
  <si>
    <t>010-4741-1555</t>
  </si>
  <si>
    <t>의료용 침대 매트리스 소독 여부 문의</t>
  </si>
  <si>
    <t>보조기기 서비스에 해당 되지 않음을 안내</t>
  </si>
  <si>
    <t>보조기기를 신청하고 싶은데 어떻게 해야하는지 문의</t>
  </si>
  <si>
    <t>의료급여, 교부사업 안내</t>
  </si>
  <si>
    <t>활동지원사</t>
  </si>
  <si>
    <t>보행차 지원을 받고 싶은데 어떻게 해야 하는지 문의</t>
  </si>
  <si>
    <t>교부사업 안내</t>
  </si>
  <si>
    <t>010-2301-3309</t>
  </si>
  <si>
    <t>장애인보조기기 교부사업 정보 문의</t>
  </si>
  <si>
    <t>김명옥</t>
  </si>
  <si>
    <t>홍천군</t>
  </si>
  <si>
    <t>010-6725-3888</t>
  </si>
  <si>
    <t>차에 실을 만한 가벼운 휠체어 체험 희망</t>
  </si>
  <si>
    <t>2월 15일 10~11시 내방 예정</t>
  </si>
  <si>
    <t>010-3367-7864</t>
  </si>
  <si>
    <t>전동휠체어 신청 절차 중 처방전 관련 문의</t>
  </si>
  <si>
    <t>처방전 발생 밥법 안내</t>
  </si>
  <si>
    <t>태백시 행정복지센터</t>
  </si>
  <si>
    <t>어르신들이 끌고다니다가 앉아있을수도 있고 물건도 실을 수 있는 기기 이름</t>
  </si>
  <si>
    <t>보행차 품목 안내(좌석형, 탁자형 등)</t>
  </si>
  <si>
    <t>박병모</t>
  </si>
  <si>
    <t>010-6762-8582</t>
  </si>
  <si>
    <t>2019년생 원주 거주 심한 뇌병변 장애
 3번 염색체 이상 희귀난치성질환
 키 110cm, 체중 14kg
 캐롯카시트, 피더시트 대여 문의</t>
  </si>
  <si>
    <t>대여 담당자 연결해드리기로 함</t>
  </si>
  <si>
    <t>국가유공자
 5급</t>
  </si>
  <si>
    <t>보훈처에서 휠체어 지원이 안된다고 하는데 지원 받을 수 있는 방법</t>
  </si>
  <si>
    <t>의사 처방전 요청하여 건보공단 신청 여부 확인 안내</t>
  </si>
  <si>
    <t>전동침대 지원 방법, 휠체어 지원 방법 문의</t>
  </si>
  <si>
    <t>휠체어 건보급여 안내, 전동침대 대여 방법 안내</t>
  </si>
  <si>
    <t>박관순</t>
  </si>
  <si>
    <t>010-9324-2502</t>
  </si>
  <si>
    <t>보행차 지원</t>
  </si>
  <si>
    <t>010-8619-7890</t>
  </si>
  <si>
    <t>천수손상(하지마비) 욕창예방 방석 지원 신청 문의</t>
  </si>
  <si>
    <t>건강보험급여 신청 안내</t>
  </si>
  <si>
    <t>요양등급 3급, 목욕의자 구매 또는 지원 방법</t>
  </si>
  <si>
    <t>노인장기요양 복지용구지원사업 안내, 강릉 근처 의료기기상사 안내</t>
  </si>
  <si>
    <t>박성훈</t>
  </si>
  <si>
    <t>010-5309-5963</t>
  </si>
  <si>
    <t>수동휠체어 대여, 재사용 지원 가능 문의</t>
  </si>
  <si>
    <t>대상자 연락을 통해 수동 휠체어 대여 진행 예정</t>
  </si>
  <si>
    <t>정민지</t>
  </si>
  <si>
    <t>033-250-4295</t>
  </si>
  <si>
    <t>김정자</t>
  </si>
  <si>
    <t>교정용 신발 관련 지원방법 및 교부사업으로 지원가능한지 문의</t>
  </si>
  <si>
    <t>건강보험급여 안내 및 신청방법 안내</t>
  </si>
  <si>
    <t>박상범</t>
  </si>
  <si>
    <t>허지혜</t>
  </si>
  <si>
    <t>010-3330-6352</t>
  </si>
  <si>
    <t>허고운</t>
  </si>
  <si>
    <t>안구마우스 대여 및 사용법 문의</t>
  </si>
  <si>
    <t>현재 보호자의 집으로 거주지를 옮겨 경기도에 거주 중, 이에 경기도 센터로 안내 및 연결함</t>
  </si>
  <si>
    <t>동해해솔학교</t>
  </si>
  <si>
    <t>SPC 민간지원사업 관련 문의</t>
  </si>
  <si>
    <t>추 후 신청 보조기기 문의 연락에 대한 답변 예정</t>
  </si>
  <si>
    <t>고성군청</t>
  </si>
  <si>
    <t>033-680-3444</t>
  </si>
  <si>
    <t>교부 확인 방법 문의</t>
  </si>
  <si>
    <t>2024년 장애인복지사업 안내 책자 내용 안내</t>
  </si>
  <si>
    <t>속초시 노학동 주민센터</t>
  </si>
  <si>
    <t>지지대 및 손잡이 정의</t>
  </si>
  <si>
    <t>안전손잡이 설명</t>
  </si>
  <si>
    <t>춘장복</t>
  </si>
  <si>
    <t>의지보조기</t>
  </si>
  <si>
    <t>의지보조기 맞춤 제작 상담 받을 수 있는 곳 문의</t>
  </si>
  <si>
    <t>춘천관내 의지보조기 상사 안내</t>
  </si>
  <si>
    <t>손떨림이 심하셔서 식사 보조기기 대여 하고 싶어하심.</t>
  </si>
  <si>
    <t>장애등급, 노인장기요양등급 여부 확인 후 다시 전화 주시기로 함. 기기 구매 방법 안내</t>
  </si>
  <si>
    <t>품목 3개 신청 가능 여부, 안전손잡이 지원 개수</t>
  </si>
  <si>
    <t>지원기준금액 합계 200만원 한도 내 3개 가능, 안전손잡이 경우 환경 및 용도에 따라 담당자가 지정</t>
  </si>
  <si>
    <t>철원군 동송읍 행정복지센터</t>
  </si>
  <si>
    <t>033-450-5623</t>
  </si>
  <si>
    <t>보조기</t>
  </si>
  <si>
    <t>발목이 떨어지지 않게 고정해주는 기기 이름과 지원사업 문의</t>
  </si>
  <si>
    <t>보조기 종류로 의료급여사업 안내</t>
  </si>
  <si>
    <t>강원명진학교</t>
  </si>
  <si>
    <t>2024 따뜻한동행 첨단보조기기 지원사업 문의</t>
  </si>
  <si>
    <t>지원연령, 지원기기 정보 답변</t>
  </si>
  <si>
    <t>조연경</t>
  </si>
  <si>
    <t>강원특수교육지원센터</t>
  </si>
  <si>
    <t>경제상황이 건강보험 가입자인 학생이 지원 받을 수 있는 사업 문의</t>
  </si>
  <si>
    <t>대여 및 민간지원사업 안내, 담당자 안내</t>
  </si>
  <si>
    <t>안구마우스 대여 문의(서울시 거주)</t>
  </si>
  <si>
    <t>서울시 보조기기센터 소개 및 절차 안내</t>
  </si>
  <si>
    <t>원주시 흥업면 행정복지센터</t>
  </si>
  <si>
    <t>전동침대 교부 받은 이후 요양병원에 들어가시면서 전동침대를 어떻게 처리 해야하는 지 문의</t>
  </si>
  <si>
    <t>기증 및 재사용 등 활용 방안 안내</t>
  </si>
  <si>
    <t>원주시 천사들의집</t>
  </si>
  <si>
    <t>010-3816-0116</t>
  </si>
  <si>
    <t>지적</t>
  </si>
  <si>
    <t>바디서포트 구매 문의, 센터 기관방문 및 홍보, 상담 요청 매주 월요일 10이후 가능</t>
  </si>
  <si>
    <t>건보급여사업 절차 안내, 팀회의 후 연락드리기로 함</t>
  </si>
  <si>
    <t>영월군 종합상담소</t>
  </si>
  <si>
    <t>033-374-7098</t>
  </si>
  <si>
    <t>보행차 지원 사업 문의</t>
  </si>
  <si>
    <t>교부사업, 의료급여사업 안내</t>
  </si>
  <si>
    <t>한소네6, 센스원베이직 대여 문의</t>
  </si>
  <si>
    <t>담당자 자리 비움으로 메신저 전달</t>
  </si>
  <si>
    <t>황태현</t>
  </si>
  <si>
    <t>한소네6 대여 문의</t>
  </si>
  <si>
    <t>원주 행정복지센터</t>
  </si>
  <si>
    <t>휠체어 우비 교부 가능한지 문의</t>
  </si>
  <si>
    <t>장애인용 의복으로 신청 가능함을 안내</t>
  </si>
  <si>
    <t>미판정</t>
  </si>
  <si>
    <t>배터리 구매</t>
  </si>
  <si>
    <t>전동스쿠터 배터리 구매 업체 문의</t>
  </si>
  <si>
    <t>문자로 업체 정보 전달</t>
  </si>
  <si>
    <t>고성군</t>
  </si>
  <si>
    <t>차량 탑승 개조 지원 가능한 사업 문의</t>
  </si>
  <si>
    <t>보조공학 지원사업 안내</t>
  </si>
  <si>
    <t>박효진</t>
  </si>
  <si>
    <t>굿피플</t>
  </si>
  <si>
    <t>02-6011-9469</t>
  </si>
  <si>
    <t>민간지원사업</t>
  </si>
  <si>
    <t>굿피플 민간지원사업 홍보요청</t>
  </si>
  <si>
    <t>홈페이지 게시 및 협조요청 공문 예정</t>
  </si>
  <si>
    <t>속초시</t>
  </si>
  <si>
    <t>전동 스쿠터 지원 받을 수 있는 방법</t>
  </si>
  <si>
    <t>아동용 전동침대 지원 사업 문의</t>
  </si>
  <si>
    <t>김선기</t>
  </si>
  <si>
    <t>010-2281-9610</t>
  </si>
  <si>
    <t>시각장애인용 기기 지원 가능 문의</t>
  </si>
  <si>
    <t>정통임대사업으로 한소네 대여하여 사용중 
점자 부분이 튀어올라와서 수리가 필요</t>
  </si>
  <si>
    <t>담당자(장홍민) 연락 후 수리예정</t>
  </si>
  <si>
    <t>박수진</t>
  </si>
  <si>
    <t>010-9085-4121</t>
  </si>
  <si>
    <t>월드비전 희귀난치 지원사업 관련 문의
희귀난치진단서 발급이 어려워 과거 20년도에 
발급 받았던걸로 가늠할 수 있는지 문의</t>
  </si>
  <si>
    <t>의사파업으로 인해 올해는 1년이내 서류 조건
삭제로 20년도 진단서여도 신청 가능하다고
답변함.</t>
  </si>
  <si>
    <t>추가 신청 품목 경우, 따로 평가 의뢰 없이 대상자에게 신청을 받아 진행해도 되는 지 여부 문의</t>
  </si>
  <si>
    <t>평가 결과, 추가 신청 동의 서류를 구비한 경우 별도의 평가 의뢰 없이 대상자에게 추가 신청을 받아 진행하고 교부여부는 지침에 따라 시에서 결정함 안내</t>
  </si>
  <si>
    <t>민간지원사업 신청서류 질문 및 과거
지원받았던 민간지원사업 확인문의</t>
  </si>
  <si>
    <t>신청서류 안내 및 2023년도 지원받았던
지원사업 확인 후 지원불가지원사업 안내</t>
  </si>
  <si>
    <t>경규윤</t>
  </si>
  <si>
    <t>신청서류(차상위증명서, 재학증명서) 문의</t>
  </si>
  <si>
    <t>제출해야할 서류에 대해서 안내</t>
  </si>
  <si>
    <t>워커 대여 문의</t>
  </si>
  <si>
    <t>대여 불가능
장기요양등급신청에 대해 안내</t>
  </si>
  <si>
    <t>삼척시 특수교육지원센터</t>
  </si>
  <si>
    <t>010-5251-6550</t>
  </si>
  <si>
    <t>척추 보조기</t>
  </si>
  <si>
    <t>전동휠체어에 몸을 고정하기 위한 이너(독일제)를 구입하여 사용하고 있으나 맞지 않아 몸이 앞으로 쏠리고, 땀이 차는 등 사용하지 못할 정도여서 코셋 종류를 알아보고자 함.</t>
  </si>
  <si>
    <t>국민건강보험공단 척추보조기 지원 내용 및 참고 유튜브 영상 문자로 안내</t>
  </si>
  <si>
    <t>조아라</t>
  </si>
  <si>
    <t>발달장애인지원센터</t>
  </si>
  <si>
    <t>033-817-2354</t>
  </si>
  <si>
    <t>발달장애인이 신청할 수 있는 민간지원사업 문의</t>
  </si>
  <si>
    <t>현재 진행하는 사업 소개 및 추후에 나이제한이 없는 지원사업이 생길시 연락드리기로 함</t>
  </si>
  <si>
    <t>최세희</t>
  </si>
  <si>
    <t>원주장애인복지관</t>
  </si>
  <si>
    <t>070-4297-3042</t>
  </si>
  <si>
    <t>변기높이를 10cm 늘릴 수 있는 보조기기에 대해 문의</t>
  </si>
  <si>
    <t>5/2 연락드리기로 함(장홍민)</t>
  </si>
  <si>
    <t>김교중</t>
  </si>
  <si>
    <t>교부신청을 했는데 아직까지 연락이 안와서 전화함</t>
  </si>
  <si>
    <t>정선군청에 문의하시길 안내함</t>
  </si>
  <si>
    <t>010-6339-9839</t>
  </si>
  <si>
    <t>임영식</t>
  </si>
  <si>
    <t>임영식님 신청 취소 사유에 대해서 문의 자부담이 발생해서 취소한 건지 등에 대해 문의</t>
  </si>
  <si>
    <t>담당자에게 현황 전달해서 통화 진행함</t>
  </si>
  <si>
    <t>최예지</t>
  </si>
  <si>
    <t>강릉시청</t>
  </si>
  <si>
    <t>지원기준금액 문의 및 자부담 의사 확인 여부</t>
  </si>
  <si>
    <t>기준금액 다시 안내, 대상자 자부담하기로 함.</t>
  </si>
  <si>
    <t>010-4425-7279</t>
  </si>
  <si>
    <t>채하준</t>
  </si>
  <si>
    <t xml:space="preserve">22년도 지원받았던 보조기기 회수 요청 </t>
  </si>
  <si>
    <t>이은주</t>
  </si>
  <si>
    <t>강장복</t>
  </si>
  <si>
    <t>토요일 행사로 인해 경사로 대여 문의</t>
  </si>
  <si>
    <t>호봉길</t>
  </si>
  <si>
    <t>- 뇌성마비 92년생 / 평일 오후 4시까지 강장복 주간보호소를 다니며, 집에 도착하면 오후 4시반 이후라고 함.
- 경기를 자주 일으키고, 혼자 걷지 못하고, 발화가 어려워 의사소통이 제대로 되지 않음.
- 특별한 보조기기를 사용하지 않고 있으며, 경기로 인해 낙상의 위험을 방지하고자 바닥에 쿠션을 깔고 생활.</t>
  </si>
  <si>
    <t>담당자 결정 후 일정조율을 위해 다시 연락드리겠다고 함.</t>
  </si>
  <si>
    <t>교부사업으로 이동변기 신청하려고 하는데 지원금액이 얼마인지 문의</t>
  </si>
  <si>
    <t>지원한도금액 안내</t>
  </si>
  <si>
    <t>황윤서</t>
  </si>
  <si>
    <t>도 장애인복지과</t>
  </si>
  <si>
    <t>올캠 대여 문의</t>
  </si>
  <si>
    <t>담당자 번호 전달 / 추후 대상자가 전화하기로 함.</t>
  </si>
  <si>
    <t>이예림</t>
  </si>
  <si>
    <t>재활병원 공공</t>
  </si>
  <si>
    <t>이숙자</t>
  </si>
  <si>
    <t>안전손잡이 설치 문의</t>
  </si>
  <si>
    <t>노인장기요양등급 확인 후 복지용구 사업 및 업체정보 안내</t>
  </si>
  <si>
    <t>이현주</t>
  </si>
  <si>
    <t>평택시</t>
  </si>
  <si>
    <t>010-3361-8089</t>
  </si>
  <si>
    <t>이규옥</t>
  </si>
  <si>
    <t>이동식리프트 대여 문의
정신과약 복용중이며 다시 약 처방을 위해 병원 방문이 필요
하지만, 휠체어를 탈 수 있는 방법이 없어 갈 수 없는 상황  
오른쪽 팔 마비 진행 , 왼손 거능 / 하지마비 
원주 단계동 은행아파트 103동204</t>
  </si>
  <si>
    <t>요양원 입소하여 서비스 종료(5/28)</t>
  </si>
  <si>
    <t>횡성군</t>
  </si>
  <si>
    <t>010-5739-8885</t>
  </si>
  <si>
    <t>강민찬</t>
  </si>
  <si>
    <t>자폐성</t>
  </si>
  <si>
    <t>장애인보조기기교부사업 외 다른 신청가능한 지원사업에 대해 문의</t>
  </si>
  <si>
    <t>정보통신보조기기 안내 및 장애인보조기기교부사업에 대해 재안내 (내구연한 설명)</t>
  </si>
  <si>
    <t>양양군</t>
  </si>
  <si>
    <t>히포캄포(해변용 휠체어), 욕창방석(로호), 이동식리프트체어 대여 문의</t>
  </si>
  <si>
    <t>담당자 전달</t>
  </si>
  <si>
    <t>신희숙</t>
  </si>
  <si>
    <t>033-430-2112</t>
  </si>
  <si>
    <t>안구마우스 지원받을 수 있는 지원사업 문의</t>
  </si>
  <si>
    <t>정보통신보조기기 보급사업 안내</t>
  </si>
  <si>
    <t>신사우동주민센터</t>
  </si>
  <si>
    <t>수리지원금 문의</t>
  </si>
  <si>
    <t>수리지원금 안내</t>
  </si>
  <si>
    <t>중앙홈페이지에서 지원한도상향이라는 문구를 보고 연락</t>
  </si>
  <si>
    <t>임형수
(고모부)</t>
  </si>
  <si>
    <t>강릉시
가작로 85
강릉교동(2)주공아파트
205동 905호</t>
  </si>
  <si>
    <t>010-3791-8241</t>
  </si>
  <si>
    <t>채진주</t>
  </si>
  <si>
    <t>29살 / 왼손 움직임, 문자 인식 가능, 청각, 언어기능 장애, 3년전 뇌졸중으로 쓰러짐. 보호자가 정확하게 무슨 장애인지는 모르지만 장애등록되어 있다고 함. 정보통신에 소로보탭 신청하려 하였으나, 먼저 사용할 수 있는지 여부 부터 알아보고자 대여 신청</t>
  </si>
  <si>
    <t xml:space="preserve">
6월 중 시험적용 및 대여 예정(소보로탭) - 장
</t>
  </si>
  <si>
    <t>중학생인데 양쪽다 보청기를 끼고 있는데 정부에서 지원받을 수 있는 방법 문의</t>
  </si>
  <si>
    <t>청각장애 등록 안내</t>
  </si>
  <si>
    <t>아동 만5세 특수신발 지원 받을 수 있는 사업</t>
  </si>
  <si>
    <t>건강보험급여 안내</t>
  </si>
  <si>
    <t>조수진</t>
  </si>
  <si>
    <t>원주청원학교</t>
  </si>
  <si>
    <t>010-2709-9790</t>
  </si>
  <si>
    <t>홍슬기</t>
  </si>
  <si>
    <t>만3세 아동 기립기 대여 가능 문의( 키90cm, 몸무게12kg 왜소)</t>
  </si>
  <si>
    <t>확인 후 연락드리기로 함</t>
  </si>
  <si>
    <t>010-3365-0544</t>
  </si>
  <si>
    <t>안전손잡이 지원 가능 방법 문의</t>
  </si>
  <si>
    <t>교부사업 신청 안내</t>
  </si>
  <si>
    <t>초등학생 피더시트 중 또는 대 대여 문의</t>
  </si>
  <si>
    <t>홈페이지 신청 방법 안내(담당자 부재중)</t>
  </si>
  <si>
    <t>010-6379-7006</t>
  </si>
  <si>
    <t>한손키보드(왼손사용자용) 문의</t>
  </si>
  <si>
    <t>강원
장학사</t>
  </si>
  <si>
    <t>033-258-5396</t>
  </si>
  <si>
    <t>업보조기기 사용법 교육</t>
  </si>
  <si>
    <t>민원인이 클로버라는 제품을 희망하시는데 신청 가능한 제품인지 문의</t>
  </si>
  <si>
    <t>가능함을 안내해 드림. 제품 정보 전달</t>
  </si>
  <si>
    <t>재사용 지원받은 기립기를 아동의 건강 악화로 사용하지 못해 기립기 회수 요청</t>
  </si>
  <si>
    <t xml:space="preserve">6월 중순쯤 나갈 수 있을 것 같다고 말씀드림. 늦어지더라도 기다려 달라고 안내. </t>
  </si>
  <si>
    <t>김형위</t>
  </si>
  <si>
    <t>교부사업으로 교부받은 자동소변수집장치 A/S 문의</t>
  </si>
  <si>
    <t>보조기기 업체 및 주소 정보 전달</t>
  </si>
  <si>
    <t>어머님</t>
  </si>
  <si>
    <t>010-9137-4772</t>
  </si>
  <si>
    <t>채현준</t>
  </si>
  <si>
    <t>뇌병변/지적</t>
  </si>
  <si>
    <t>AAC 탭 대여 / 수, 목 어린이재활병원 치료</t>
  </si>
  <si>
    <t>유모차 신청 가능한 민간지원사업 문의</t>
  </si>
  <si>
    <t>상반기는 모두 종료, 하반기에는 센터 홈페이지 활용 안내. 교부사업 안내.</t>
  </si>
  <si>
    <t>홍성진</t>
  </si>
  <si>
    <t>실내에서 사용할 수 있고, 지원받을 수 있는 품목 문의</t>
  </si>
  <si>
    <t>전동침대, 독립형변기 팔지지대 및 등지지대, 경사로 등 교부사업 지원 품목 및 신청 안내</t>
  </si>
  <si>
    <t>늘사랑의집</t>
  </si>
  <si>
    <t>033-644-5000</t>
  </si>
  <si>
    <t>중증장애인거주시설 늘사랑의집
전동침대 지원받을 수 있는 사업 문의</t>
  </si>
  <si>
    <t>장애인 보조기기 교부사업 안내</t>
  </si>
  <si>
    <t>033-480-2351</t>
  </si>
  <si>
    <t>보조기기 
서비스</t>
  </si>
  <si>
    <t>민원인 보조기기 발판 제작 문의</t>
  </si>
  <si>
    <t>단차해소정도의 크기일 경우 경사로 제작이 가능하지만 주택개조 정도의 크기면 어렵다고 안내.</t>
  </si>
  <si>
    <t>노희선</t>
  </si>
  <si>
    <t>010-8793-0333</t>
  </si>
  <si>
    <t>뇌전증 환자의 낙상 사고를 예방하기 위한 안전모에 대한 정보 문의</t>
  </si>
  <si>
    <t>이영목</t>
  </si>
  <si>
    <t>010-3832-2350</t>
  </si>
  <si>
    <t>춘천에서 전동 휠체어 구입 가능한 업체 정보 문의</t>
  </si>
  <si>
    <t>원광 메디텍 정보 문자로 안내</t>
  </si>
  <si>
    <t>010-2983-2287</t>
  </si>
  <si>
    <t>김용진</t>
  </si>
  <si>
    <t>전동휠체어 랩보드 제작 의뢰</t>
  </si>
  <si>
    <t>담당자에게 내용 전달 완료
추후 담당자 측정 및 제작 관련 방문 상담 예정</t>
  </si>
  <si>
    <t>033-249-2308</t>
  </si>
  <si>
    <t>도내 수리지원센터 현황 문의</t>
  </si>
  <si>
    <t>춘천시 외 7곳 현황 정리하여 정보 전달</t>
  </si>
  <si>
    <t>목소리</t>
  </si>
  <si>
    <t>010-7276-2882</t>
  </si>
  <si>
    <t>보조기기대여</t>
  </si>
  <si>
    <t>휠체어 단기대여 가능 여부</t>
  </si>
  <si>
    <t>장애등록, 노인장기요양등급이 되어있지 않아 불가능하다고 설명 후 보건소 문의 내용 전달</t>
  </si>
  <si>
    <t>박은선</t>
  </si>
  <si>
    <t>010-9539-5959</t>
  </si>
  <si>
    <t>한손으로 머리를 묶을수 있는 보조기기 구입 경로 문의</t>
  </si>
  <si>
    <r>
      <rPr>
        <rFont val="Malgun Gothic"/>
        <color theme="1"/>
        <sz val="10.0"/>
      </rPr>
      <t xml:space="preserve">대상자 정보: 우측편마비,  시각3급
구입 사이트를 찾지 못해 제작시도를 해본 후 
지원 계획
</t>
    </r>
    <r>
      <rPr>
        <rFont val="Malgun Gothic"/>
        <color rgb="FF1155CC"/>
        <sz val="10.0"/>
        <u/>
      </rPr>
      <t>https://brunch.co.kr/@liddel417/63</t>
    </r>
  </si>
  <si>
    <t>허길영</t>
  </si>
  <si>
    <t>010-2874-6455</t>
  </si>
  <si>
    <t>이동변기 문의</t>
  </si>
  <si>
    <t>학성동주민센터 신청 안내</t>
  </si>
  <si>
    <t>전동휠체어 구매 방법 문의</t>
  </si>
  <si>
    <t>일반 구매, 건강보험 장애인 보조기기 보험급여 안내</t>
  </si>
  <si>
    <t>입원환자 교부사업 교부 받을 수 있는지 문의</t>
  </si>
  <si>
    <t>가능하다고 안내</t>
  </si>
  <si>
    <t>강릉 관광안내소</t>
  </si>
  <si>
    <t>관광안내소 비치할만한 보조기기 구매 문의</t>
  </si>
  <si>
    <t>센터에선 구매 불가능 안내 후 보조기기마다 업체 다르다고 안내</t>
  </si>
  <si>
    <t>홍장복</t>
  </si>
  <si>
    <t>070-435-7031</t>
  </si>
  <si>
    <t>센터에서 사용하는 소독세척 스팀세척기 문의</t>
  </si>
  <si>
    <t>옵티마 업체 안내</t>
  </si>
  <si>
    <t>어린이집 담당자</t>
  </si>
  <si>
    <t>010-9806-9511</t>
  </si>
  <si>
    <t>휠체어 대여 문의</t>
  </si>
  <si>
    <t>대여 담당자에게 정보공유. 민간지원사업 정보 안내 필요</t>
  </si>
  <si>
    <t>010-9155-0108</t>
  </si>
  <si>
    <t>대여 연장 문의</t>
  </si>
  <si>
    <t>정보통신보조기기 임대사업 메세지스톤 임대 대상자로 24.7.28이 종료예정일임. 담당자 : 장홍민에게 전달 후 진행예정</t>
  </si>
  <si>
    <t>이준</t>
  </si>
  <si>
    <t>양양군청</t>
  </si>
  <si>
    <t>011-670-2169</t>
  </si>
  <si>
    <t>바퀴달린 목욕의자 지원 가능 여부 문의</t>
  </si>
  <si>
    <t>지원 가능함 안내</t>
  </si>
  <si>
    <t>최광덕</t>
  </si>
  <si>
    <t>010-5372-7307</t>
  </si>
  <si>
    <t>안재남</t>
  </si>
  <si>
    <t>보조기 제작 문의</t>
  </si>
  <si>
    <t>의사처방 후 제작 가능 안내</t>
  </si>
  <si>
    <t>010-8879-2458</t>
  </si>
  <si>
    <t>대상자 키(187cm) 에 적합한 지팡이 문의</t>
  </si>
  <si>
    <t>건보 지원이 가능한 지팡이 정보 안내</t>
  </si>
  <si>
    <t>010-4785-5894</t>
  </si>
  <si>
    <t>천필은</t>
  </si>
  <si>
    <t>교부받았던 전동침대 A/S문의</t>
  </si>
  <si>
    <t>우성이엔지 업체 a/s 정보 안내</t>
  </si>
  <si>
    <t>010-9197-1080</t>
  </si>
  <si>
    <t>원주 전동휠체어 구입 업체 문의</t>
  </si>
  <si>
    <t>원주권 업체정보 안내</t>
  </si>
  <si>
    <t>보행차 지원가능여부와 대여 가능 문의</t>
  </si>
  <si>
    <t>보조기기센터 대여서비스 안내</t>
  </si>
  <si>
    <t>김해원</t>
  </si>
  <si>
    <t>010-3920-4172</t>
  </si>
  <si>
    <t>저시력보조안경 지원 가능한지 문의</t>
  </si>
  <si>
    <t>건보 지원 안내</t>
  </si>
  <si>
    <t>송평국</t>
  </si>
  <si>
    <t>010-7533-3642</t>
  </si>
  <si>
    <t>휠체어 바퀴 교체 문의</t>
  </si>
  <si>
    <t>화천군 수리센터 안내</t>
  </si>
  <si>
    <t>맞춤제작 의뢰</t>
  </si>
  <si>
    <t>22일 (목) 방문예정.
- 지팡이홀더, 휠체어용컵홀더+스마트폰거치대</t>
  </si>
  <si>
    <t>원주장애인자립생활센터</t>
  </si>
  <si>
    <t>033-761-7755</t>
  </si>
  <si>
    <t>홍보부스 참여</t>
  </si>
  <si>
    <t xml:space="preserve">원주장애인인권영화제 홍보부스 참여요청 </t>
  </si>
  <si>
    <t xml:space="preserve">10/16 수 , 치악체육관 진행 할 예정 추후 관련 정보와 서류 보내주기로함 </t>
  </si>
  <si>
    <t>춘천시보건소방문보건과</t>
  </si>
  <si>
    <t>033-250*4577</t>
  </si>
  <si>
    <t>춘천시 대상자 전동침대 교부 가능여부 문의</t>
  </si>
  <si>
    <t>읍면동행정복지센터 예산 확인 안내</t>
  </si>
  <si>
    <t>영월진로체험센터</t>
  </si>
  <si>
    <t>033-372-1113</t>
  </si>
  <si>
    <t>영월진로체험센터 진로체험부스 참여요청</t>
  </si>
  <si>
    <t>010-8411-9702</t>
  </si>
  <si>
    <t>부(청각장애), 모(치매) 상황이며, 안전손잡이, 변기팔지지대 지원받을수 있는 사업 문의</t>
  </si>
  <si>
    <t>노인장기요양보험 복지용구급여사업. 장애인보조기기 교부사업 정보제공.  지원받을 대상자의 정보가 정확하지 않아 추후 재연락 주기로 함</t>
  </si>
  <si>
    <t>010-5737-8180</t>
  </si>
  <si>
    <t>유인선</t>
  </si>
  <si>
    <t>면사무소에 교부사업 신청하려 하는데 담당자가 모른다고 하여 문의</t>
  </si>
  <si>
    <t>평창군청에 통화하여 교부사업 신청할 수 있도록 연계함</t>
  </si>
  <si>
    <t>이연희</t>
  </si>
  <si>
    <t>010-5552-1846</t>
  </si>
  <si>
    <t>센터 보유 워커, 워커 대여 문의</t>
  </si>
  <si>
    <t xml:space="preserve">센터 보유 워커 안내 후 대여 담당자에게 전달 
(담장자 : </t>
  </si>
  <si>
    <t>윤선영</t>
  </si>
  <si>
    <t>010-6221-3203</t>
  </si>
  <si>
    <t>독서확대기 대여 문의</t>
  </si>
  <si>
    <t>담당자에게 전달
(담당자 : 탁상용 독서확대기 대여 원하셔서 유선상 상담 후 취소)</t>
  </si>
  <si>
    <t>쿠션체어, 캐롯카시트, 올체 체어 대여 문의</t>
  </si>
  <si>
    <t>담당자에게 전달
(담당자:쿠션체어, 노바카시트 시험적용 및 대여 안내)</t>
  </si>
  <si>
    <t>목욕의자 대여 문의</t>
  </si>
  <si>
    <t>담당자에게 전달
(담당자:목욕의자(매너티), 피더시트 대여 안내)</t>
  </si>
  <si>
    <t>033-430-4069</t>
  </si>
  <si>
    <t>건강보험 가입자 이동식 전동 리프트 지원가능한 공적급여 문의</t>
  </si>
  <si>
    <t>건보 공적급여 안내</t>
  </si>
  <si>
    <t>070-4454-6749</t>
  </si>
  <si>
    <t>강장복 26일~27일 ACC 보조기기 대여 문의</t>
  </si>
  <si>
    <t>담당자에게 전달
(담당자 : 공문으로 대여 진행 예정)</t>
  </si>
  <si>
    <t>한규미</t>
  </si>
  <si>
    <t>한소네 U2 고장으로 인한 수리 문의</t>
  </si>
  <si>
    <t>셀바스헬스케어(업체) 주소, 발송 방법 안내 - 추석 연휴 끝난 후 견적서 받아서 수리 예정</t>
  </si>
  <si>
    <t>장순성</t>
  </si>
  <si>
    <t>010-5644-3816</t>
  </si>
  <si>
    <t xml:space="preserve">절단 장애인으로 침대에서 낙상을 자주 당함.
도움이 될 수 있는 보조기기가 있는지 문의
전동침대 신청하고 싶다고 하였으나 예산없다고 얘기 들음
</t>
  </si>
  <si>
    <t>강원 원주시 남원로 469번길 7-7 101호 / 중증 지체장애 / 양쪽 무릎 절단 / 일반침대 낙상 경험 / 안전손잡이 대여 문의, 트랜스퍼 보드 사용체험 / 이석광님 소개 / 낙상 위험이 매우 큰 상황으로 추석 이후 방문 예정</t>
  </si>
  <si>
    <t>이천모</t>
  </si>
  <si>
    <t>010-9487-7895</t>
  </si>
  <si>
    <t>정통보급사업 신청하여 선정되었는데 아직 물품을 받지 못함</t>
  </si>
  <si>
    <t>강원도청 정보통신보급사업 담당자 번호 안내 및 연결</t>
  </si>
  <si>
    <t>이현규</t>
  </si>
  <si>
    <t>강원대학교 장애학생지원센터</t>
  </si>
  <si>
    <t>033-250-7368</t>
  </si>
  <si>
    <t>행사부스 참여</t>
  </si>
  <si>
    <t>강원대학교 울림제 축제에 부스 참여 및 운영 관련 문의</t>
  </si>
  <si>
    <t>부스 참여 의사 전달 및 부스 운영 관련 내용 전달</t>
  </si>
  <si>
    <t>이세빈</t>
  </si>
  <si>
    <t>수동휠체어 대여문의</t>
  </si>
  <si>
    <t>행사  우편물 확인, 센터장님 참석 가능하신지 확인 후 회신</t>
  </si>
  <si>
    <t>센터장님 회의 일정으로 불참, 우편물 미수령 회신</t>
  </si>
  <si>
    <t>강장복 - 양구</t>
  </si>
  <si>
    <t>010-5363-7758</t>
  </si>
  <si>
    <t>10월 26일 토요일에 사용할 이동식 경사로 대여 문의</t>
  </si>
  <si>
    <t>안두희</t>
  </si>
  <si>
    <t>010-7183-1948</t>
  </si>
  <si>
    <t>거치대 파손 - 재제작 문의</t>
  </si>
  <si>
    <t>팀장님 연차 안내 후 월요일에 다시 전화드리겠다고 안내</t>
  </si>
  <si>
    <t>변기팔지지대, 안전손잡이 지원 문의</t>
  </si>
  <si>
    <t>교부 사업 안내</t>
  </si>
  <si>
    <t>경북보조기기센터</t>
  </si>
  <si>
    <t>010-9193-6274</t>
  </si>
  <si>
    <t>실적문의</t>
  </si>
  <si>
    <t>21-23년도 장기요양보험 대상자 서비스 건수 문의(소독세척제외)</t>
  </si>
  <si>
    <t>센터 전체 실적, 장기요양보험 대상자 서비스건수 파악 후 유선으로 안내</t>
  </si>
  <si>
    <t>김우석</t>
  </si>
  <si>
    <t>010-5578-6732</t>
  </si>
  <si>
    <t>건강보험 공단 자세보조용구 처방 문의</t>
  </si>
  <si>
    <t>처방전발급-공단신청-보조기기 지원 방법 안내</t>
  </si>
  <si>
    <t>김관영</t>
  </si>
  <si>
    <t>010-3954-2772</t>
  </si>
  <si>
    <t>수리문의</t>
  </si>
  <si>
    <t xml:space="preserve">자부담으로 구입한 목욕의자 수리문의 </t>
  </si>
  <si>
    <t>구입한 의료기상사 문의 안내</t>
  </si>
  <si>
    <t>홍선희</t>
  </si>
  <si>
    <t>010-9798-0073</t>
  </si>
  <si>
    <t>윤을중</t>
  </si>
  <si>
    <t>치료실에서 사용하던 보조기기 관련 정보 및 구입 방법 문의</t>
  </si>
  <si>
    <t>헤미워커, 네발 지팡이 정보 안내</t>
  </si>
  <si>
    <t>원내 5병동</t>
  </si>
  <si>
    <t>033-248-7652</t>
  </si>
  <si>
    <t>신지수</t>
  </si>
  <si>
    <t>훈련문의</t>
  </si>
  <si>
    <t>대상자 재입원, 치료 문의로 보조기기센터에서 기존에 받던 훈련 다시 받을 수 있는지 문의</t>
  </si>
  <si>
    <t>팀장님 출장 안내 후 21일 월요일 이후에 다시 전화드린다고 안내</t>
  </si>
  <si>
    <t>010-7504-8347</t>
  </si>
  <si>
    <t>서순덕</t>
  </si>
  <si>
    <t>경한</t>
  </si>
  <si>
    <t>의사 처방전을 통한 전동 스쿠터 구입 관련 문의</t>
  </si>
  <si>
    <t>건강보험 공단 지사를 통한 구입 방법 안내</t>
  </si>
  <si>
    <t>033-245-5307</t>
  </si>
  <si>
    <t>장애+수급자 받을 수 있는 급여 정보 문의</t>
  </si>
  <si>
    <t>033-433-2280</t>
  </si>
  <si>
    <t>교부사업 품목 중 자부담 없거나 적은 전동침대 제품 문의</t>
  </si>
  <si>
    <t>센터 홈페이지 내 교부사업 책자 안내 후 우성이엔지 안내</t>
  </si>
  <si>
    <t>남자</t>
  </si>
  <si>
    <t>목욕의자, 경사로, 기립기 대여문의</t>
  </si>
  <si>
    <t>허만호</t>
  </si>
  <si>
    <t>010-8979-5904</t>
  </si>
  <si>
    <t>이동식변기 지원 문의</t>
  </si>
  <si>
    <t>장애등록, 수급자 확인 후 교부사업 안내</t>
  </si>
  <si>
    <t>노인장기요양등급</t>
  </si>
  <si>
    <t>차량에 휴대할 수 있는 전동휠체어 제품 및 구매방법 문의</t>
  </si>
  <si>
    <t>로보휠 안내, 대여는 불가능하지만 사용체험은 가능하다고 안내</t>
  </si>
  <si>
    <t>장동혁</t>
  </si>
  <si>
    <t>010-6311-0508</t>
  </si>
  <si>
    <t>어깨 의지보조기 문의</t>
  </si>
  <si>
    <t>청각장애인이 사용할 수 있는 송수신기 보조기기 대여 가능 문의</t>
  </si>
  <si>
    <t>보유하고 있는 보조기기는 골전도 청음기, 청취증폭기 이어짱만 있어 불가능하다고 답변</t>
  </si>
  <si>
    <t>속초 노학동</t>
  </si>
  <si>
    <t>033-639-2887</t>
  </si>
  <si>
    <t>교부 사업으로 안전 손잡이 신청 시 설치 등이 가능한지</t>
  </si>
  <si>
    <t>교부사업 품목 및 절차 안내, 안전손잡이 설치 시 자부담 발생 여부에 대한 안내</t>
  </si>
  <si>
    <t>010-5035-5123</t>
  </si>
  <si>
    <t>2024 볼보 장애어린이지원사업  인공와우 지원 받을 수 있을지 문의</t>
  </si>
  <si>
    <t>인공와우경우 의료기기에 해당이 되어 지원품목에 해당X 
씨사운드 보조기기 관련 내용 설명해 드림.</t>
  </si>
  <si>
    <t>교부사업 신청품목 언제쯤 받을 수 있을지</t>
  </si>
  <si>
    <t>확인 후 재연락 하기로 함</t>
  </si>
  <si>
    <t>010-6269-6994</t>
  </si>
  <si>
    <t xml:space="preserve">활동형 휠체어 지원받을수 있는 사업 안내 문의
 </t>
  </si>
  <si>
    <t>건강보험공단 지원사업 안내</t>
  </si>
  <si>
    <t>010-6616-3449</t>
  </si>
  <si>
    <t>희귀성난치병(불완전 골형성)</t>
  </si>
  <si>
    <t>기립기 대여 문의</t>
  </si>
  <si>
    <t>예비</t>
  </si>
  <si>
    <t>대여 반납 장소 변경 요청</t>
  </si>
  <si>
    <t>010-7612-7006</t>
  </si>
  <si>
    <t>최서연</t>
  </si>
  <si>
    <t>빅키보드 대여 연장 문의</t>
  </si>
  <si>
    <t>대상자 중 25년에 교부사업으로 전동침대 구매 관련 문의가 왔었고 전동침대 정보 및 지원 금액에 대한 관련 문의</t>
  </si>
  <si>
    <t>전동침대 지원금액 및 자부담 없는 제품에 대한 정보 제공</t>
  </si>
  <si>
    <t>신경자</t>
  </si>
  <si>
    <t>010-6374-1160</t>
  </si>
  <si>
    <t>교부사업으로 신청한 보조기기가 언제쯤 받을 수 있는지 문의</t>
  </si>
  <si>
    <t>보조기기 적합성평가 이후 대략 한달 전후 걸린다고 전달</t>
  </si>
  <si>
    <t>보조기기 대여 반납 건으로 문의</t>
  </si>
  <si>
    <t>화장실에 설치할 경사로, 기립기 대여 문의</t>
  </si>
  <si>
    <t>화요일날 센터에 내방하여 보조기기 안내 예정</t>
  </si>
  <si>
    <t>맞춤제작 관련 문의</t>
  </si>
  <si>
    <t>담당자(김영기 팀장님)께 전달</t>
  </si>
  <si>
    <t>김진벽</t>
  </si>
  <si>
    <t>010-5378-5240</t>
  </si>
  <si>
    <t>장애인보조기기 교부사업으로 신청한 전동침대를 언제 받을 수 있는지 문의</t>
  </si>
  <si>
    <t>보조기기 적합성 평가 이후 최소 3주 이상은 소요된다고 전달</t>
  </si>
  <si>
    <t>033-255-2491</t>
  </si>
  <si>
    <t>행사에 사용할 경사로 대여 문의</t>
  </si>
  <si>
    <t>강릉지역 장애인보조기기교부사업 신청자 결과송부가 언제 되는지 문의</t>
  </si>
  <si>
    <t>교부사업 담당자가 오늘(12/16) 연차여서 내일 연락드린다고 답변함.</t>
  </si>
  <si>
    <t>2024 볼보 지원서 제출을 어디에 해야하는지 문의</t>
  </si>
  <si>
    <t>기관 메일로 신청서 접수 받고 있다고 안내</t>
  </si>
  <si>
    <t>이동식 경사로 대여 문의</t>
  </si>
  <si>
    <t>대여 요청 공문을 보내주면 대여 가능하다고 안내</t>
  </si>
  <si>
    <t>교부사업 신청자 김창정님 신청 안전손잡이 재고 없음으로 인해 대체 안전손잡이에 대한 문의</t>
  </si>
  <si>
    <t>대체 안전손잡이 안내</t>
  </si>
  <si>
    <t>한소네6 대기자 명단에 등록 되어 있는데 언제쯤 대여가 가능한지</t>
  </si>
  <si>
    <t>대야 담당자에게 전달</t>
  </si>
  <si>
    <t>명진학교</t>
  </si>
  <si>
    <t>010-8769-323</t>
  </si>
  <si>
    <t>볼보 장애어린이 지원사업 주치의소견에 관한 문의</t>
  </si>
  <si>
    <t>신청하는 보조기기가 포함되어있는 소견서가 필요하다고 답변</t>
  </si>
  <si>
    <t>010-3928-1616</t>
  </si>
  <si>
    <t>씨사운드 업체</t>
  </si>
  <si>
    <t>씨사운드2 업체에서 대여 관련 연락으로 내용을 받을 수 있는 이메일 주소 문의</t>
  </si>
  <si>
    <t>보조기기센터 네이버 메일 주소 답변</t>
  </si>
  <si>
    <t>경남 거제</t>
  </si>
  <si>
    <t>010-4593-2611</t>
  </si>
  <si>
    <t>책마루2 사용하고 있으며, 사용설명서 자료가 있는지 문의</t>
  </si>
  <si>
    <t>제조업체 연락처 및 경남보조기기센터 연락처 안내</t>
  </si>
  <si>
    <t>010-9924-8440</t>
  </si>
  <si>
    <t>욕창예방방석 보장구 지원사업 관련하여 처방전을 확인할 수 있는 곳이 어딘지 문의</t>
  </si>
  <si>
    <t>건강보험공단 홈페이지 및 진료봤던 병원에 확인해야한다고 답변</t>
  </si>
  <si>
    <t>010-6258-5477</t>
  </si>
  <si>
    <t>양치를 할 때 물을 뱉을 수 있는 보조기기에 대해 문의</t>
  </si>
  <si>
    <t>블루레오 전동칫솔 G100에 대해서 안내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</si>
</sst>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yyyy-mm-dd"/>
    <numFmt numFmtId="166" formatCode="0.0%"/>
  </numFmts>
  <fonts count="13">
    <font>
      <sz val="11.0"/>
      <color theme="1"/>
      <name val="Calibri"/>
      <scheme val="minor"/>
    </font>
    <font>
      <sz val="10.0"/>
      <color theme="1"/>
      <name val="Malgun Gothic"/>
    </font>
    <font>
      <sz val="10.0"/>
      <color theme="1"/>
      <name val="Arial"/>
    </font>
    <font/>
    <font>
      <b/>
      <sz val="10.0"/>
      <color theme="1"/>
      <name val="Malgun Gothic"/>
    </font>
    <font>
      <color theme="1"/>
      <name val="Calibri"/>
    </font>
    <font>
      <sz val="10.0"/>
      <color theme="1"/>
      <name val="Noto Sans KR"/>
    </font>
    <font>
      <color theme="1"/>
      <name val="Calibri"/>
      <scheme val="minor"/>
    </font>
    <font>
      <sz val="10.0"/>
      <color rgb="FF000000"/>
      <name val="Malgun Gothic"/>
    </font>
    <font>
      <sz val="10.0"/>
      <color rgb="FF000000"/>
      <name val="Arial"/>
    </font>
    <font>
      <b/>
      <sz val="10.0"/>
      <color theme="1"/>
      <name val="Arial"/>
    </font>
    <font>
      <sz val="11.0"/>
      <color theme="1"/>
      <name val="Malgun Gothic"/>
    </font>
    <font>
      <u/>
      <sz val="10.0"/>
      <color theme="1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E5B8B7"/>
        <bgColor rgb="FFE5B8B7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FFFFF"/>
        <bgColor rgb="FFFFFFFF"/>
      </patternFill>
    </fill>
  </fills>
  <borders count="2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2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3" fontId="1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ill="1" applyFont="1">
      <alignment horizontal="center" vertical="center"/>
    </xf>
    <xf borderId="9" fillId="4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10" fillId="6" fontId="4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8" fillId="6" fontId="4" numFmtId="0" xfId="0" applyAlignment="1" applyBorder="1" applyFont="1">
      <alignment horizontal="center" shrinkToFit="0" vertical="center" wrapText="1"/>
    </xf>
    <xf borderId="9" fillId="6" fontId="4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6" fontId="4" numFmtId="0" xfId="0" applyAlignment="1" applyBorder="1" applyFont="1">
      <alignment horizontal="center" shrinkToFit="0" vertical="center" wrapText="1"/>
    </xf>
    <xf borderId="16" fillId="6" fontId="4" numFmtId="0" xfId="0" applyAlignment="1" applyBorder="1" applyFont="1">
      <alignment horizontal="center" shrinkToFit="0" vertical="center" wrapText="1"/>
    </xf>
    <xf borderId="17" fillId="6" fontId="4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15" fillId="6" fontId="4" numFmtId="0" xfId="0" applyAlignment="1" applyBorder="1" applyFont="1">
      <alignment horizontal="center" vertical="center"/>
    </xf>
    <xf borderId="16" fillId="6" fontId="4" numFmtId="0" xfId="0" applyAlignment="1" applyBorder="1" applyFont="1">
      <alignment horizontal="center" vertical="center"/>
    </xf>
    <xf borderId="17" fillId="6" fontId="4" numFmtId="0" xfId="0" applyAlignment="1" applyBorder="1" applyFont="1">
      <alignment horizontal="center" vertical="center"/>
    </xf>
    <xf borderId="16" fillId="7" fontId="4" numFmtId="0" xfId="0" applyAlignment="1" applyBorder="1" applyFill="1" applyFont="1">
      <alignment horizontal="center" vertical="center"/>
    </xf>
    <xf borderId="16" fillId="7" fontId="1" numFmtId="0" xfId="0" applyAlignment="1" applyBorder="1" applyFont="1">
      <alignment horizontal="center" shrinkToFit="0" vertical="center" wrapText="1"/>
    </xf>
    <xf borderId="21" fillId="7" fontId="1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22" fillId="7" fontId="4" numFmtId="0" xfId="0" applyAlignment="1" applyBorder="1" applyFont="1">
      <alignment horizontal="center" vertical="center"/>
    </xf>
    <xf borderId="23" fillId="0" fontId="3" numFmtId="0" xfId="0" applyAlignment="1" applyBorder="1" applyFont="1">
      <alignment vertical="center"/>
    </xf>
    <xf borderId="5" fillId="7" fontId="4" numFmtId="0" xfId="0" applyAlignment="1" applyBorder="1" applyFont="1">
      <alignment horizontal="center" shrinkToFit="0" vertical="center" wrapText="1"/>
    </xf>
    <xf borderId="16" fillId="7" fontId="4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16" fillId="0" fontId="2" numFmtId="164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readingOrder="0" vertical="center"/>
    </xf>
    <xf borderId="16" fillId="0" fontId="2" numFmtId="0" xfId="0" applyAlignment="1" applyBorder="1" applyFont="1">
      <alignment horizontal="center" readingOrder="0" shrinkToFit="0" vertical="center" wrapText="1"/>
    </xf>
    <xf borderId="19" fillId="0" fontId="2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5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vertical="center"/>
    </xf>
    <xf borderId="16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19" fillId="0" fontId="2" numFmtId="0" xfId="0" applyAlignment="1" applyBorder="1" applyFont="1">
      <alignment horizontal="center" vertical="center"/>
    </xf>
    <xf borderId="0" fillId="8" fontId="8" numFmtId="0" xfId="0" applyAlignment="1" applyFill="1" applyFont="1">
      <alignment horizontal="left" shrinkToFit="0" vertical="center" wrapText="1"/>
    </xf>
    <xf borderId="19" fillId="0" fontId="9" numFmtId="0" xfId="0" applyAlignment="1" applyBorder="1" applyFont="1">
      <alignment horizontal="center" vertical="center"/>
    </xf>
    <xf borderId="19" fillId="0" fontId="2" numFmtId="165" xfId="0" applyAlignment="1" applyBorder="1" applyFont="1" applyNumberForma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16" fillId="3" fontId="11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11" numFmtId="166" xfId="0" applyAlignment="1" applyFont="1" applyNumberFormat="1">
      <alignment vertical="center"/>
    </xf>
    <xf borderId="5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16" fillId="0" fontId="1" numFmtId="165" xfId="0" applyAlignment="1" applyBorder="1" applyFont="1" applyNumberFormat="1">
      <alignment horizontal="center" vertical="center"/>
    </xf>
    <xf borderId="16" fillId="0" fontId="8" numFmtId="165" xfId="0" applyAlignment="1" applyBorder="1" applyFont="1" applyNumberFormat="1">
      <alignment horizontal="center" vertical="center"/>
    </xf>
    <xf borderId="16" fillId="0" fontId="1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runch.co.kr/@liddel417/63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.71"/>
    <col customWidth="1" min="2" max="2" width="5.43"/>
    <col customWidth="1" min="3" max="3" width="13.0"/>
    <col customWidth="1" min="4" max="4" width="15.14"/>
    <col customWidth="1" min="5" max="5" width="19.57"/>
    <col customWidth="1" min="6" max="6" width="16.71"/>
    <col customWidth="1" min="7" max="7" width="21.14"/>
    <col customWidth="1" min="8" max="8" width="8.29"/>
    <col customWidth="1" min="9" max="9" width="6.86"/>
    <col customWidth="1" min="10" max="10" width="10.71"/>
    <col customWidth="1" min="11" max="11" width="10.57"/>
    <col customWidth="1" min="12" max="12" width="11.43"/>
    <col customWidth="1" min="13" max="14" width="12.43"/>
    <col customWidth="1" min="15" max="15" width="17.0"/>
    <col customWidth="1" min="16" max="16" width="16.14"/>
    <col customWidth="1" min="17" max="17" width="12.43"/>
    <col customWidth="1" min="18" max="18" width="53.71"/>
    <col customWidth="1" min="19" max="19" width="65.29"/>
    <col customWidth="1" min="20" max="20" width="13.43"/>
    <col customWidth="1" min="21" max="22" width="9.0"/>
    <col customWidth="1" min="23" max="24" width="8.71"/>
  </cols>
  <sheetData>
    <row r="1" ht="85.5" hidden="1" customHeight="1">
      <c r="A1" s="1"/>
      <c r="B1" s="2" t="s">
        <v>0</v>
      </c>
      <c r="U1" s="1"/>
      <c r="V1" s="3"/>
      <c r="W1" s="1"/>
      <c r="X1" s="1"/>
    </row>
    <row r="2" ht="33.75" customHeight="1">
      <c r="A2" s="4"/>
      <c r="B2" s="1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1"/>
      <c r="U2" s="1"/>
      <c r="V2" s="3"/>
      <c r="W2" s="1"/>
      <c r="X2" s="1"/>
    </row>
    <row r="3" ht="16.5" customHeight="1">
      <c r="A3" s="1"/>
      <c r="B3" s="1"/>
      <c r="C3" s="1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8"/>
      <c r="S3" s="1"/>
      <c r="T3" s="1"/>
      <c r="U3" s="1"/>
      <c r="V3" s="3"/>
      <c r="W3" s="1"/>
      <c r="X3" s="1"/>
    </row>
    <row r="4" ht="21.0" customHeight="1">
      <c r="A4" s="1"/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12" t="s">
        <v>2</v>
      </c>
      <c r="N4" s="13"/>
      <c r="O4" s="13"/>
      <c r="P4" s="13"/>
      <c r="Q4" s="13"/>
      <c r="R4" s="13"/>
      <c r="S4" s="14"/>
      <c r="T4" s="15" t="s">
        <v>3</v>
      </c>
      <c r="U4" s="1"/>
      <c r="V4" s="3"/>
      <c r="W4" s="1"/>
      <c r="X4" s="1"/>
    </row>
    <row r="5">
      <c r="A5" s="1"/>
      <c r="B5" s="16" t="s">
        <v>4</v>
      </c>
      <c r="C5" s="16" t="s">
        <v>5</v>
      </c>
      <c r="D5" s="17" t="s">
        <v>6</v>
      </c>
      <c r="E5" s="18" t="s">
        <v>7</v>
      </c>
      <c r="F5" s="17" t="s">
        <v>8</v>
      </c>
      <c r="G5" s="19" t="s">
        <v>9</v>
      </c>
      <c r="H5" s="18" t="s">
        <v>10</v>
      </c>
      <c r="I5" s="17" t="s">
        <v>11</v>
      </c>
      <c r="J5" s="17" t="s">
        <v>12</v>
      </c>
      <c r="K5" s="17" t="s">
        <v>13</v>
      </c>
      <c r="L5" s="20" t="s">
        <v>14</v>
      </c>
      <c r="M5" s="21" t="s">
        <v>15</v>
      </c>
      <c r="N5" s="22"/>
      <c r="O5" s="22"/>
      <c r="P5" s="22"/>
      <c r="Q5" s="23"/>
      <c r="R5" s="24" t="s">
        <v>16</v>
      </c>
      <c r="S5" s="25" t="s">
        <v>17</v>
      </c>
      <c r="T5" s="26"/>
      <c r="U5" s="1"/>
      <c r="V5" s="3"/>
      <c r="W5" s="1"/>
      <c r="X5" s="1"/>
    </row>
    <row r="6">
      <c r="A6" s="1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28" t="s">
        <v>18</v>
      </c>
      <c r="N6" s="29" t="s">
        <v>19</v>
      </c>
      <c r="O6" s="29" t="s">
        <v>20</v>
      </c>
      <c r="P6" s="29" t="s">
        <v>21</v>
      </c>
      <c r="Q6" s="30" t="s">
        <v>22</v>
      </c>
      <c r="R6" s="31"/>
      <c r="S6" s="26"/>
      <c r="T6" s="26"/>
      <c r="U6" s="1"/>
      <c r="V6" s="3"/>
      <c r="W6" s="1"/>
      <c r="X6" s="1"/>
    </row>
    <row r="7">
      <c r="A7" s="1"/>
      <c r="B7" s="32"/>
      <c r="C7" s="32"/>
      <c r="D7" s="32"/>
      <c r="E7" s="32"/>
      <c r="F7" s="32"/>
      <c r="G7" s="32"/>
      <c r="H7" s="32"/>
      <c r="I7" s="32"/>
      <c r="J7" s="32"/>
      <c r="K7" s="32"/>
      <c r="L7" s="33"/>
      <c r="M7" s="34">
        <f t="shared" ref="M7:Q7" si="1">COUNTA(M9:M283)</f>
        <v>11</v>
      </c>
      <c r="N7" s="35">
        <f t="shared" si="1"/>
        <v>9</v>
      </c>
      <c r="O7" s="35">
        <f t="shared" si="1"/>
        <v>33</v>
      </c>
      <c r="P7" s="35">
        <f t="shared" si="1"/>
        <v>1</v>
      </c>
      <c r="Q7" s="36">
        <f t="shared" si="1"/>
        <v>4</v>
      </c>
      <c r="R7" s="7"/>
      <c r="S7" s="32"/>
      <c r="T7" s="32"/>
      <c r="U7" s="1"/>
      <c r="V7" s="3"/>
      <c r="W7" s="1"/>
      <c r="X7" s="1"/>
    </row>
    <row r="8" ht="16.5" customHeight="1">
      <c r="A8" s="1"/>
      <c r="B8" s="37">
        <f t="shared" ref="B8:C8" si="2">COUNTA(B9:B283)</f>
        <v>185</v>
      </c>
      <c r="C8" s="37">
        <f t="shared" si="2"/>
        <v>72</v>
      </c>
      <c r="D8" s="38"/>
      <c r="E8" s="39"/>
      <c r="F8" s="38"/>
      <c r="G8" s="37">
        <f>COUNTA(G9:G283)</f>
        <v>70</v>
      </c>
      <c r="H8" s="37"/>
      <c r="I8" s="38"/>
      <c r="J8" s="38"/>
      <c r="K8" s="38"/>
      <c r="L8" s="40"/>
      <c r="M8" s="41">
        <f>SUM(M7:Q7)</f>
        <v>58</v>
      </c>
      <c r="N8" s="10"/>
      <c r="O8" s="10"/>
      <c r="P8" s="10"/>
      <c r="Q8" s="42"/>
      <c r="R8" s="43"/>
      <c r="S8" s="44"/>
      <c r="T8" s="38"/>
      <c r="U8" s="1"/>
      <c r="V8" s="3"/>
      <c r="W8" s="1"/>
      <c r="X8" s="1"/>
    </row>
    <row r="9" ht="30.0" customHeight="1">
      <c r="A9" s="1"/>
      <c r="B9" s="45">
        <f t="shared" ref="B9:B193" si="3">ROW()-8</f>
        <v>1</v>
      </c>
      <c r="C9" s="46">
        <v>46029.0</v>
      </c>
      <c r="D9" s="47" t="s">
        <v>23</v>
      </c>
      <c r="E9" s="48" t="s">
        <v>24</v>
      </c>
      <c r="F9" s="47" t="s">
        <v>25</v>
      </c>
      <c r="G9" s="48" t="s">
        <v>26</v>
      </c>
      <c r="H9" s="49"/>
      <c r="I9" s="49"/>
      <c r="J9" s="49"/>
      <c r="K9" s="49"/>
      <c r="L9" s="50"/>
      <c r="M9" s="51"/>
      <c r="N9" s="49"/>
      <c r="O9" s="47" t="s">
        <v>27</v>
      </c>
      <c r="P9" s="49"/>
      <c r="Q9" s="52"/>
      <c r="R9" s="53" t="s">
        <v>28</v>
      </c>
      <c r="S9" s="54" t="s">
        <v>29</v>
      </c>
      <c r="T9" s="55" t="s">
        <v>30</v>
      </c>
      <c r="U9" s="1"/>
      <c r="V9" s="3"/>
      <c r="W9" s="1"/>
      <c r="X9" s="1"/>
    </row>
    <row r="10" ht="40.5" customHeight="1">
      <c r="A10" s="1"/>
      <c r="B10" s="45">
        <f t="shared" si="3"/>
        <v>2</v>
      </c>
      <c r="C10" s="56">
        <v>45664.0</v>
      </c>
      <c r="D10" s="57"/>
      <c r="E10" s="58" t="s">
        <v>31</v>
      </c>
      <c r="F10" s="58" t="s">
        <v>32</v>
      </c>
      <c r="G10" s="58" t="s">
        <v>33</v>
      </c>
      <c r="H10" s="57"/>
      <c r="I10" s="57"/>
      <c r="J10" s="57"/>
      <c r="K10" s="57"/>
      <c r="L10" s="5"/>
      <c r="M10" s="59"/>
      <c r="N10" s="60"/>
      <c r="O10" s="61" t="s">
        <v>27</v>
      </c>
      <c r="P10" s="60"/>
      <c r="Q10" s="62"/>
      <c r="R10" s="63" t="s">
        <v>34</v>
      </c>
      <c r="S10" s="63" t="s">
        <v>35</v>
      </c>
      <c r="T10" s="55" t="s">
        <v>30</v>
      </c>
      <c r="U10" s="1"/>
      <c r="V10" s="3"/>
      <c r="W10" s="1"/>
      <c r="X10" s="1"/>
    </row>
    <row r="11" ht="40.5" customHeight="1">
      <c r="A11" s="1"/>
      <c r="B11" s="45">
        <f t="shared" si="3"/>
        <v>3</v>
      </c>
      <c r="C11" s="56">
        <v>46029.0</v>
      </c>
      <c r="D11" s="60"/>
      <c r="E11" s="61" t="s">
        <v>36</v>
      </c>
      <c r="F11" s="58" t="s">
        <v>37</v>
      </c>
      <c r="G11" s="58" t="s">
        <v>33</v>
      </c>
      <c r="H11" s="60"/>
      <c r="I11" s="60"/>
      <c r="J11" s="60"/>
      <c r="K11" s="60"/>
      <c r="L11" s="64"/>
      <c r="M11" s="65"/>
      <c r="N11" s="60"/>
      <c r="O11" s="61" t="s">
        <v>27</v>
      </c>
      <c r="P11" s="60"/>
      <c r="Q11" s="66"/>
      <c r="R11" s="63" t="s">
        <v>38</v>
      </c>
      <c r="S11" s="63" t="s">
        <v>39</v>
      </c>
      <c r="T11" s="55" t="s">
        <v>30</v>
      </c>
      <c r="U11" s="1"/>
      <c r="V11" s="3"/>
      <c r="W11" s="1"/>
      <c r="X11" s="1"/>
    </row>
    <row r="12">
      <c r="A12" s="1"/>
      <c r="B12" s="45">
        <f t="shared" si="3"/>
        <v>4</v>
      </c>
      <c r="C12" s="56">
        <v>46031.0</v>
      </c>
      <c r="D12" s="60"/>
      <c r="E12" s="58" t="s">
        <v>40</v>
      </c>
      <c r="F12" s="61" t="s">
        <v>41</v>
      </c>
      <c r="G12" s="58" t="s">
        <v>42</v>
      </c>
      <c r="H12" s="60"/>
      <c r="I12" s="57"/>
      <c r="J12" s="57"/>
      <c r="K12" s="57"/>
      <c r="L12" s="5"/>
      <c r="M12" s="59"/>
      <c r="N12" s="67"/>
      <c r="O12" s="60"/>
      <c r="P12" s="60"/>
      <c r="Q12" s="62"/>
      <c r="R12" s="63" t="s">
        <v>43</v>
      </c>
      <c r="S12" s="63" t="s">
        <v>44</v>
      </c>
      <c r="T12" s="68" t="s">
        <v>45</v>
      </c>
      <c r="U12" s="1"/>
      <c r="V12" s="3"/>
      <c r="W12" s="1"/>
      <c r="X12" s="1"/>
    </row>
    <row r="13">
      <c r="A13" s="1"/>
      <c r="B13" s="45">
        <f t="shared" si="3"/>
        <v>5</v>
      </c>
      <c r="C13" s="56">
        <v>46034.0</v>
      </c>
      <c r="D13" s="61" t="s">
        <v>46</v>
      </c>
      <c r="E13" s="58" t="s">
        <v>47</v>
      </c>
      <c r="F13" s="61" t="s">
        <v>48</v>
      </c>
      <c r="G13" s="58" t="s">
        <v>42</v>
      </c>
      <c r="H13" s="60"/>
      <c r="I13" s="57"/>
      <c r="J13" s="57"/>
      <c r="K13" s="60"/>
      <c r="L13" s="5"/>
      <c r="M13" s="59"/>
      <c r="N13" s="60"/>
      <c r="O13" s="60"/>
      <c r="P13" s="60"/>
      <c r="Q13" s="62"/>
      <c r="R13" s="63" t="s">
        <v>49</v>
      </c>
      <c r="S13" s="63" t="s">
        <v>50</v>
      </c>
      <c r="T13" s="68" t="s">
        <v>45</v>
      </c>
      <c r="U13" s="1"/>
      <c r="V13" s="3"/>
      <c r="W13" s="1"/>
      <c r="X13" s="1"/>
    </row>
    <row r="14" ht="30.0" customHeight="1">
      <c r="A14" s="1"/>
      <c r="B14" s="45">
        <f t="shared" si="3"/>
        <v>6</v>
      </c>
      <c r="C14" s="56">
        <v>46037.0</v>
      </c>
      <c r="D14" s="61"/>
      <c r="E14" s="58" t="s">
        <v>40</v>
      </c>
      <c r="F14" s="58" t="s">
        <v>51</v>
      </c>
      <c r="G14" s="58" t="s">
        <v>42</v>
      </c>
      <c r="H14" s="61" t="s">
        <v>52</v>
      </c>
      <c r="I14" s="58" t="s">
        <v>53</v>
      </c>
      <c r="J14" s="58" t="s">
        <v>54</v>
      </c>
      <c r="K14" s="58" t="s">
        <v>55</v>
      </c>
      <c r="L14" s="5"/>
      <c r="M14" s="59"/>
      <c r="N14" s="60"/>
      <c r="O14" s="61" t="s">
        <v>27</v>
      </c>
      <c r="P14" s="60"/>
      <c r="Q14" s="62"/>
      <c r="R14" s="63" t="s">
        <v>56</v>
      </c>
      <c r="S14" s="63" t="s">
        <v>57</v>
      </c>
      <c r="T14" s="68" t="s">
        <v>30</v>
      </c>
      <c r="U14" s="1"/>
      <c r="V14" s="3"/>
      <c r="W14" s="1"/>
      <c r="X14" s="1"/>
    </row>
    <row r="15" ht="30.0" customHeight="1">
      <c r="A15" s="1"/>
      <c r="B15" s="45">
        <f t="shared" si="3"/>
        <v>7</v>
      </c>
      <c r="C15" s="56">
        <v>46037.0</v>
      </c>
      <c r="D15" s="57"/>
      <c r="E15" s="58" t="s">
        <v>40</v>
      </c>
      <c r="F15" s="58" t="s">
        <v>58</v>
      </c>
      <c r="G15" s="58" t="s">
        <v>42</v>
      </c>
      <c r="H15" s="61" t="s">
        <v>59</v>
      </c>
      <c r="I15" s="58" t="s">
        <v>60</v>
      </c>
      <c r="J15" s="58" t="s">
        <v>61</v>
      </c>
      <c r="K15" s="57"/>
      <c r="L15" s="64"/>
      <c r="M15" s="65"/>
      <c r="N15" s="60"/>
      <c r="O15" s="58" t="s">
        <v>27</v>
      </c>
      <c r="P15" s="60"/>
      <c r="Q15" s="62"/>
      <c r="R15" s="63" t="s">
        <v>62</v>
      </c>
      <c r="S15" s="63" t="s">
        <v>63</v>
      </c>
      <c r="T15" s="68" t="s">
        <v>30</v>
      </c>
      <c r="U15" s="1"/>
      <c r="V15" s="3"/>
      <c r="W15" s="1"/>
      <c r="X15" s="1"/>
    </row>
    <row r="16" ht="30.0" customHeight="1">
      <c r="A16" s="1"/>
      <c r="B16" s="45">
        <f t="shared" si="3"/>
        <v>8</v>
      </c>
      <c r="C16" s="69">
        <v>46038.0</v>
      </c>
      <c r="D16" s="61" t="s">
        <v>64</v>
      </c>
      <c r="E16" s="61" t="s">
        <v>65</v>
      </c>
      <c r="F16" s="58" t="s">
        <v>66</v>
      </c>
      <c r="G16" s="58" t="s">
        <v>26</v>
      </c>
      <c r="H16" s="60"/>
      <c r="I16" s="60"/>
      <c r="J16" s="60"/>
      <c r="K16" s="60"/>
      <c r="L16" s="5"/>
      <c r="M16" s="59"/>
      <c r="N16" s="60"/>
      <c r="O16" s="61" t="s">
        <v>27</v>
      </c>
      <c r="P16" s="60"/>
      <c r="Q16" s="62"/>
      <c r="R16" s="63" t="s">
        <v>67</v>
      </c>
      <c r="S16" s="63" t="s">
        <v>68</v>
      </c>
      <c r="T16" s="68" t="s">
        <v>30</v>
      </c>
      <c r="U16" s="1"/>
      <c r="V16" s="3"/>
      <c r="W16" s="1"/>
      <c r="X16" s="1"/>
    </row>
    <row r="17" ht="30.0" customHeight="1">
      <c r="A17" s="1"/>
      <c r="B17" s="45">
        <f t="shared" si="3"/>
        <v>9</v>
      </c>
      <c r="C17" s="56">
        <v>46042.0</v>
      </c>
      <c r="D17" s="60"/>
      <c r="E17" s="58" t="s">
        <v>40</v>
      </c>
      <c r="F17" s="61" t="s">
        <v>69</v>
      </c>
      <c r="G17" s="58" t="s">
        <v>70</v>
      </c>
      <c r="H17" s="60"/>
      <c r="I17" s="60"/>
      <c r="J17" s="60"/>
      <c r="K17" s="60"/>
      <c r="L17" s="5"/>
      <c r="M17" s="70" t="s">
        <v>71</v>
      </c>
      <c r="N17" s="60"/>
      <c r="O17" s="60"/>
      <c r="P17" s="60"/>
      <c r="Q17" s="62"/>
      <c r="R17" s="63" t="s">
        <v>72</v>
      </c>
      <c r="S17" s="63" t="s">
        <v>73</v>
      </c>
      <c r="T17" s="68" t="s">
        <v>74</v>
      </c>
      <c r="U17" s="1"/>
      <c r="V17" s="3"/>
      <c r="W17" s="1"/>
      <c r="X17" s="1"/>
    </row>
    <row r="18" ht="30.0" customHeight="1">
      <c r="A18" s="1"/>
      <c r="B18" s="45">
        <f t="shared" si="3"/>
        <v>10</v>
      </c>
      <c r="C18" s="56">
        <v>46043.0</v>
      </c>
      <c r="D18" s="58" t="s">
        <v>75</v>
      </c>
      <c r="E18" s="58" t="s">
        <v>76</v>
      </c>
      <c r="F18" s="58" t="s">
        <v>77</v>
      </c>
      <c r="G18" s="58" t="s">
        <v>42</v>
      </c>
      <c r="H18" s="60"/>
      <c r="I18" s="60"/>
      <c r="J18" s="60"/>
      <c r="K18" s="60"/>
      <c r="L18" s="64"/>
      <c r="M18" s="65"/>
      <c r="N18" s="60"/>
      <c r="O18" s="58" t="s">
        <v>27</v>
      </c>
      <c r="P18" s="60"/>
      <c r="Q18" s="62"/>
      <c r="R18" s="63" t="s">
        <v>78</v>
      </c>
      <c r="S18" s="63" t="s">
        <v>79</v>
      </c>
      <c r="T18" s="68" t="s">
        <v>45</v>
      </c>
      <c r="U18" s="1"/>
      <c r="V18" s="3"/>
      <c r="W18" s="1"/>
      <c r="X18" s="1"/>
    </row>
    <row r="19" ht="30.0" customHeight="1">
      <c r="A19" s="1"/>
      <c r="B19" s="45">
        <f t="shared" si="3"/>
        <v>11</v>
      </c>
      <c r="C19" s="56">
        <v>46044.0</v>
      </c>
      <c r="D19" s="61" t="s">
        <v>80</v>
      </c>
      <c r="E19" s="61" t="s">
        <v>81</v>
      </c>
      <c r="F19" s="61" t="s">
        <v>82</v>
      </c>
      <c r="G19" s="58" t="s">
        <v>26</v>
      </c>
      <c r="H19" s="60"/>
      <c r="I19" s="61" t="s">
        <v>53</v>
      </c>
      <c r="J19" s="58" t="s">
        <v>83</v>
      </c>
      <c r="K19" s="61" t="s">
        <v>84</v>
      </c>
      <c r="L19" s="71" t="s">
        <v>85</v>
      </c>
      <c r="M19" s="70" t="s">
        <v>71</v>
      </c>
      <c r="N19" s="60"/>
      <c r="O19" s="61"/>
      <c r="P19" s="60"/>
      <c r="Q19" s="62"/>
      <c r="R19" s="63" t="s">
        <v>86</v>
      </c>
      <c r="S19" s="63" t="s">
        <v>87</v>
      </c>
      <c r="T19" s="68" t="s">
        <v>74</v>
      </c>
      <c r="U19" s="1"/>
      <c r="V19" s="3"/>
      <c r="W19" s="1"/>
      <c r="X19" s="1"/>
    </row>
    <row r="20" ht="30.0" customHeight="1">
      <c r="A20" s="1"/>
      <c r="B20" s="45">
        <f t="shared" si="3"/>
        <v>12</v>
      </c>
      <c r="C20" s="56">
        <v>46049.0</v>
      </c>
      <c r="D20" s="61" t="s">
        <v>88</v>
      </c>
      <c r="E20" s="57"/>
      <c r="F20" s="61" t="s">
        <v>89</v>
      </c>
      <c r="G20" s="58" t="s">
        <v>26</v>
      </c>
      <c r="H20" s="60"/>
      <c r="I20" s="60"/>
      <c r="J20" s="57"/>
      <c r="K20" s="57"/>
      <c r="L20" s="64"/>
      <c r="M20" s="59"/>
      <c r="N20" s="60"/>
      <c r="O20" s="60"/>
      <c r="P20" s="60"/>
      <c r="Q20" s="62"/>
      <c r="R20" s="63" t="s">
        <v>90</v>
      </c>
      <c r="S20" s="63" t="s">
        <v>91</v>
      </c>
      <c r="T20" s="68" t="s">
        <v>30</v>
      </c>
      <c r="U20" s="1"/>
      <c r="V20" s="3"/>
      <c r="W20" s="1"/>
      <c r="X20" s="1"/>
    </row>
    <row r="21" ht="30.0" customHeight="1">
      <c r="A21" s="1"/>
      <c r="B21" s="45">
        <f t="shared" si="3"/>
        <v>13</v>
      </c>
      <c r="C21" s="56">
        <v>46049.0</v>
      </c>
      <c r="D21" s="57"/>
      <c r="E21" s="58" t="s">
        <v>92</v>
      </c>
      <c r="F21" s="58" t="s">
        <v>93</v>
      </c>
      <c r="G21" s="58" t="s">
        <v>70</v>
      </c>
      <c r="H21" s="60"/>
      <c r="I21" s="60"/>
      <c r="J21" s="60"/>
      <c r="K21" s="60"/>
      <c r="L21" s="5"/>
      <c r="M21" s="59"/>
      <c r="N21" s="60"/>
      <c r="O21" s="60"/>
      <c r="P21" s="60"/>
      <c r="Q21" s="62"/>
      <c r="R21" s="63" t="s">
        <v>94</v>
      </c>
      <c r="S21" s="63" t="s">
        <v>95</v>
      </c>
      <c r="T21" s="68" t="s">
        <v>30</v>
      </c>
      <c r="U21" s="1"/>
      <c r="V21" s="3"/>
      <c r="W21" s="1"/>
      <c r="X21" s="1"/>
    </row>
    <row r="22" ht="30.0" customHeight="1">
      <c r="A22" s="1"/>
      <c r="B22" s="45">
        <f t="shared" si="3"/>
        <v>14</v>
      </c>
      <c r="C22" s="56">
        <v>46051.0</v>
      </c>
      <c r="D22" s="61" t="s">
        <v>96</v>
      </c>
      <c r="E22" s="61" t="s">
        <v>40</v>
      </c>
      <c r="F22" s="58" t="s">
        <v>97</v>
      </c>
      <c r="G22" s="58" t="s">
        <v>42</v>
      </c>
      <c r="H22" s="61" t="s">
        <v>98</v>
      </c>
      <c r="I22" s="61" t="s">
        <v>60</v>
      </c>
      <c r="J22" s="58" t="s">
        <v>99</v>
      </c>
      <c r="K22" s="61" t="s">
        <v>84</v>
      </c>
      <c r="L22" s="5"/>
      <c r="M22" s="59"/>
      <c r="N22" s="60"/>
      <c r="O22" s="60"/>
      <c r="P22" s="60"/>
      <c r="Q22" s="62"/>
      <c r="R22" s="63" t="s">
        <v>100</v>
      </c>
      <c r="S22" s="63" t="s">
        <v>101</v>
      </c>
      <c r="T22" s="68" t="s">
        <v>102</v>
      </c>
      <c r="U22" s="1"/>
      <c r="V22" s="3"/>
      <c r="W22" s="1"/>
      <c r="X22" s="1"/>
    </row>
    <row r="23" ht="30.0" customHeight="1">
      <c r="A23" s="1"/>
      <c r="B23" s="45">
        <f t="shared" si="3"/>
        <v>15</v>
      </c>
      <c r="C23" s="56">
        <v>46055.0</v>
      </c>
      <c r="D23" s="58" t="s">
        <v>103</v>
      </c>
      <c r="E23" s="57"/>
      <c r="F23" s="58" t="s">
        <v>104</v>
      </c>
      <c r="G23" s="58" t="s">
        <v>26</v>
      </c>
      <c r="H23" s="57"/>
      <c r="I23" s="57"/>
      <c r="J23" s="57"/>
      <c r="K23" s="60"/>
      <c r="L23" s="64"/>
      <c r="M23" s="65"/>
      <c r="N23" s="60"/>
      <c r="O23" s="58" t="s">
        <v>105</v>
      </c>
      <c r="P23" s="60"/>
      <c r="Q23" s="62"/>
      <c r="R23" s="63" t="s">
        <v>106</v>
      </c>
      <c r="S23" s="63" t="s">
        <v>107</v>
      </c>
      <c r="T23" s="68" t="s">
        <v>30</v>
      </c>
      <c r="U23" s="1"/>
      <c r="V23" s="3"/>
      <c r="W23" s="1"/>
      <c r="X23" s="1"/>
    </row>
    <row r="24" ht="30.0" customHeight="1">
      <c r="A24" s="1"/>
      <c r="B24" s="45">
        <f t="shared" si="3"/>
        <v>16</v>
      </c>
      <c r="C24" s="56">
        <v>46057.0</v>
      </c>
      <c r="D24" s="58" t="s">
        <v>108</v>
      </c>
      <c r="E24" s="58" t="s">
        <v>109</v>
      </c>
      <c r="F24" s="58" t="s">
        <v>110</v>
      </c>
      <c r="G24" s="58" t="s">
        <v>33</v>
      </c>
      <c r="H24" s="57"/>
      <c r="I24" s="57"/>
      <c r="J24" s="57"/>
      <c r="K24" s="60"/>
      <c r="L24" s="64"/>
      <c r="M24" s="65"/>
      <c r="N24" s="60"/>
      <c r="O24" s="58" t="s">
        <v>105</v>
      </c>
      <c r="P24" s="60"/>
      <c r="Q24" s="62"/>
      <c r="R24" s="63" t="s">
        <v>111</v>
      </c>
      <c r="S24" s="63" t="s">
        <v>112</v>
      </c>
      <c r="T24" s="68" t="s">
        <v>102</v>
      </c>
      <c r="U24" s="1"/>
      <c r="V24" s="3"/>
      <c r="W24" s="1"/>
      <c r="X24" s="1"/>
    </row>
    <row r="25" ht="30.0" customHeight="1">
      <c r="A25" s="1"/>
      <c r="B25" s="45">
        <f t="shared" si="3"/>
        <v>17</v>
      </c>
      <c r="C25" s="56">
        <v>46057.0</v>
      </c>
      <c r="D25" s="57"/>
      <c r="E25" s="58" t="s">
        <v>40</v>
      </c>
      <c r="F25" s="58" t="s">
        <v>113</v>
      </c>
      <c r="G25" s="58" t="s">
        <v>42</v>
      </c>
      <c r="H25" s="58" t="s">
        <v>114</v>
      </c>
      <c r="I25" s="58" t="s">
        <v>60</v>
      </c>
      <c r="J25" s="57"/>
      <c r="K25" s="60"/>
      <c r="L25" s="5"/>
      <c r="M25" s="59"/>
      <c r="N25" s="60"/>
      <c r="O25" s="61" t="s">
        <v>27</v>
      </c>
      <c r="P25" s="60"/>
      <c r="Q25" s="62"/>
      <c r="R25" s="63" t="s">
        <v>115</v>
      </c>
      <c r="S25" s="63" t="s">
        <v>116</v>
      </c>
      <c r="T25" s="68" t="s">
        <v>102</v>
      </c>
      <c r="U25" s="1"/>
      <c r="V25" s="3"/>
      <c r="W25" s="1"/>
      <c r="X25" s="1"/>
    </row>
    <row r="26" ht="30.0" customHeight="1">
      <c r="A26" s="1"/>
      <c r="B26" s="45">
        <f t="shared" si="3"/>
        <v>18</v>
      </c>
      <c r="C26" s="56">
        <v>46057.0</v>
      </c>
      <c r="D26" s="57"/>
      <c r="E26" s="61" t="s">
        <v>40</v>
      </c>
      <c r="F26" s="58" t="s">
        <v>117</v>
      </c>
      <c r="G26" s="58" t="s">
        <v>42</v>
      </c>
      <c r="H26" s="58" t="s">
        <v>118</v>
      </c>
      <c r="I26" s="58" t="s">
        <v>119</v>
      </c>
      <c r="J26" s="58" t="s">
        <v>99</v>
      </c>
      <c r="K26" s="58" t="s">
        <v>84</v>
      </c>
      <c r="L26" s="64"/>
      <c r="M26" s="72" t="s">
        <v>120</v>
      </c>
      <c r="N26" s="60"/>
      <c r="O26" s="57"/>
      <c r="P26" s="60"/>
      <c r="Q26" s="62"/>
      <c r="R26" s="63" t="s">
        <v>121</v>
      </c>
      <c r="S26" s="63" t="s">
        <v>122</v>
      </c>
      <c r="T26" s="68" t="s">
        <v>102</v>
      </c>
      <c r="U26" s="1"/>
      <c r="V26" s="3"/>
      <c r="W26" s="1"/>
      <c r="X26" s="1"/>
    </row>
    <row r="27" ht="30.0" customHeight="1">
      <c r="A27" s="1"/>
      <c r="B27" s="45">
        <f t="shared" si="3"/>
        <v>19</v>
      </c>
      <c r="C27" s="56">
        <v>46062.0</v>
      </c>
      <c r="D27" s="61"/>
      <c r="E27" s="57"/>
      <c r="F27" s="61" t="s">
        <v>123</v>
      </c>
      <c r="G27" s="58" t="s">
        <v>42</v>
      </c>
      <c r="H27" s="61" t="s">
        <v>124</v>
      </c>
      <c r="I27" s="61" t="s">
        <v>53</v>
      </c>
      <c r="J27" s="60"/>
      <c r="K27" s="60"/>
      <c r="L27" s="64"/>
      <c r="M27" s="72" t="s">
        <v>120</v>
      </c>
      <c r="N27" s="57"/>
      <c r="O27" s="60"/>
      <c r="P27" s="60"/>
      <c r="Q27" s="62"/>
      <c r="R27" s="63" t="s">
        <v>125</v>
      </c>
      <c r="S27" s="63" t="s">
        <v>126</v>
      </c>
      <c r="T27" s="68" t="s">
        <v>74</v>
      </c>
      <c r="U27" s="1"/>
      <c r="V27" s="3"/>
      <c r="W27" s="1"/>
      <c r="X27" s="1"/>
    </row>
    <row r="28" ht="30.0" customHeight="1">
      <c r="A28" s="1"/>
      <c r="B28" s="45">
        <f t="shared" si="3"/>
        <v>20</v>
      </c>
      <c r="C28" s="56">
        <v>46062.0</v>
      </c>
      <c r="D28" s="60"/>
      <c r="E28" s="58" t="s">
        <v>47</v>
      </c>
      <c r="F28" s="58" t="s">
        <v>127</v>
      </c>
      <c r="G28" s="58" t="s">
        <v>42</v>
      </c>
      <c r="H28" s="60"/>
      <c r="I28" s="60"/>
      <c r="J28" s="60"/>
      <c r="K28" s="60"/>
      <c r="L28" s="64"/>
      <c r="M28" s="59"/>
      <c r="N28" s="60"/>
      <c r="O28" s="61" t="s">
        <v>128</v>
      </c>
      <c r="P28" s="60"/>
      <c r="Q28" s="62"/>
      <c r="R28" s="63" t="s">
        <v>129</v>
      </c>
      <c r="S28" s="63" t="s">
        <v>130</v>
      </c>
      <c r="T28" s="68" t="s">
        <v>45</v>
      </c>
      <c r="U28" s="1"/>
      <c r="V28" s="3"/>
      <c r="W28" s="1"/>
      <c r="X28" s="1"/>
    </row>
    <row r="29" ht="30.0" customHeight="1">
      <c r="A29" s="1"/>
      <c r="B29" s="45">
        <f t="shared" si="3"/>
        <v>21</v>
      </c>
      <c r="C29" s="56">
        <v>46063.0</v>
      </c>
      <c r="D29" s="61" t="s">
        <v>131</v>
      </c>
      <c r="E29" s="58" t="s">
        <v>24</v>
      </c>
      <c r="F29" s="73" t="s">
        <v>132</v>
      </c>
      <c r="G29" s="58" t="s">
        <v>26</v>
      </c>
      <c r="H29" s="60"/>
      <c r="I29" s="60"/>
      <c r="J29" s="57"/>
      <c r="K29" s="60"/>
      <c r="L29" s="5"/>
      <c r="M29" s="59"/>
      <c r="N29" s="60"/>
      <c r="O29" s="61" t="s">
        <v>27</v>
      </c>
      <c r="P29" s="60"/>
      <c r="Q29" s="62"/>
      <c r="R29" s="63" t="s">
        <v>133</v>
      </c>
      <c r="S29" s="63" t="s">
        <v>134</v>
      </c>
      <c r="T29" s="68" t="s">
        <v>30</v>
      </c>
      <c r="U29" s="1"/>
      <c r="V29" s="3"/>
      <c r="W29" s="1"/>
      <c r="X29" s="1"/>
    </row>
    <row r="30" ht="30.0" customHeight="1">
      <c r="A30" s="1"/>
      <c r="B30" s="45">
        <f t="shared" si="3"/>
        <v>22</v>
      </c>
      <c r="C30" s="56">
        <v>46063.0</v>
      </c>
      <c r="D30" s="61" t="s">
        <v>114</v>
      </c>
      <c r="E30" s="58" t="s">
        <v>40</v>
      </c>
      <c r="F30" s="74" t="s">
        <v>113</v>
      </c>
      <c r="G30" s="58" t="s">
        <v>42</v>
      </c>
      <c r="H30" s="60"/>
      <c r="I30" s="60"/>
      <c r="J30" s="57"/>
      <c r="K30" s="60"/>
      <c r="L30" s="64"/>
      <c r="M30" s="65"/>
      <c r="N30" s="60"/>
      <c r="O30" s="61" t="s">
        <v>27</v>
      </c>
      <c r="P30" s="60"/>
      <c r="Q30" s="66"/>
      <c r="R30" s="63" t="s">
        <v>135</v>
      </c>
      <c r="S30" s="63" t="s">
        <v>136</v>
      </c>
      <c r="T30" s="68" t="s">
        <v>30</v>
      </c>
      <c r="U30" s="1"/>
      <c r="V30" s="3"/>
      <c r="W30" s="1"/>
      <c r="X30" s="1"/>
    </row>
    <row r="31" ht="30.0" customHeight="1">
      <c r="A31" s="1"/>
      <c r="B31" s="45">
        <f t="shared" si="3"/>
        <v>23</v>
      </c>
      <c r="C31" s="56">
        <v>46065.0</v>
      </c>
      <c r="D31" s="60"/>
      <c r="E31" s="60"/>
      <c r="F31" s="58" t="s">
        <v>137</v>
      </c>
      <c r="G31" s="58" t="s">
        <v>42</v>
      </c>
      <c r="H31" s="60"/>
      <c r="I31" s="60"/>
      <c r="J31" s="60"/>
      <c r="K31" s="60"/>
      <c r="L31" s="64"/>
      <c r="M31" s="65"/>
      <c r="N31" s="60"/>
      <c r="O31" s="58" t="s">
        <v>27</v>
      </c>
      <c r="P31" s="60"/>
      <c r="Q31" s="62"/>
      <c r="R31" s="63" t="s">
        <v>138</v>
      </c>
      <c r="S31" s="63" t="s">
        <v>139</v>
      </c>
      <c r="T31" s="68" t="s">
        <v>45</v>
      </c>
      <c r="U31" s="1"/>
      <c r="V31" s="3"/>
      <c r="W31" s="1"/>
      <c r="X31" s="1"/>
    </row>
    <row r="32" ht="30.0" customHeight="1">
      <c r="A32" s="1"/>
      <c r="B32" s="45">
        <f t="shared" si="3"/>
        <v>24</v>
      </c>
      <c r="C32" s="56">
        <v>46077.0</v>
      </c>
      <c r="D32" s="60"/>
      <c r="E32" s="58" t="s">
        <v>140</v>
      </c>
      <c r="F32" s="61" t="s">
        <v>141</v>
      </c>
      <c r="G32" s="58" t="s">
        <v>42</v>
      </c>
      <c r="H32" s="60"/>
      <c r="I32" s="60"/>
      <c r="J32" s="60"/>
      <c r="K32" s="60"/>
      <c r="L32" s="64"/>
      <c r="M32" s="59"/>
      <c r="N32" s="60"/>
      <c r="O32" s="60"/>
      <c r="P32" s="60"/>
      <c r="Q32" s="62"/>
      <c r="R32" s="63" t="s">
        <v>142</v>
      </c>
      <c r="S32" s="63" t="s">
        <v>143</v>
      </c>
      <c r="T32" s="68" t="s">
        <v>45</v>
      </c>
      <c r="U32" s="1"/>
      <c r="V32" s="3"/>
      <c r="W32" s="1"/>
      <c r="X32" s="1"/>
    </row>
    <row r="33" ht="30.0" customHeight="1">
      <c r="A33" s="1"/>
      <c r="B33" s="45">
        <f t="shared" si="3"/>
        <v>25</v>
      </c>
      <c r="C33" s="56">
        <v>46078.0</v>
      </c>
      <c r="D33" s="61" t="s">
        <v>144</v>
      </c>
      <c r="E33" s="58" t="s">
        <v>47</v>
      </c>
      <c r="F33" s="58" t="s">
        <v>145</v>
      </c>
      <c r="G33" s="58" t="s">
        <v>26</v>
      </c>
      <c r="H33" s="60"/>
      <c r="I33" s="60"/>
      <c r="J33" s="60"/>
      <c r="K33" s="60"/>
      <c r="L33" s="64"/>
      <c r="M33" s="65"/>
      <c r="N33" s="60"/>
      <c r="O33" s="60"/>
      <c r="P33" s="60"/>
      <c r="Q33" s="75" t="s">
        <v>146</v>
      </c>
      <c r="R33" s="63" t="s">
        <v>147</v>
      </c>
      <c r="S33" s="63" t="s">
        <v>148</v>
      </c>
      <c r="T33" s="68" t="s">
        <v>30</v>
      </c>
      <c r="U33" s="1"/>
      <c r="V33" s="3"/>
      <c r="W33" s="1"/>
      <c r="X33" s="1"/>
    </row>
    <row r="34" ht="30.0" customHeight="1">
      <c r="A34" s="1"/>
      <c r="B34" s="45">
        <f t="shared" si="3"/>
        <v>26</v>
      </c>
      <c r="C34" s="56">
        <v>46078.0</v>
      </c>
      <c r="D34" s="58" t="s">
        <v>149</v>
      </c>
      <c r="E34" s="58" t="s">
        <v>150</v>
      </c>
      <c r="F34" s="58" t="s">
        <v>151</v>
      </c>
      <c r="G34" s="58" t="s">
        <v>33</v>
      </c>
      <c r="H34" s="60"/>
      <c r="I34" s="60"/>
      <c r="J34" s="60"/>
      <c r="K34" s="60"/>
      <c r="L34" s="64"/>
      <c r="M34" s="72"/>
      <c r="N34" s="57"/>
      <c r="O34" s="61" t="s">
        <v>152</v>
      </c>
      <c r="P34" s="60"/>
      <c r="Q34" s="62"/>
      <c r="R34" s="63" t="s">
        <v>153</v>
      </c>
      <c r="S34" s="63" t="s">
        <v>154</v>
      </c>
      <c r="T34" s="68" t="s">
        <v>30</v>
      </c>
      <c r="U34" s="1"/>
      <c r="V34" s="3"/>
      <c r="W34" s="1"/>
      <c r="X34" s="1"/>
    </row>
    <row r="35" ht="30.0" customHeight="1">
      <c r="A35" s="1"/>
      <c r="B35" s="45">
        <f t="shared" si="3"/>
        <v>27</v>
      </c>
      <c r="C35" s="56">
        <v>46080.0</v>
      </c>
      <c r="D35" s="57"/>
      <c r="E35" s="58" t="s">
        <v>155</v>
      </c>
      <c r="F35" s="61" t="s">
        <v>156</v>
      </c>
      <c r="G35" s="58" t="s">
        <v>42</v>
      </c>
      <c r="H35" s="60"/>
      <c r="I35" s="60"/>
      <c r="J35" s="60"/>
      <c r="K35" s="60"/>
      <c r="L35" s="64"/>
      <c r="M35" s="65"/>
      <c r="N35" s="60"/>
      <c r="O35" s="61" t="s">
        <v>27</v>
      </c>
      <c r="P35" s="60"/>
      <c r="Q35" s="62"/>
      <c r="R35" s="63" t="s">
        <v>157</v>
      </c>
      <c r="S35" s="63" t="s">
        <v>158</v>
      </c>
      <c r="T35" s="68" t="s">
        <v>30</v>
      </c>
      <c r="U35" s="1"/>
      <c r="V35" s="3"/>
      <c r="W35" s="1"/>
      <c r="X35" s="1"/>
    </row>
    <row r="36" ht="31.5" customHeight="1">
      <c r="A36" s="1"/>
      <c r="B36" s="45">
        <f t="shared" si="3"/>
        <v>28</v>
      </c>
      <c r="C36" s="56">
        <v>46080.0</v>
      </c>
      <c r="D36" s="61" t="s">
        <v>75</v>
      </c>
      <c r="E36" s="61" t="s">
        <v>159</v>
      </c>
      <c r="F36" s="61" t="s">
        <v>77</v>
      </c>
      <c r="G36" s="58" t="s">
        <v>42</v>
      </c>
      <c r="H36" s="60"/>
      <c r="I36" s="61" t="s">
        <v>53</v>
      </c>
      <c r="J36" s="61" t="s">
        <v>99</v>
      </c>
      <c r="K36" s="61" t="s">
        <v>55</v>
      </c>
      <c r="L36" s="71" t="s">
        <v>160</v>
      </c>
      <c r="M36" s="65"/>
      <c r="N36" s="60"/>
      <c r="O36" s="61" t="s">
        <v>27</v>
      </c>
      <c r="P36" s="60"/>
      <c r="Q36" s="62"/>
      <c r="R36" s="63" t="s">
        <v>161</v>
      </c>
      <c r="S36" s="63" t="s">
        <v>162</v>
      </c>
      <c r="T36" s="68" t="s">
        <v>30</v>
      </c>
      <c r="U36" s="1"/>
      <c r="V36" s="3"/>
      <c r="W36" s="1"/>
      <c r="X36" s="1"/>
    </row>
    <row r="37" ht="32.25" customHeight="1">
      <c r="A37" s="1"/>
      <c r="B37" s="45">
        <f t="shared" si="3"/>
        <v>29</v>
      </c>
      <c r="C37" s="56">
        <v>46084.0</v>
      </c>
      <c r="D37" s="61" t="s">
        <v>163</v>
      </c>
      <c r="E37" s="58" t="s">
        <v>150</v>
      </c>
      <c r="F37" s="61" t="s">
        <v>164</v>
      </c>
      <c r="G37" s="58" t="s">
        <v>33</v>
      </c>
      <c r="H37" s="60"/>
      <c r="I37" s="60"/>
      <c r="J37" s="60"/>
      <c r="K37" s="60"/>
      <c r="L37" s="64"/>
      <c r="M37" s="65"/>
      <c r="N37" s="60"/>
      <c r="O37" s="60"/>
      <c r="P37" s="60"/>
      <c r="Q37" s="75" t="s">
        <v>165</v>
      </c>
      <c r="R37" s="63" t="s">
        <v>166</v>
      </c>
      <c r="S37" s="63" t="s">
        <v>167</v>
      </c>
      <c r="T37" s="68" t="s">
        <v>102</v>
      </c>
      <c r="U37" s="1"/>
      <c r="V37" s="3"/>
      <c r="W37" s="1"/>
      <c r="X37" s="1"/>
    </row>
    <row r="38" ht="41.25" customHeight="1">
      <c r="A38" s="1"/>
      <c r="B38" s="45">
        <f t="shared" si="3"/>
        <v>30</v>
      </c>
      <c r="C38" s="56">
        <v>46090.0</v>
      </c>
      <c r="D38" s="61" t="s">
        <v>168</v>
      </c>
      <c r="E38" s="58" t="s">
        <v>169</v>
      </c>
      <c r="F38" s="58" t="s">
        <v>170</v>
      </c>
      <c r="G38" s="58" t="s">
        <v>26</v>
      </c>
      <c r="H38" s="60"/>
      <c r="I38" s="61" t="s">
        <v>60</v>
      </c>
      <c r="J38" s="58" t="s">
        <v>61</v>
      </c>
      <c r="K38" s="58" t="s">
        <v>55</v>
      </c>
      <c r="L38" s="76" t="s">
        <v>160</v>
      </c>
      <c r="M38" s="65"/>
      <c r="N38" s="60"/>
      <c r="O38" s="61" t="s">
        <v>27</v>
      </c>
      <c r="P38" s="60"/>
      <c r="Q38" s="62"/>
      <c r="R38" s="63" t="s">
        <v>171</v>
      </c>
      <c r="S38" s="63" t="s">
        <v>172</v>
      </c>
      <c r="T38" s="68" t="s">
        <v>30</v>
      </c>
      <c r="U38" s="1"/>
      <c r="V38" s="3"/>
      <c r="W38" s="1"/>
      <c r="X38" s="1"/>
    </row>
    <row r="39" ht="42.0" customHeight="1">
      <c r="A39" s="1"/>
      <c r="B39" s="45">
        <f t="shared" si="3"/>
        <v>31</v>
      </c>
      <c r="C39" s="56">
        <v>46091.0</v>
      </c>
      <c r="D39" s="61" t="s">
        <v>173</v>
      </c>
      <c r="E39" s="58" t="s">
        <v>174</v>
      </c>
      <c r="F39" s="58" t="s">
        <v>175</v>
      </c>
      <c r="G39" s="58" t="s">
        <v>26</v>
      </c>
      <c r="H39" s="60"/>
      <c r="I39" s="61" t="s">
        <v>53</v>
      </c>
      <c r="J39" s="58" t="s">
        <v>61</v>
      </c>
      <c r="K39" s="61" t="s">
        <v>55</v>
      </c>
      <c r="L39" s="76" t="s">
        <v>85</v>
      </c>
      <c r="M39" s="59"/>
      <c r="N39" s="60"/>
      <c r="O39" s="61"/>
      <c r="P39" s="60"/>
      <c r="Q39" s="62"/>
      <c r="R39" s="63" t="s">
        <v>176</v>
      </c>
      <c r="S39" s="63" t="s">
        <v>177</v>
      </c>
      <c r="T39" s="68" t="s">
        <v>45</v>
      </c>
      <c r="U39" s="1"/>
      <c r="V39" s="3"/>
      <c r="W39" s="1"/>
      <c r="X39" s="1"/>
    </row>
    <row r="40" ht="36.75" customHeight="1">
      <c r="A40" s="1"/>
      <c r="B40" s="45">
        <f t="shared" si="3"/>
        <v>32</v>
      </c>
      <c r="C40" s="56">
        <v>46092.0</v>
      </c>
      <c r="D40" s="58" t="s">
        <v>178</v>
      </c>
      <c r="E40" s="61" t="s">
        <v>179</v>
      </c>
      <c r="F40" s="61" t="s">
        <v>180</v>
      </c>
      <c r="G40" s="58" t="s">
        <v>26</v>
      </c>
      <c r="H40" s="60"/>
      <c r="I40" s="61" t="s">
        <v>53</v>
      </c>
      <c r="J40" s="58" t="s">
        <v>61</v>
      </c>
      <c r="K40" s="58" t="s">
        <v>181</v>
      </c>
      <c r="L40" s="5"/>
      <c r="M40" s="65"/>
      <c r="N40" s="60"/>
      <c r="O40" s="60"/>
      <c r="P40" s="60"/>
      <c r="Q40" s="62"/>
      <c r="R40" s="63" t="s">
        <v>182</v>
      </c>
      <c r="S40" s="63" t="s">
        <v>183</v>
      </c>
      <c r="T40" s="68" t="s">
        <v>30</v>
      </c>
      <c r="U40" s="1"/>
      <c r="V40" s="3"/>
      <c r="W40" s="1"/>
      <c r="X40" s="1"/>
    </row>
    <row r="41" ht="30.0" customHeight="1">
      <c r="A41" s="1"/>
      <c r="B41" s="45">
        <f t="shared" si="3"/>
        <v>33</v>
      </c>
      <c r="C41" s="56">
        <v>46094.0</v>
      </c>
      <c r="D41" s="57"/>
      <c r="E41" s="61" t="s">
        <v>184</v>
      </c>
      <c r="F41" s="61" t="s">
        <v>185</v>
      </c>
      <c r="G41" s="58" t="s">
        <v>42</v>
      </c>
      <c r="H41" s="60"/>
      <c r="I41" s="61" t="s">
        <v>60</v>
      </c>
      <c r="J41" s="58" t="s">
        <v>186</v>
      </c>
      <c r="K41" s="58" t="s">
        <v>55</v>
      </c>
      <c r="L41" s="71" t="s">
        <v>85</v>
      </c>
      <c r="M41" s="72" t="s">
        <v>120</v>
      </c>
      <c r="N41" s="60"/>
      <c r="O41" s="60"/>
      <c r="P41" s="60"/>
      <c r="Q41" s="62"/>
      <c r="R41" s="63" t="s">
        <v>187</v>
      </c>
      <c r="S41" s="63" t="s">
        <v>188</v>
      </c>
      <c r="T41" s="68" t="s">
        <v>30</v>
      </c>
      <c r="U41" s="1"/>
      <c r="V41" s="3"/>
      <c r="W41" s="1"/>
      <c r="X41" s="1"/>
    </row>
    <row r="42" ht="30.0" customHeight="1">
      <c r="A42" s="1"/>
      <c r="B42" s="45">
        <f t="shared" si="3"/>
        <v>34</v>
      </c>
      <c r="C42" s="56">
        <v>46099.0</v>
      </c>
      <c r="D42" s="57"/>
      <c r="E42" s="58" t="s">
        <v>189</v>
      </c>
      <c r="F42" s="61" t="s">
        <v>190</v>
      </c>
      <c r="G42" s="58" t="s">
        <v>42</v>
      </c>
      <c r="H42" s="60"/>
      <c r="I42" s="61" t="s">
        <v>53</v>
      </c>
      <c r="J42" s="61" t="s">
        <v>61</v>
      </c>
      <c r="K42" s="61" t="s">
        <v>55</v>
      </c>
      <c r="L42" s="64"/>
      <c r="M42" s="59"/>
      <c r="N42" s="60"/>
      <c r="O42" s="60"/>
      <c r="P42" s="60"/>
      <c r="Q42" s="77" t="s">
        <v>191</v>
      </c>
      <c r="R42" s="63" t="s">
        <v>192</v>
      </c>
      <c r="S42" s="63" t="s">
        <v>193</v>
      </c>
      <c r="T42" s="68" t="s">
        <v>30</v>
      </c>
      <c r="U42" s="1"/>
      <c r="V42" s="3"/>
      <c r="W42" s="1"/>
      <c r="X42" s="1"/>
    </row>
    <row r="43" ht="30.0" customHeight="1">
      <c r="A43" s="1"/>
      <c r="B43" s="45">
        <f t="shared" si="3"/>
        <v>35</v>
      </c>
      <c r="C43" s="56">
        <v>46104.0</v>
      </c>
      <c r="D43" s="61" t="s">
        <v>194</v>
      </c>
      <c r="E43" s="61" t="s">
        <v>179</v>
      </c>
      <c r="F43" s="61" t="s">
        <v>195</v>
      </c>
      <c r="G43" s="58" t="s">
        <v>42</v>
      </c>
      <c r="H43" s="60"/>
      <c r="I43" s="61" t="s">
        <v>53</v>
      </c>
      <c r="J43" s="58" t="s">
        <v>99</v>
      </c>
      <c r="K43" s="60"/>
      <c r="L43" s="64"/>
      <c r="M43" s="65"/>
      <c r="N43" s="60"/>
      <c r="O43" s="60"/>
      <c r="P43" s="60"/>
      <c r="Q43" s="66"/>
      <c r="R43" s="63" t="s">
        <v>196</v>
      </c>
      <c r="S43" s="63" t="s">
        <v>197</v>
      </c>
      <c r="T43" s="68" t="s">
        <v>30</v>
      </c>
      <c r="U43" s="1"/>
      <c r="V43" s="3"/>
      <c r="W43" s="1"/>
      <c r="X43" s="1"/>
    </row>
    <row r="44" ht="26.25" customHeight="1">
      <c r="A44" s="1"/>
      <c r="B44" s="45">
        <f t="shared" si="3"/>
        <v>36</v>
      </c>
      <c r="C44" s="56">
        <v>46101.0</v>
      </c>
      <c r="D44" s="61" t="s">
        <v>198</v>
      </c>
      <c r="E44" s="58" t="s">
        <v>155</v>
      </c>
      <c r="F44" s="60"/>
      <c r="G44" s="58" t="s">
        <v>42</v>
      </c>
      <c r="H44" s="60"/>
      <c r="I44" s="61" t="s">
        <v>60</v>
      </c>
      <c r="J44" s="61" t="s">
        <v>99</v>
      </c>
      <c r="K44" s="60"/>
      <c r="L44" s="71" t="s">
        <v>160</v>
      </c>
      <c r="M44" s="59"/>
      <c r="N44" s="61" t="s">
        <v>71</v>
      </c>
      <c r="O44" s="60"/>
      <c r="P44" s="60"/>
      <c r="Q44" s="62"/>
      <c r="R44" s="63" t="s">
        <v>199</v>
      </c>
      <c r="S44" s="63" t="s">
        <v>200</v>
      </c>
      <c r="T44" s="68" t="s">
        <v>74</v>
      </c>
      <c r="U44" s="1"/>
      <c r="V44" s="3"/>
      <c r="W44" s="1"/>
      <c r="X44" s="1"/>
    </row>
    <row r="45" ht="30.0" customHeight="1">
      <c r="A45" s="1"/>
      <c r="B45" s="45">
        <f t="shared" si="3"/>
        <v>37</v>
      </c>
      <c r="C45" s="56">
        <v>46101.0</v>
      </c>
      <c r="D45" s="58" t="s">
        <v>201</v>
      </c>
      <c r="E45" s="58" t="s">
        <v>179</v>
      </c>
      <c r="F45" s="57"/>
      <c r="G45" s="58" t="s">
        <v>42</v>
      </c>
      <c r="H45" s="60"/>
      <c r="I45" s="61" t="s">
        <v>53</v>
      </c>
      <c r="J45" s="61" t="s">
        <v>99</v>
      </c>
      <c r="K45" s="60"/>
      <c r="L45" s="71" t="s">
        <v>202</v>
      </c>
      <c r="M45" s="65"/>
      <c r="N45" s="61" t="s">
        <v>203</v>
      </c>
      <c r="O45" s="60"/>
      <c r="P45" s="60"/>
      <c r="Q45" s="66"/>
      <c r="R45" s="63" t="s">
        <v>204</v>
      </c>
      <c r="S45" s="63" t="s">
        <v>205</v>
      </c>
      <c r="T45" s="68" t="s">
        <v>74</v>
      </c>
      <c r="U45" s="1"/>
      <c r="V45" s="3"/>
      <c r="W45" s="1"/>
      <c r="X45" s="1"/>
    </row>
    <row r="46" ht="30.0" customHeight="1">
      <c r="A46" s="1"/>
      <c r="B46" s="45">
        <f t="shared" si="3"/>
        <v>38</v>
      </c>
      <c r="C46" s="56">
        <v>46105.0</v>
      </c>
      <c r="D46" s="61" t="s">
        <v>206</v>
      </c>
      <c r="E46" s="58" t="s">
        <v>155</v>
      </c>
      <c r="F46" s="60"/>
      <c r="G46" s="58" t="s">
        <v>42</v>
      </c>
      <c r="H46" s="60"/>
      <c r="I46" s="61" t="s">
        <v>53</v>
      </c>
      <c r="J46" s="58" t="s">
        <v>99</v>
      </c>
      <c r="K46" s="60"/>
      <c r="L46" s="76" t="s">
        <v>160</v>
      </c>
      <c r="M46" s="59"/>
      <c r="N46" s="61" t="s">
        <v>71</v>
      </c>
      <c r="O46" s="60"/>
      <c r="P46" s="60"/>
      <c r="Q46" s="62"/>
      <c r="R46" s="63" t="s">
        <v>199</v>
      </c>
      <c r="S46" s="78" t="s">
        <v>200</v>
      </c>
      <c r="T46" s="68" t="s">
        <v>74</v>
      </c>
      <c r="U46" s="1"/>
      <c r="V46" s="3"/>
      <c r="W46" s="1"/>
      <c r="X46" s="1"/>
    </row>
    <row r="47" ht="30.0" customHeight="1">
      <c r="A47" s="1"/>
      <c r="B47" s="45">
        <f t="shared" si="3"/>
        <v>39</v>
      </c>
      <c r="C47" s="56">
        <v>46105.0</v>
      </c>
      <c r="D47" s="61" t="s">
        <v>207</v>
      </c>
      <c r="E47" s="58" t="s">
        <v>208</v>
      </c>
      <c r="F47" s="58" t="s">
        <v>209</v>
      </c>
      <c r="G47" s="58" t="s">
        <v>42</v>
      </c>
      <c r="H47" s="57"/>
      <c r="I47" s="61" t="s">
        <v>60</v>
      </c>
      <c r="J47" s="61" t="s">
        <v>210</v>
      </c>
      <c r="K47" s="60"/>
      <c r="L47" s="71" t="s">
        <v>160</v>
      </c>
      <c r="M47" s="59"/>
      <c r="N47" s="61" t="s">
        <v>203</v>
      </c>
      <c r="O47" s="60"/>
      <c r="P47" s="60"/>
      <c r="Q47" s="62"/>
      <c r="R47" s="63" t="s">
        <v>204</v>
      </c>
      <c r="S47" s="63" t="s">
        <v>211</v>
      </c>
      <c r="T47" s="68" t="s">
        <v>74</v>
      </c>
      <c r="U47" s="1"/>
      <c r="V47" s="3"/>
      <c r="W47" s="1"/>
      <c r="X47" s="1"/>
    </row>
    <row r="48" ht="30.0" customHeight="1">
      <c r="A48" s="1"/>
      <c r="B48" s="45">
        <f t="shared" si="3"/>
        <v>40</v>
      </c>
      <c r="C48" s="56">
        <v>46105.0</v>
      </c>
      <c r="D48" s="58" t="s">
        <v>212</v>
      </c>
      <c r="E48" s="61" t="s">
        <v>155</v>
      </c>
      <c r="F48" s="57"/>
      <c r="G48" s="58" t="s">
        <v>42</v>
      </c>
      <c r="H48" s="60"/>
      <c r="I48" s="61" t="s">
        <v>60</v>
      </c>
      <c r="J48" s="58" t="s">
        <v>99</v>
      </c>
      <c r="K48" s="57"/>
      <c r="L48" s="71" t="s">
        <v>160</v>
      </c>
      <c r="M48" s="65"/>
      <c r="N48" s="61" t="s">
        <v>71</v>
      </c>
      <c r="O48" s="60"/>
      <c r="P48" s="60"/>
      <c r="Q48" s="62"/>
      <c r="R48" s="63" t="s">
        <v>199</v>
      </c>
      <c r="S48" s="78" t="s">
        <v>200</v>
      </c>
      <c r="T48" s="68" t="s">
        <v>74</v>
      </c>
      <c r="U48" s="1"/>
      <c r="V48" s="3"/>
      <c r="W48" s="1"/>
      <c r="X48" s="1"/>
    </row>
    <row r="49" ht="30.0" customHeight="1">
      <c r="A49" s="1"/>
      <c r="B49" s="45">
        <f t="shared" si="3"/>
        <v>41</v>
      </c>
      <c r="C49" s="56">
        <v>46105.0</v>
      </c>
      <c r="D49" s="58" t="s">
        <v>213</v>
      </c>
      <c r="E49" s="58" t="s">
        <v>214</v>
      </c>
      <c r="F49" s="57"/>
      <c r="G49" s="58" t="s">
        <v>215</v>
      </c>
      <c r="H49" s="57"/>
      <c r="I49" s="58" t="s">
        <v>60</v>
      </c>
      <c r="J49" s="60"/>
      <c r="K49" s="60"/>
      <c r="L49" s="64"/>
      <c r="M49" s="65"/>
      <c r="N49" s="61" t="s">
        <v>71</v>
      </c>
      <c r="O49" s="57"/>
      <c r="P49" s="60"/>
      <c r="Q49" s="62"/>
      <c r="R49" s="63" t="s">
        <v>199</v>
      </c>
      <c r="S49" s="63" t="s">
        <v>200</v>
      </c>
      <c r="T49" s="68" t="s">
        <v>74</v>
      </c>
      <c r="U49" s="1"/>
      <c r="V49" s="3"/>
      <c r="W49" s="1"/>
      <c r="X49" s="1"/>
    </row>
    <row r="50" ht="30.0" customHeight="1">
      <c r="A50" s="1"/>
      <c r="B50" s="45">
        <f t="shared" si="3"/>
        <v>42</v>
      </c>
      <c r="C50" s="56">
        <v>46105.0</v>
      </c>
      <c r="D50" s="57"/>
      <c r="E50" s="61" t="s">
        <v>216</v>
      </c>
      <c r="F50" s="58" t="s">
        <v>217</v>
      </c>
      <c r="G50" s="58" t="s">
        <v>33</v>
      </c>
      <c r="H50" s="60"/>
      <c r="I50" s="61" t="s">
        <v>53</v>
      </c>
      <c r="J50" s="60"/>
      <c r="K50" s="60"/>
      <c r="L50" s="71" t="s">
        <v>85</v>
      </c>
      <c r="M50" s="72" t="s">
        <v>120</v>
      </c>
      <c r="N50" s="57"/>
      <c r="O50" s="60"/>
      <c r="P50" s="60"/>
      <c r="Q50" s="62"/>
      <c r="R50" s="63" t="s">
        <v>218</v>
      </c>
      <c r="S50" s="63" t="s">
        <v>219</v>
      </c>
      <c r="T50" s="68" t="s">
        <v>74</v>
      </c>
      <c r="U50" s="1"/>
      <c r="V50" s="3"/>
      <c r="W50" s="1"/>
      <c r="X50" s="1"/>
    </row>
    <row r="51" ht="57.75" customHeight="1">
      <c r="A51" s="1"/>
      <c r="B51" s="45">
        <f t="shared" si="3"/>
        <v>43</v>
      </c>
      <c r="C51" s="56">
        <v>46108.0</v>
      </c>
      <c r="D51" s="60"/>
      <c r="E51" s="58" t="s">
        <v>220</v>
      </c>
      <c r="F51" s="60"/>
      <c r="G51" s="58" t="s">
        <v>33</v>
      </c>
      <c r="H51" s="60"/>
      <c r="I51" s="60"/>
      <c r="J51" s="60"/>
      <c r="K51" s="60"/>
      <c r="L51" s="64"/>
      <c r="M51" s="59"/>
      <c r="N51" s="60"/>
      <c r="O51" s="61" t="s">
        <v>152</v>
      </c>
      <c r="P51" s="60"/>
      <c r="Q51" s="62"/>
      <c r="R51" s="63"/>
      <c r="S51" s="63" t="s">
        <v>221</v>
      </c>
      <c r="T51" s="68" t="s">
        <v>30</v>
      </c>
      <c r="U51" s="1"/>
      <c r="V51" s="3"/>
      <c r="W51" s="1"/>
      <c r="X51" s="1"/>
    </row>
    <row r="52" ht="30.0" customHeight="1">
      <c r="A52" s="1"/>
      <c r="B52" s="45">
        <f t="shared" si="3"/>
        <v>44</v>
      </c>
      <c r="C52" s="56">
        <v>46108.0</v>
      </c>
      <c r="D52" s="61" t="s">
        <v>222</v>
      </c>
      <c r="E52" s="61" t="s">
        <v>40</v>
      </c>
      <c r="F52" s="61" t="s">
        <v>223</v>
      </c>
      <c r="G52" s="58" t="s">
        <v>42</v>
      </c>
      <c r="H52" s="57"/>
      <c r="I52" s="60"/>
      <c r="J52" s="60"/>
      <c r="K52" s="60"/>
      <c r="L52" s="64"/>
      <c r="M52" s="65"/>
      <c r="N52" s="58" t="s">
        <v>71</v>
      </c>
      <c r="O52" s="60"/>
      <c r="P52" s="60"/>
      <c r="Q52" s="62"/>
      <c r="R52" s="63" t="s">
        <v>224</v>
      </c>
      <c r="S52" s="63" t="s">
        <v>225</v>
      </c>
      <c r="T52" s="68" t="s">
        <v>30</v>
      </c>
      <c r="U52" s="1"/>
      <c r="V52" s="3"/>
      <c r="W52" s="1"/>
      <c r="X52" s="1"/>
    </row>
    <row r="53" ht="30.0" customHeight="1">
      <c r="A53" s="1"/>
      <c r="B53" s="45">
        <f t="shared" si="3"/>
        <v>45</v>
      </c>
      <c r="C53" s="56">
        <v>46108.0</v>
      </c>
      <c r="D53" s="61" t="s">
        <v>226</v>
      </c>
      <c r="E53" s="61" t="s">
        <v>227</v>
      </c>
      <c r="F53" s="58" t="s">
        <v>228</v>
      </c>
      <c r="G53" s="78" t="s">
        <v>33</v>
      </c>
      <c r="H53" s="57"/>
      <c r="I53" s="60"/>
      <c r="J53" s="60"/>
      <c r="K53" s="60"/>
      <c r="L53" s="64"/>
      <c r="M53" s="65"/>
      <c r="N53" s="57"/>
      <c r="O53" s="61" t="s">
        <v>105</v>
      </c>
      <c r="P53" s="60"/>
      <c r="Q53" s="62"/>
      <c r="R53" s="63" t="s">
        <v>229</v>
      </c>
      <c r="S53" s="63" t="s">
        <v>230</v>
      </c>
      <c r="T53" s="68" t="s">
        <v>30</v>
      </c>
      <c r="U53" s="1"/>
      <c r="V53" s="3"/>
      <c r="W53" s="1"/>
      <c r="X53" s="1"/>
    </row>
    <row r="54" ht="30.0" customHeight="1">
      <c r="A54" s="1"/>
      <c r="B54" s="45">
        <f t="shared" si="3"/>
        <v>46</v>
      </c>
      <c r="C54" s="56">
        <v>46111.0</v>
      </c>
      <c r="D54" s="61" t="s">
        <v>231</v>
      </c>
      <c r="E54" s="58" t="s">
        <v>232</v>
      </c>
      <c r="F54" s="61" t="s">
        <v>233</v>
      </c>
      <c r="G54" s="58" t="s">
        <v>33</v>
      </c>
      <c r="H54" s="60"/>
      <c r="I54" s="60"/>
      <c r="J54" s="60"/>
      <c r="K54" s="60"/>
      <c r="L54" s="64"/>
      <c r="M54" s="65"/>
      <c r="N54" s="60"/>
      <c r="O54" s="61" t="s">
        <v>105</v>
      </c>
      <c r="P54" s="60"/>
      <c r="Q54" s="62"/>
      <c r="R54" s="63" t="s">
        <v>234</v>
      </c>
      <c r="S54" s="63" t="s">
        <v>235</v>
      </c>
      <c r="T54" s="79" t="s">
        <v>30</v>
      </c>
      <c r="U54" s="1"/>
      <c r="V54" s="3"/>
      <c r="W54" s="1"/>
      <c r="X54" s="1"/>
    </row>
    <row r="55">
      <c r="A55" s="1"/>
      <c r="B55" s="45">
        <f t="shared" si="3"/>
        <v>47</v>
      </c>
      <c r="C55" s="56">
        <v>46111.0</v>
      </c>
      <c r="D55" s="61" t="s">
        <v>236</v>
      </c>
      <c r="E55" s="58" t="s">
        <v>237</v>
      </c>
      <c r="F55" s="58" t="s">
        <v>238</v>
      </c>
      <c r="G55" s="58" t="s">
        <v>33</v>
      </c>
      <c r="H55" s="60"/>
      <c r="I55" s="60"/>
      <c r="J55" s="60"/>
      <c r="K55" s="60"/>
      <c r="L55" s="64"/>
      <c r="M55" s="65"/>
      <c r="N55" s="60"/>
      <c r="O55" s="61" t="s">
        <v>27</v>
      </c>
      <c r="P55" s="60"/>
      <c r="Q55" s="66"/>
      <c r="R55" s="63" t="s">
        <v>239</v>
      </c>
      <c r="S55" s="63" t="s">
        <v>240</v>
      </c>
      <c r="T55" s="68" t="s">
        <v>30</v>
      </c>
      <c r="U55" s="1"/>
      <c r="V55" s="3"/>
      <c r="W55" s="1"/>
      <c r="X55" s="1"/>
    </row>
    <row r="56" ht="30.0" customHeight="1">
      <c r="A56" s="1"/>
      <c r="B56" s="45">
        <f t="shared" si="3"/>
        <v>48</v>
      </c>
      <c r="C56" s="56">
        <v>46111.0</v>
      </c>
      <c r="D56" s="57"/>
      <c r="E56" s="58" t="s">
        <v>241</v>
      </c>
      <c r="F56" s="57"/>
      <c r="G56" s="58" t="s">
        <v>215</v>
      </c>
      <c r="H56" s="60"/>
      <c r="I56" s="60"/>
      <c r="J56" s="60"/>
      <c r="K56" s="60"/>
      <c r="L56" s="64"/>
      <c r="M56" s="65"/>
      <c r="N56" s="61" t="s">
        <v>71</v>
      </c>
      <c r="O56" s="57"/>
      <c r="P56" s="60"/>
      <c r="Q56" s="62"/>
      <c r="R56" s="63" t="s">
        <v>242</v>
      </c>
      <c r="S56" s="63" t="s">
        <v>243</v>
      </c>
      <c r="T56" s="68" t="s">
        <v>74</v>
      </c>
      <c r="U56" s="1"/>
      <c r="V56" s="3"/>
      <c r="W56" s="1"/>
      <c r="X56" s="1"/>
    </row>
    <row r="57" ht="30.0" customHeight="1">
      <c r="A57" s="1"/>
      <c r="B57" s="45">
        <f t="shared" si="3"/>
        <v>49</v>
      </c>
      <c r="C57" s="56">
        <v>46112.0</v>
      </c>
      <c r="D57" s="58" t="s">
        <v>244</v>
      </c>
      <c r="E57" s="58" t="s">
        <v>40</v>
      </c>
      <c r="F57" s="58" t="s">
        <v>245</v>
      </c>
      <c r="G57" s="58" t="s">
        <v>42</v>
      </c>
      <c r="H57" s="60"/>
      <c r="I57" s="60"/>
      <c r="J57" s="60"/>
      <c r="K57" s="60"/>
      <c r="L57" s="64"/>
      <c r="M57" s="65"/>
      <c r="N57" s="60"/>
      <c r="O57" s="61" t="s">
        <v>27</v>
      </c>
      <c r="P57" s="60"/>
      <c r="Q57" s="66"/>
      <c r="R57" s="63" t="s">
        <v>246</v>
      </c>
      <c r="S57" s="63" t="s">
        <v>247</v>
      </c>
      <c r="T57" s="68" t="s">
        <v>74</v>
      </c>
      <c r="U57" s="1"/>
      <c r="V57" s="3"/>
      <c r="W57" s="1"/>
      <c r="X57" s="1"/>
    </row>
    <row r="58" ht="30.0" customHeight="1">
      <c r="A58" s="1"/>
      <c r="B58" s="45">
        <f t="shared" si="3"/>
        <v>50</v>
      </c>
      <c r="C58" s="56">
        <v>46112.0</v>
      </c>
      <c r="D58" s="58" t="s">
        <v>248</v>
      </c>
      <c r="E58" s="61" t="s">
        <v>47</v>
      </c>
      <c r="F58" s="61" t="s">
        <v>249</v>
      </c>
      <c r="G58" s="58" t="s">
        <v>42</v>
      </c>
      <c r="H58" s="60"/>
      <c r="I58" s="60"/>
      <c r="J58" s="60"/>
      <c r="K58" s="60"/>
      <c r="L58" s="64"/>
      <c r="M58" s="59"/>
      <c r="N58" s="60"/>
      <c r="O58" s="61" t="s">
        <v>105</v>
      </c>
      <c r="P58" s="60"/>
      <c r="Q58" s="62"/>
      <c r="R58" s="63" t="s">
        <v>250</v>
      </c>
      <c r="S58" s="63" t="s">
        <v>251</v>
      </c>
      <c r="T58" s="68" t="s">
        <v>45</v>
      </c>
      <c r="U58" s="1"/>
      <c r="V58" s="3"/>
      <c r="W58" s="1"/>
      <c r="X58" s="1"/>
    </row>
    <row r="59" ht="41.25" customHeight="1">
      <c r="A59" s="1"/>
      <c r="B59" s="45">
        <f t="shared" si="3"/>
        <v>51</v>
      </c>
      <c r="C59" s="56">
        <v>46121.0</v>
      </c>
      <c r="D59" s="60"/>
      <c r="E59" s="61" t="s">
        <v>252</v>
      </c>
      <c r="F59" s="58" t="s">
        <v>253</v>
      </c>
      <c r="G59" s="58" t="s">
        <v>70</v>
      </c>
      <c r="H59" s="57"/>
      <c r="I59" s="60"/>
      <c r="J59" s="60"/>
      <c r="K59" s="60"/>
      <c r="L59" s="64"/>
      <c r="M59" s="59"/>
      <c r="N59" s="60"/>
      <c r="O59" s="61" t="s">
        <v>254</v>
      </c>
      <c r="P59" s="60"/>
      <c r="Q59" s="62"/>
      <c r="R59" s="63" t="s">
        <v>255</v>
      </c>
      <c r="S59" s="63" t="s">
        <v>256</v>
      </c>
      <c r="T59" s="68" t="s">
        <v>74</v>
      </c>
      <c r="U59" s="1"/>
      <c r="V59" s="3"/>
      <c r="W59" s="1"/>
      <c r="X59" s="1"/>
    </row>
    <row r="60" ht="26.25" customHeight="1">
      <c r="A60" s="1"/>
      <c r="B60" s="45">
        <f t="shared" si="3"/>
        <v>52</v>
      </c>
      <c r="C60" s="56">
        <v>46122.0</v>
      </c>
      <c r="D60" s="58" t="s">
        <v>257</v>
      </c>
      <c r="E60" s="58" t="s">
        <v>258</v>
      </c>
      <c r="F60" s="61" t="s">
        <v>259</v>
      </c>
      <c r="G60" s="57"/>
      <c r="H60" s="60"/>
      <c r="I60" s="60"/>
      <c r="J60" s="60"/>
      <c r="K60" s="60"/>
      <c r="L60" s="64"/>
      <c r="M60" s="59"/>
      <c r="N60" s="60"/>
      <c r="O60" s="61" t="s">
        <v>27</v>
      </c>
      <c r="P60" s="60"/>
      <c r="Q60" s="62"/>
      <c r="R60" s="63" t="s">
        <v>260</v>
      </c>
      <c r="S60" s="63" t="s">
        <v>261</v>
      </c>
      <c r="T60" s="68" t="s">
        <v>45</v>
      </c>
      <c r="U60" s="1"/>
      <c r="V60" s="3"/>
      <c r="W60" s="1"/>
      <c r="X60" s="1"/>
    </row>
    <row r="61" ht="30.0" customHeight="1">
      <c r="A61" s="1"/>
      <c r="B61" s="45">
        <f t="shared" si="3"/>
        <v>53</v>
      </c>
      <c r="C61" s="56">
        <v>46122.0</v>
      </c>
      <c r="D61" s="80"/>
      <c r="E61" s="58" t="s">
        <v>262</v>
      </c>
      <c r="F61" s="58" t="s">
        <v>263</v>
      </c>
      <c r="G61" s="58" t="s">
        <v>215</v>
      </c>
      <c r="H61" s="57"/>
      <c r="I61" s="57"/>
      <c r="J61" s="57"/>
      <c r="K61" s="57"/>
      <c r="L61" s="64"/>
      <c r="M61" s="65"/>
      <c r="N61" s="60"/>
      <c r="O61" s="58" t="s">
        <v>22</v>
      </c>
      <c r="P61" s="60"/>
      <c r="Q61" s="62"/>
      <c r="R61" s="63" t="s">
        <v>264</v>
      </c>
      <c r="S61" s="78" t="s">
        <v>265</v>
      </c>
      <c r="T61" s="79" t="s">
        <v>74</v>
      </c>
      <c r="U61" s="1"/>
      <c r="V61" s="3"/>
      <c r="W61" s="1"/>
      <c r="X61" s="1"/>
    </row>
    <row r="62" ht="16.5" customHeight="1">
      <c r="A62" s="1"/>
      <c r="B62" s="45">
        <f t="shared" si="3"/>
        <v>54</v>
      </c>
      <c r="C62" s="56">
        <v>46125.0</v>
      </c>
      <c r="D62" s="57"/>
      <c r="E62" s="58" t="s">
        <v>81</v>
      </c>
      <c r="F62" s="61" t="s">
        <v>266</v>
      </c>
      <c r="G62" s="58" t="s">
        <v>26</v>
      </c>
      <c r="H62" s="60"/>
      <c r="I62" s="60"/>
      <c r="J62" s="60"/>
      <c r="K62" s="60"/>
      <c r="L62" s="64"/>
      <c r="M62" s="65"/>
      <c r="N62" s="60"/>
      <c r="O62" s="58" t="s">
        <v>152</v>
      </c>
      <c r="P62" s="60"/>
      <c r="Q62" s="62"/>
      <c r="R62" s="63" t="s">
        <v>267</v>
      </c>
      <c r="S62" s="63" t="s">
        <v>268</v>
      </c>
      <c r="T62" s="68" t="s">
        <v>74</v>
      </c>
      <c r="U62" s="1"/>
      <c r="V62" s="3"/>
      <c r="W62" s="1"/>
      <c r="X62" s="1"/>
    </row>
    <row r="63" ht="28.5" customHeight="1">
      <c r="A63" s="1"/>
      <c r="B63" s="45">
        <f t="shared" si="3"/>
        <v>55</v>
      </c>
      <c r="C63" s="56">
        <v>46125.0</v>
      </c>
      <c r="D63" s="57"/>
      <c r="E63" s="58" t="s">
        <v>269</v>
      </c>
      <c r="F63" s="61" t="s">
        <v>270</v>
      </c>
      <c r="G63" s="58" t="s">
        <v>33</v>
      </c>
      <c r="H63" s="60"/>
      <c r="I63" s="60"/>
      <c r="J63" s="57"/>
      <c r="K63" s="57"/>
      <c r="L63" s="5"/>
      <c r="M63" s="65"/>
      <c r="N63" s="60"/>
      <c r="O63" s="58" t="s">
        <v>271</v>
      </c>
      <c r="P63" s="60"/>
      <c r="Q63" s="62"/>
      <c r="R63" s="63" t="s">
        <v>272</v>
      </c>
      <c r="S63" s="63" t="s">
        <v>273</v>
      </c>
      <c r="T63" s="68" t="s">
        <v>74</v>
      </c>
      <c r="U63" s="1"/>
      <c r="V63" s="3"/>
      <c r="W63" s="1"/>
      <c r="X63" s="1"/>
    </row>
    <row r="64" ht="30.0" customHeight="1">
      <c r="A64" s="1"/>
      <c r="B64" s="45">
        <f t="shared" si="3"/>
        <v>56</v>
      </c>
      <c r="C64" s="56">
        <v>46127.0</v>
      </c>
      <c r="D64" s="78" t="s">
        <v>274</v>
      </c>
      <c r="E64" s="61" t="s">
        <v>47</v>
      </c>
      <c r="F64" s="61" t="s">
        <v>275</v>
      </c>
      <c r="G64" s="58" t="s">
        <v>26</v>
      </c>
      <c r="H64" s="60"/>
      <c r="I64" s="60"/>
      <c r="J64" s="60"/>
      <c r="K64" s="60"/>
      <c r="L64" s="64"/>
      <c r="M64" s="70" t="s">
        <v>71</v>
      </c>
      <c r="N64" s="60"/>
      <c r="O64" s="61"/>
      <c r="P64" s="60"/>
      <c r="Q64" s="62"/>
      <c r="R64" s="63" t="s">
        <v>276</v>
      </c>
      <c r="S64" s="63" t="s">
        <v>277</v>
      </c>
      <c r="T64" s="68" t="s">
        <v>74</v>
      </c>
      <c r="U64" s="1"/>
      <c r="V64" s="3"/>
      <c r="W64" s="1"/>
      <c r="X64" s="1"/>
    </row>
    <row r="65" ht="30.0" customHeight="1">
      <c r="A65" s="1"/>
      <c r="B65" s="45">
        <f t="shared" si="3"/>
        <v>57</v>
      </c>
      <c r="C65" s="56">
        <v>46129.0</v>
      </c>
      <c r="D65" s="58" t="s">
        <v>278</v>
      </c>
      <c r="E65" s="58" t="s">
        <v>47</v>
      </c>
      <c r="F65" s="61" t="s">
        <v>279</v>
      </c>
      <c r="G65" s="58" t="s">
        <v>26</v>
      </c>
      <c r="H65" s="61" t="s">
        <v>278</v>
      </c>
      <c r="I65" s="61" t="s">
        <v>53</v>
      </c>
      <c r="J65" s="58" t="s">
        <v>83</v>
      </c>
      <c r="K65" s="58" t="s">
        <v>84</v>
      </c>
      <c r="L65" s="76" t="s">
        <v>160</v>
      </c>
      <c r="M65" s="65"/>
      <c r="N65" s="60"/>
      <c r="O65" s="58" t="s">
        <v>27</v>
      </c>
      <c r="P65" s="60"/>
      <c r="Q65" s="62"/>
      <c r="R65" s="63" t="s">
        <v>280</v>
      </c>
      <c r="S65" s="63" t="s">
        <v>281</v>
      </c>
      <c r="T65" s="68" t="s">
        <v>102</v>
      </c>
      <c r="U65" s="1"/>
      <c r="V65" s="3"/>
      <c r="W65" s="1"/>
      <c r="X65" s="1"/>
    </row>
    <row r="66" ht="30.0" customHeight="1">
      <c r="A66" s="1"/>
      <c r="B66" s="45">
        <f t="shared" si="3"/>
        <v>58</v>
      </c>
      <c r="C66" s="56">
        <v>46132.0</v>
      </c>
      <c r="D66" s="57"/>
      <c r="E66" s="58" t="s">
        <v>47</v>
      </c>
      <c r="F66" s="61" t="s">
        <v>282</v>
      </c>
      <c r="G66" s="58" t="s">
        <v>33</v>
      </c>
      <c r="H66" s="57"/>
      <c r="I66" s="57"/>
      <c r="J66" s="57"/>
      <c r="K66" s="60"/>
      <c r="L66" s="5"/>
      <c r="M66" s="65"/>
      <c r="N66" s="60"/>
      <c r="O66" s="57"/>
      <c r="P66" s="60"/>
      <c r="Q66" s="62"/>
      <c r="R66" s="63" t="s">
        <v>283</v>
      </c>
      <c r="S66" s="63" t="s">
        <v>284</v>
      </c>
      <c r="T66" s="68" t="s">
        <v>45</v>
      </c>
      <c r="U66" s="1"/>
      <c r="V66" s="3"/>
      <c r="W66" s="1"/>
      <c r="X66" s="1"/>
    </row>
    <row r="67" ht="23.25" customHeight="1">
      <c r="A67" s="1"/>
      <c r="B67" s="45">
        <f t="shared" si="3"/>
        <v>59</v>
      </c>
      <c r="C67" s="56">
        <v>46133.0</v>
      </c>
      <c r="D67" s="58" t="s">
        <v>285</v>
      </c>
      <c r="E67" s="57"/>
      <c r="F67" s="58" t="s">
        <v>286</v>
      </c>
      <c r="G67" s="57"/>
      <c r="H67" s="57"/>
      <c r="I67" s="57"/>
      <c r="J67" s="57"/>
      <c r="K67" s="57"/>
      <c r="L67" s="5"/>
      <c r="M67" s="65"/>
      <c r="N67" s="60"/>
      <c r="O67" s="57"/>
      <c r="P67" s="60"/>
      <c r="Q67" s="62"/>
      <c r="R67" s="81"/>
      <c r="S67" s="81"/>
      <c r="T67" s="82"/>
      <c r="U67" s="1"/>
      <c r="V67" s="3"/>
      <c r="W67" s="1"/>
      <c r="X67" s="1"/>
    </row>
    <row r="68" ht="47.25" customHeight="1">
      <c r="A68" s="1"/>
      <c r="B68" s="45">
        <f t="shared" si="3"/>
        <v>60</v>
      </c>
      <c r="C68" s="56">
        <v>46135.0</v>
      </c>
      <c r="D68" s="78" t="s">
        <v>287</v>
      </c>
      <c r="E68" s="58" t="s">
        <v>288</v>
      </c>
      <c r="F68" s="58" t="s">
        <v>289</v>
      </c>
      <c r="G68" s="58" t="s">
        <v>42</v>
      </c>
      <c r="H68" s="58" t="s">
        <v>290</v>
      </c>
      <c r="I68" s="58" t="s">
        <v>60</v>
      </c>
      <c r="J68" s="58" t="s">
        <v>61</v>
      </c>
      <c r="K68" s="58" t="s">
        <v>291</v>
      </c>
      <c r="L68" s="5"/>
      <c r="M68" s="59"/>
      <c r="N68" s="60"/>
      <c r="O68" s="60"/>
      <c r="P68" s="60"/>
      <c r="Q68" s="62"/>
      <c r="R68" s="63" t="s">
        <v>292</v>
      </c>
      <c r="S68" s="63" t="s">
        <v>293</v>
      </c>
      <c r="T68" s="68" t="s">
        <v>102</v>
      </c>
      <c r="U68" s="1"/>
      <c r="V68" s="3"/>
      <c r="W68" s="1"/>
      <c r="X68" s="1"/>
    </row>
    <row r="69" ht="16.5" customHeight="1">
      <c r="A69" s="1"/>
      <c r="B69" s="45">
        <f t="shared" si="3"/>
        <v>61</v>
      </c>
      <c r="C69" s="56">
        <v>46135.0</v>
      </c>
      <c r="D69" s="58"/>
      <c r="E69" s="58" t="s">
        <v>47</v>
      </c>
      <c r="F69" s="58" t="s">
        <v>294</v>
      </c>
      <c r="G69" s="58" t="s">
        <v>42</v>
      </c>
      <c r="H69" s="61" t="s">
        <v>295</v>
      </c>
      <c r="I69" s="61" t="s">
        <v>53</v>
      </c>
      <c r="J69" s="57"/>
      <c r="K69" s="57"/>
      <c r="L69" s="5"/>
      <c r="M69" s="72" t="s">
        <v>71</v>
      </c>
      <c r="N69" s="60"/>
      <c r="O69" s="60"/>
      <c r="P69" s="60"/>
      <c r="Q69" s="62"/>
      <c r="R69" s="63" t="s">
        <v>296</v>
      </c>
      <c r="S69" s="63" t="s">
        <v>297</v>
      </c>
      <c r="T69" s="68" t="s">
        <v>74</v>
      </c>
      <c r="U69" s="1"/>
      <c r="V69" s="3"/>
      <c r="W69" s="1"/>
      <c r="X69" s="1"/>
    </row>
    <row r="70" ht="30.0" customHeight="1">
      <c r="A70" s="1"/>
      <c r="B70" s="45">
        <f t="shared" si="3"/>
        <v>62</v>
      </c>
      <c r="C70" s="56">
        <v>46135.0</v>
      </c>
      <c r="D70" s="57"/>
      <c r="E70" s="58" t="s">
        <v>47</v>
      </c>
      <c r="F70" s="58" t="s">
        <v>298</v>
      </c>
      <c r="G70" s="58" t="s">
        <v>42</v>
      </c>
      <c r="H70" s="60"/>
      <c r="I70" s="60"/>
      <c r="J70" s="60"/>
      <c r="K70" s="60"/>
      <c r="L70" s="64"/>
      <c r="M70" s="59"/>
      <c r="N70" s="60"/>
      <c r="O70" s="61" t="s">
        <v>27</v>
      </c>
      <c r="P70" s="60"/>
      <c r="Q70" s="62"/>
      <c r="R70" s="63" t="s">
        <v>299</v>
      </c>
      <c r="S70" s="63" t="s">
        <v>300</v>
      </c>
      <c r="T70" s="68" t="s">
        <v>74</v>
      </c>
      <c r="U70" s="1"/>
      <c r="V70" s="3"/>
      <c r="W70" s="1"/>
      <c r="X70" s="1"/>
    </row>
    <row r="71" ht="30.0" customHeight="1">
      <c r="A71" s="1"/>
      <c r="B71" s="45">
        <f t="shared" si="3"/>
        <v>63</v>
      </c>
      <c r="C71" s="56">
        <v>46139.0</v>
      </c>
      <c r="D71" s="80"/>
      <c r="E71" s="58" t="s">
        <v>301</v>
      </c>
      <c r="F71" s="61" t="s">
        <v>302</v>
      </c>
      <c r="G71" s="58" t="s">
        <v>26</v>
      </c>
      <c r="H71" s="61" t="s">
        <v>303</v>
      </c>
      <c r="I71" s="61" t="s">
        <v>53</v>
      </c>
      <c r="J71" s="60"/>
      <c r="K71" s="60"/>
      <c r="L71" s="64"/>
      <c r="M71" s="65"/>
      <c r="N71" s="60"/>
      <c r="O71" s="58" t="s">
        <v>27</v>
      </c>
      <c r="P71" s="60"/>
      <c r="Q71" s="62"/>
      <c r="R71" s="63" t="s">
        <v>304</v>
      </c>
      <c r="S71" s="63" t="s">
        <v>305</v>
      </c>
      <c r="T71" s="68" t="s">
        <v>45</v>
      </c>
      <c r="U71" s="1"/>
      <c r="V71" s="3"/>
      <c r="W71" s="1"/>
      <c r="X71" s="1"/>
    </row>
    <row r="72" ht="39.0" customHeight="1">
      <c r="A72" s="1"/>
      <c r="B72" s="45">
        <f t="shared" si="3"/>
        <v>64</v>
      </c>
      <c r="C72" s="56">
        <v>46140.0</v>
      </c>
      <c r="D72" s="78" t="s">
        <v>306</v>
      </c>
      <c r="E72" s="61" t="s">
        <v>216</v>
      </c>
      <c r="F72" s="61" t="s">
        <v>217</v>
      </c>
      <c r="G72" s="58" t="s">
        <v>33</v>
      </c>
      <c r="H72" s="60"/>
      <c r="I72" s="60"/>
      <c r="J72" s="60"/>
      <c r="K72" s="60"/>
      <c r="L72" s="64"/>
      <c r="M72" s="59"/>
      <c r="N72" s="60"/>
      <c r="O72" s="60"/>
      <c r="P72" s="60"/>
      <c r="Q72" s="77">
        <v>0.0</v>
      </c>
      <c r="R72" s="63" t="s">
        <v>307</v>
      </c>
      <c r="S72" s="63" t="s">
        <v>308</v>
      </c>
      <c r="T72" s="68" t="s">
        <v>309</v>
      </c>
      <c r="U72" s="1"/>
      <c r="V72" s="3"/>
      <c r="W72" s="1"/>
      <c r="X72" s="1"/>
    </row>
    <row r="73" ht="64.5" customHeight="1">
      <c r="A73" s="1"/>
      <c r="B73" s="45">
        <f t="shared" si="3"/>
        <v>65</v>
      </c>
      <c r="C73" s="56">
        <v>46140.0</v>
      </c>
      <c r="D73" s="58" t="s">
        <v>310</v>
      </c>
      <c r="E73" s="58" t="s">
        <v>311</v>
      </c>
      <c r="F73" s="58" t="s">
        <v>312</v>
      </c>
      <c r="G73" s="58" t="s">
        <v>33</v>
      </c>
      <c r="H73" s="57"/>
      <c r="I73" s="57"/>
      <c r="J73" s="60"/>
      <c r="K73" s="57"/>
      <c r="L73" s="5"/>
      <c r="M73" s="72" t="s">
        <v>22</v>
      </c>
      <c r="N73" s="60"/>
      <c r="O73" s="60"/>
      <c r="P73" s="83"/>
      <c r="Q73" s="62"/>
      <c r="R73" s="63" t="s">
        <v>313</v>
      </c>
      <c r="S73" s="63" t="s">
        <v>314</v>
      </c>
      <c r="T73" s="68" t="s">
        <v>309</v>
      </c>
      <c r="U73" s="1"/>
      <c r="V73" s="3"/>
      <c r="W73" s="1"/>
      <c r="X73" s="1"/>
    </row>
    <row r="74" ht="44.25" customHeight="1">
      <c r="A74" s="1"/>
      <c r="B74" s="45">
        <f t="shared" si="3"/>
        <v>66</v>
      </c>
      <c r="C74" s="56">
        <v>46140.0</v>
      </c>
      <c r="D74" s="78" t="s">
        <v>315</v>
      </c>
      <c r="E74" s="61" t="s">
        <v>316</v>
      </c>
      <c r="F74" s="61" t="s">
        <v>317</v>
      </c>
      <c r="G74" s="58" t="s">
        <v>33</v>
      </c>
      <c r="H74" s="60"/>
      <c r="I74" s="60"/>
      <c r="J74" s="60"/>
      <c r="K74" s="60"/>
      <c r="L74" s="64"/>
      <c r="M74" s="59"/>
      <c r="N74" s="60"/>
      <c r="O74" s="60"/>
      <c r="P74" s="61" t="s">
        <v>318</v>
      </c>
      <c r="Q74" s="62"/>
      <c r="R74" s="63" t="s">
        <v>319</v>
      </c>
      <c r="S74" s="63" t="s">
        <v>320</v>
      </c>
      <c r="T74" s="68" t="s">
        <v>309</v>
      </c>
      <c r="U74" s="1"/>
      <c r="V74" s="3"/>
      <c r="W74" s="1"/>
      <c r="X74" s="1"/>
    </row>
    <row r="75" ht="50.25" customHeight="1">
      <c r="A75" s="1"/>
      <c r="B75" s="45">
        <f t="shared" si="3"/>
        <v>67</v>
      </c>
      <c r="C75" s="56">
        <v>46141.0</v>
      </c>
      <c r="D75" s="60"/>
      <c r="E75" s="61" t="s">
        <v>40</v>
      </c>
      <c r="F75" s="61" t="s">
        <v>321</v>
      </c>
      <c r="G75" s="58" t="s">
        <v>42</v>
      </c>
      <c r="H75" s="60"/>
      <c r="I75" s="60"/>
      <c r="J75" s="57"/>
      <c r="K75" s="60"/>
      <c r="L75" s="5"/>
      <c r="M75" s="70" t="s">
        <v>203</v>
      </c>
      <c r="N75" s="60"/>
      <c r="O75" s="60"/>
      <c r="P75" s="60"/>
      <c r="Q75" s="62"/>
      <c r="R75" s="63" t="s">
        <v>322</v>
      </c>
      <c r="S75" s="63" t="s">
        <v>323</v>
      </c>
      <c r="T75" s="68" t="s">
        <v>309</v>
      </c>
      <c r="U75" s="1"/>
      <c r="V75" s="3"/>
      <c r="W75" s="1"/>
      <c r="X75" s="1"/>
    </row>
    <row r="76">
      <c r="A76" s="1"/>
      <c r="B76" s="45">
        <f t="shared" si="3"/>
        <v>68</v>
      </c>
      <c r="C76" s="56">
        <v>46141.0</v>
      </c>
      <c r="D76" s="58" t="s">
        <v>324</v>
      </c>
      <c r="E76" s="58" t="s">
        <v>47</v>
      </c>
      <c r="F76" s="58" t="s">
        <v>325</v>
      </c>
      <c r="G76" s="58" t="s">
        <v>26</v>
      </c>
      <c r="H76" s="58" t="s">
        <v>324</v>
      </c>
      <c r="I76" s="61" t="s">
        <v>53</v>
      </c>
      <c r="J76" s="61" t="s">
        <v>83</v>
      </c>
      <c r="K76" s="61" t="s">
        <v>55</v>
      </c>
      <c r="L76" s="71" t="s">
        <v>85</v>
      </c>
      <c r="M76" s="65"/>
      <c r="N76" s="60"/>
      <c r="O76" s="58" t="s">
        <v>128</v>
      </c>
      <c r="P76" s="60"/>
      <c r="Q76" s="62"/>
      <c r="R76" s="63" t="s">
        <v>326</v>
      </c>
      <c r="S76" s="81"/>
      <c r="T76" s="82"/>
      <c r="U76" s="1"/>
      <c r="V76" s="3"/>
      <c r="W76" s="1"/>
      <c r="X76" s="1"/>
    </row>
    <row r="77" ht="60.0" customHeight="1">
      <c r="A77" s="1"/>
      <c r="B77" s="45">
        <f t="shared" si="3"/>
        <v>69</v>
      </c>
      <c r="C77" s="56">
        <v>46141.0</v>
      </c>
      <c r="D77" s="60"/>
      <c r="E77" s="58" t="s">
        <v>47</v>
      </c>
      <c r="F77" s="58" t="s">
        <v>48</v>
      </c>
      <c r="G77" s="58" t="s">
        <v>42</v>
      </c>
      <c r="H77" s="60"/>
      <c r="I77" s="60"/>
      <c r="J77" s="57"/>
      <c r="K77" s="57"/>
      <c r="L77" s="5"/>
      <c r="M77" s="70" t="s">
        <v>203</v>
      </c>
      <c r="N77" s="60"/>
      <c r="O77" s="60"/>
      <c r="P77" s="60"/>
      <c r="Q77" s="62"/>
      <c r="R77" s="63" t="s">
        <v>327</v>
      </c>
      <c r="S77" s="63" t="s">
        <v>328</v>
      </c>
      <c r="T77" s="68" t="s">
        <v>309</v>
      </c>
      <c r="U77" s="1"/>
      <c r="V77" s="3"/>
      <c r="W77" s="1"/>
      <c r="X77" s="1"/>
    </row>
    <row r="78" ht="30.0" customHeight="1">
      <c r="A78" s="1"/>
      <c r="B78" s="45">
        <f t="shared" si="3"/>
        <v>70</v>
      </c>
      <c r="C78" s="56">
        <v>46142.0</v>
      </c>
      <c r="D78" s="57"/>
      <c r="E78" s="58" t="s">
        <v>269</v>
      </c>
      <c r="F78" s="58" t="s">
        <v>329</v>
      </c>
      <c r="G78" s="58" t="s">
        <v>42</v>
      </c>
      <c r="H78" s="58" t="s">
        <v>330</v>
      </c>
      <c r="I78" s="84" t="s">
        <v>53</v>
      </c>
      <c r="J78" s="84" t="s">
        <v>99</v>
      </c>
      <c r="K78" s="84" t="s">
        <v>55</v>
      </c>
      <c r="L78" s="85"/>
      <c r="M78" s="86"/>
      <c r="N78" s="84" t="s">
        <v>203</v>
      </c>
      <c r="O78" s="57"/>
      <c r="P78" s="45"/>
      <c r="Q78" s="87"/>
      <c r="R78" s="88" t="s">
        <v>331</v>
      </c>
      <c r="S78" s="89" t="s">
        <v>332</v>
      </c>
      <c r="T78" s="68" t="s">
        <v>74</v>
      </c>
      <c r="U78" s="1"/>
      <c r="V78" s="3"/>
      <c r="W78" s="1"/>
      <c r="X78" s="1"/>
    </row>
    <row r="79" ht="30.0" customHeight="1">
      <c r="A79" s="1"/>
      <c r="B79" s="45">
        <f t="shared" si="3"/>
        <v>71</v>
      </c>
      <c r="C79" s="56">
        <v>46148.0</v>
      </c>
      <c r="D79" s="90" t="s">
        <v>333</v>
      </c>
      <c r="E79" s="90" t="s">
        <v>81</v>
      </c>
      <c r="F79" s="84" t="s">
        <v>334</v>
      </c>
      <c r="G79" s="84" t="s">
        <v>42</v>
      </c>
      <c r="H79" s="84" t="s">
        <v>335</v>
      </c>
      <c r="I79" s="84" t="s">
        <v>60</v>
      </c>
      <c r="J79" s="84" t="s">
        <v>99</v>
      </c>
      <c r="K79" s="84" t="s">
        <v>55</v>
      </c>
      <c r="L79" s="91" t="s">
        <v>336</v>
      </c>
      <c r="M79" s="86"/>
      <c r="N79" s="45"/>
      <c r="O79" s="57"/>
      <c r="P79" s="45"/>
      <c r="Q79" s="87"/>
      <c r="R79" s="88" t="s">
        <v>337</v>
      </c>
      <c r="S79" s="92"/>
      <c r="T79" s="68" t="s">
        <v>102</v>
      </c>
      <c r="U79" s="1"/>
      <c r="V79" s="3"/>
      <c r="W79" s="1"/>
      <c r="X79" s="1"/>
    </row>
    <row r="80" ht="33.75" customHeight="1">
      <c r="A80" s="1"/>
      <c r="B80" s="45">
        <f t="shared" si="3"/>
        <v>72</v>
      </c>
      <c r="C80" s="56">
        <v>46149.0</v>
      </c>
      <c r="D80" s="90" t="s">
        <v>338</v>
      </c>
      <c r="E80" s="90" t="s">
        <v>47</v>
      </c>
      <c r="F80" s="84" t="s">
        <v>339</v>
      </c>
      <c r="G80" s="58" t="s">
        <v>26</v>
      </c>
      <c r="H80" s="45"/>
      <c r="I80" s="45"/>
      <c r="J80" s="45"/>
      <c r="K80" s="45"/>
      <c r="L80" s="85"/>
      <c r="M80" s="86"/>
      <c r="N80" s="45"/>
      <c r="O80" s="45"/>
      <c r="P80" s="45"/>
      <c r="Q80" s="87"/>
      <c r="R80" s="88" t="s">
        <v>340</v>
      </c>
      <c r="S80" s="89" t="s">
        <v>341</v>
      </c>
      <c r="T80" s="68" t="s">
        <v>102</v>
      </c>
      <c r="U80" s="1"/>
      <c r="V80" s="3"/>
      <c r="W80" s="1"/>
      <c r="X80" s="1"/>
    </row>
    <row r="81">
      <c r="A81" s="1"/>
      <c r="B81" s="45">
        <f t="shared" si="3"/>
        <v>73</v>
      </c>
      <c r="C81" s="93"/>
      <c r="D81" s="94"/>
      <c r="E81" s="94"/>
      <c r="F81" s="45"/>
      <c r="G81" s="57"/>
      <c r="H81" s="45"/>
      <c r="I81" s="45"/>
      <c r="J81" s="45"/>
      <c r="K81" s="45"/>
      <c r="L81" s="85"/>
      <c r="M81" s="86"/>
      <c r="N81" s="45"/>
      <c r="O81" s="45"/>
      <c r="P81" s="45"/>
      <c r="Q81" s="87"/>
      <c r="R81" s="95"/>
      <c r="S81" s="92"/>
      <c r="T81" s="82"/>
      <c r="U81" s="1"/>
      <c r="V81" s="3"/>
      <c r="W81" s="1"/>
      <c r="X81" s="1"/>
    </row>
    <row r="82" ht="16.5" customHeight="1">
      <c r="A82" s="96"/>
      <c r="B82" s="97">
        <f t="shared" si="3"/>
        <v>74</v>
      </c>
      <c r="C82" s="93"/>
      <c r="D82" s="98"/>
      <c r="E82" s="98"/>
      <c r="F82" s="97"/>
      <c r="G82" s="99"/>
      <c r="H82" s="97"/>
      <c r="I82" s="97"/>
      <c r="J82" s="97"/>
      <c r="K82" s="97"/>
      <c r="L82" s="100"/>
      <c r="M82" s="101"/>
      <c r="N82" s="97"/>
      <c r="O82" s="97"/>
      <c r="P82" s="97"/>
      <c r="Q82" s="102"/>
      <c r="R82" s="103"/>
      <c r="S82" s="104"/>
      <c r="T82" s="105"/>
      <c r="U82" s="96"/>
      <c r="V82" s="106"/>
      <c r="W82" s="96"/>
      <c r="X82" s="96"/>
    </row>
    <row r="83" ht="30.0" customHeight="1">
      <c r="A83" s="1"/>
      <c r="B83" s="45">
        <f t="shared" si="3"/>
        <v>75</v>
      </c>
      <c r="C83" s="93"/>
      <c r="D83" s="94"/>
      <c r="E83" s="94"/>
      <c r="F83" s="45"/>
      <c r="G83" s="45"/>
      <c r="H83" s="45"/>
      <c r="I83" s="45"/>
      <c r="J83" s="45"/>
      <c r="K83" s="45"/>
      <c r="L83" s="85"/>
      <c r="M83" s="86"/>
      <c r="N83" s="45"/>
      <c r="O83" s="45"/>
      <c r="P83" s="45"/>
      <c r="Q83" s="87"/>
      <c r="R83" s="95"/>
      <c r="S83" s="92"/>
      <c r="T83" s="107"/>
      <c r="U83" s="1"/>
      <c r="V83" s="3"/>
      <c r="W83" s="1"/>
      <c r="X83" s="1"/>
    </row>
    <row r="84" ht="78.75" customHeight="1">
      <c r="A84" s="1"/>
      <c r="B84" s="45">
        <f t="shared" si="3"/>
        <v>76</v>
      </c>
      <c r="C84" s="93"/>
      <c r="D84" s="94"/>
      <c r="E84" s="94"/>
      <c r="F84" s="45"/>
      <c r="G84" s="45"/>
      <c r="H84" s="45"/>
      <c r="I84" s="45"/>
      <c r="J84" s="45"/>
      <c r="K84" s="45"/>
      <c r="L84" s="85"/>
      <c r="M84" s="86"/>
      <c r="N84" s="45"/>
      <c r="O84" s="45"/>
      <c r="P84" s="45"/>
      <c r="Q84" s="87"/>
      <c r="R84" s="95"/>
      <c r="S84" s="92"/>
      <c r="T84" s="105"/>
      <c r="U84" s="1"/>
      <c r="V84" s="3"/>
      <c r="W84" s="1"/>
      <c r="X84" s="1"/>
    </row>
    <row r="85" ht="16.5" customHeight="1">
      <c r="A85" s="1"/>
      <c r="B85" s="45">
        <f t="shared" si="3"/>
        <v>77</v>
      </c>
      <c r="C85" s="93"/>
      <c r="D85" s="94"/>
      <c r="E85" s="94"/>
      <c r="F85" s="45"/>
      <c r="G85" s="45"/>
      <c r="H85" s="45"/>
      <c r="I85" s="45"/>
      <c r="J85" s="45"/>
      <c r="K85" s="45"/>
      <c r="L85" s="85"/>
      <c r="M85" s="86"/>
      <c r="N85" s="45"/>
      <c r="O85" s="45"/>
      <c r="P85" s="45"/>
      <c r="Q85" s="87"/>
      <c r="R85" s="95"/>
      <c r="S85" s="92"/>
      <c r="T85" s="105"/>
      <c r="U85" s="1"/>
      <c r="V85" s="3"/>
      <c r="W85" s="1"/>
      <c r="X85" s="1"/>
    </row>
    <row r="86" ht="71.25" customHeight="1">
      <c r="A86" s="1"/>
      <c r="B86" s="45">
        <f t="shared" si="3"/>
        <v>78</v>
      </c>
      <c r="C86" s="93"/>
      <c r="D86" s="94"/>
      <c r="E86" s="94"/>
      <c r="F86" s="45"/>
      <c r="G86" s="45"/>
      <c r="H86" s="45"/>
      <c r="I86" s="45"/>
      <c r="J86" s="45"/>
      <c r="K86" s="45"/>
      <c r="L86" s="85"/>
      <c r="M86" s="86"/>
      <c r="N86" s="45"/>
      <c r="O86" s="45"/>
      <c r="P86" s="45"/>
      <c r="Q86" s="87"/>
      <c r="R86" s="95"/>
      <c r="S86" s="108"/>
      <c r="T86" s="109"/>
      <c r="U86" s="1"/>
      <c r="V86" s="3"/>
      <c r="W86" s="1"/>
      <c r="X86" s="1"/>
    </row>
    <row r="87" ht="30.0" customHeight="1">
      <c r="A87" s="1"/>
      <c r="B87" s="45">
        <f t="shared" si="3"/>
        <v>79</v>
      </c>
      <c r="C87" s="93"/>
      <c r="D87" s="94"/>
      <c r="E87" s="94"/>
      <c r="F87" s="45"/>
      <c r="G87" s="45"/>
      <c r="H87" s="45"/>
      <c r="I87" s="45"/>
      <c r="J87" s="45"/>
      <c r="K87" s="45"/>
      <c r="L87" s="85"/>
      <c r="M87" s="86"/>
      <c r="N87" s="45"/>
      <c r="O87" s="45"/>
      <c r="P87" s="45"/>
      <c r="Q87" s="87"/>
      <c r="R87" s="95"/>
      <c r="S87" s="92"/>
      <c r="T87" s="107"/>
      <c r="U87" s="1"/>
      <c r="V87" s="3"/>
      <c r="W87" s="1"/>
      <c r="X87" s="1"/>
    </row>
    <row r="88" ht="47.25" customHeight="1">
      <c r="A88" s="1"/>
      <c r="B88" s="45">
        <f t="shared" si="3"/>
        <v>80</v>
      </c>
      <c r="C88" s="110"/>
      <c r="D88" s="94"/>
      <c r="E88" s="94"/>
      <c r="F88" s="45"/>
      <c r="G88" s="45"/>
      <c r="H88" s="45"/>
      <c r="I88" s="45"/>
      <c r="J88" s="45"/>
      <c r="K88" s="45"/>
      <c r="L88" s="85"/>
      <c r="M88" s="86"/>
      <c r="N88" s="45"/>
      <c r="O88" s="45"/>
      <c r="P88" s="45"/>
      <c r="Q88" s="87"/>
      <c r="R88" s="95"/>
      <c r="S88" s="92"/>
      <c r="T88" s="107"/>
      <c r="U88" s="1"/>
      <c r="V88" s="3"/>
      <c r="W88" s="1"/>
      <c r="X88" s="1"/>
    </row>
    <row r="89" ht="30.0" customHeight="1">
      <c r="A89" s="1"/>
      <c r="B89" s="45">
        <f t="shared" si="3"/>
        <v>81</v>
      </c>
      <c r="C89" s="93"/>
      <c r="D89" s="94"/>
      <c r="E89" s="94"/>
      <c r="F89" s="45"/>
      <c r="G89" s="45"/>
      <c r="H89" s="45"/>
      <c r="I89" s="45"/>
      <c r="J89" s="45"/>
      <c r="K89" s="45"/>
      <c r="L89" s="85"/>
      <c r="M89" s="86"/>
      <c r="N89" s="45"/>
      <c r="O89" s="45"/>
      <c r="P89" s="45"/>
      <c r="Q89" s="87"/>
      <c r="R89" s="95"/>
      <c r="S89" s="92"/>
      <c r="T89" s="107"/>
      <c r="U89" s="1"/>
      <c r="V89" s="3"/>
      <c r="W89" s="1"/>
      <c r="X89" s="1"/>
    </row>
    <row r="90" ht="30.0" customHeight="1">
      <c r="A90" s="1"/>
      <c r="B90" s="45">
        <f t="shared" si="3"/>
        <v>82</v>
      </c>
      <c r="C90" s="93"/>
      <c r="D90" s="94"/>
      <c r="E90" s="94"/>
      <c r="F90" s="45"/>
      <c r="G90" s="57"/>
      <c r="H90" s="45"/>
      <c r="I90" s="45"/>
      <c r="J90" s="45"/>
      <c r="K90" s="45"/>
      <c r="L90" s="85"/>
      <c r="M90" s="86"/>
      <c r="N90" s="45"/>
      <c r="O90" s="45"/>
      <c r="P90" s="45"/>
      <c r="Q90" s="87"/>
      <c r="R90" s="95"/>
      <c r="S90" s="92"/>
      <c r="T90" s="107"/>
      <c r="U90" s="1"/>
      <c r="V90" s="3"/>
      <c r="W90" s="1"/>
      <c r="X90" s="1"/>
    </row>
    <row r="91" ht="45.75" customHeight="1">
      <c r="A91" s="1"/>
      <c r="B91" s="45">
        <f t="shared" si="3"/>
        <v>83</v>
      </c>
      <c r="C91" s="93"/>
      <c r="D91" s="45"/>
      <c r="E91" s="94"/>
      <c r="F91" s="45"/>
      <c r="G91" s="45"/>
      <c r="H91" s="45"/>
      <c r="I91" s="45"/>
      <c r="J91" s="45"/>
      <c r="K91" s="45"/>
      <c r="L91" s="85"/>
      <c r="M91" s="86"/>
      <c r="N91" s="45"/>
      <c r="O91" s="45"/>
      <c r="P91" s="45"/>
      <c r="Q91" s="87"/>
      <c r="R91" s="95"/>
      <c r="S91" s="92"/>
      <c r="T91" s="107"/>
      <c r="U91" s="1"/>
      <c r="V91" s="3"/>
      <c r="W91" s="1"/>
      <c r="X91" s="1"/>
    </row>
    <row r="92" ht="30.0" customHeight="1">
      <c r="A92" s="1"/>
      <c r="B92" s="45">
        <f t="shared" si="3"/>
        <v>84</v>
      </c>
      <c r="C92" s="93"/>
      <c r="D92" s="94"/>
      <c r="E92" s="94"/>
      <c r="F92" s="45"/>
      <c r="G92" s="57"/>
      <c r="H92" s="45"/>
      <c r="I92" s="45"/>
      <c r="J92" s="45"/>
      <c r="K92" s="45"/>
      <c r="L92" s="85"/>
      <c r="M92" s="86"/>
      <c r="N92" s="45"/>
      <c r="O92" s="45"/>
      <c r="P92" s="45"/>
      <c r="Q92" s="87"/>
      <c r="R92" s="95"/>
      <c r="S92" s="92"/>
      <c r="T92" s="107"/>
      <c r="U92" s="1"/>
      <c r="V92" s="3"/>
      <c r="W92" s="1"/>
      <c r="X92" s="1"/>
    </row>
    <row r="93" ht="36.75" customHeight="1">
      <c r="A93" s="1"/>
      <c r="B93" s="45">
        <f t="shared" si="3"/>
        <v>85</v>
      </c>
      <c r="C93" s="93"/>
      <c r="D93" s="94"/>
      <c r="E93" s="94"/>
      <c r="F93" s="45"/>
      <c r="G93" s="57"/>
      <c r="H93" s="45"/>
      <c r="I93" s="45"/>
      <c r="J93" s="45"/>
      <c r="K93" s="45"/>
      <c r="L93" s="85"/>
      <c r="M93" s="86"/>
      <c r="N93" s="45"/>
      <c r="O93" s="45"/>
      <c r="P93" s="45"/>
      <c r="Q93" s="87"/>
      <c r="R93" s="95"/>
      <c r="S93" s="92"/>
      <c r="T93" s="107"/>
      <c r="U93" s="1"/>
      <c r="V93" s="3"/>
      <c r="W93" s="1"/>
      <c r="X93" s="1"/>
    </row>
    <row r="94" ht="54.75" customHeight="1">
      <c r="A94" s="1"/>
      <c r="B94" s="45">
        <f t="shared" si="3"/>
        <v>86</v>
      </c>
      <c r="C94" s="93"/>
      <c r="D94" s="94"/>
      <c r="E94" s="94"/>
      <c r="F94" s="45"/>
      <c r="G94" s="57"/>
      <c r="H94" s="45"/>
      <c r="I94" s="45"/>
      <c r="J94" s="45"/>
      <c r="K94" s="45"/>
      <c r="L94" s="85"/>
      <c r="M94" s="86"/>
      <c r="N94" s="45"/>
      <c r="O94" s="45"/>
      <c r="P94" s="45"/>
      <c r="Q94" s="87"/>
      <c r="R94" s="95"/>
      <c r="S94" s="92"/>
      <c r="T94" s="107"/>
      <c r="U94" s="1"/>
      <c r="V94" s="3"/>
      <c r="W94" s="1"/>
      <c r="X94" s="1"/>
    </row>
    <row r="95" ht="57.75" customHeight="1">
      <c r="A95" s="1"/>
      <c r="B95" s="45">
        <f t="shared" si="3"/>
        <v>87</v>
      </c>
      <c r="C95" s="93"/>
      <c r="D95" s="94"/>
      <c r="E95" s="94"/>
      <c r="F95" s="45"/>
      <c r="G95" s="57"/>
      <c r="H95" s="45"/>
      <c r="I95" s="45"/>
      <c r="J95" s="45"/>
      <c r="K95" s="45"/>
      <c r="L95" s="85"/>
      <c r="M95" s="86"/>
      <c r="N95" s="45"/>
      <c r="O95" s="45"/>
      <c r="P95" s="45"/>
      <c r="Q95" s="87"/>
      <c r="R95" s="95"/>
      <c r="S95" s="92"/>
      <c r="T95" s="107"/>
      <c r="U95" s="1"/>
      <c r="V95" s="3"/>
      <c r="W95" s="1"/>
      <c r="X95" s="1"/>
    </row>
    <row r="96" ht="30.0" customHeight="1">
      <c r="A96" s="1"/>
      <c r="B96" s="45">
        <f t="shared" si="3"/>
        <v>88</v>
      </c>
      <c r="C96" s="93"/>
      <c r="D96" s="94"/>
      <c r="E96" s="94"/>
      <c r="F96" s="45"/>
      <c r="G96" s="57"/>
      <c r="H96" s="45"/>
      <c r="I96" s="45"/>
      <c r="J96" s="45"/>
      <c r="K96" s="45"/>
      <c r="L96" s="85"/>
      <c r="M96" s="86"/>
      <c r="N96" s="45"/>
      <c r="O96" s="45"/>
      <c r="P96" s="45"/>
      <c r="Q96" s="87"/>
      <c r="R96" s="95"/>
      <c r="S96" s="92"/>
      <c r="T96" s="107"/>
      <c r="U96" s="1"/>
      <c r="V96" s="3"/>
      <c r="W96" s="1"/>
      <c r="X96" s="1"/>
    </row>
    <row r="97" ht="51.0" customHeight="1">
      <c r="A97" s="1"/>
      <c r="B97" s="45">
        <f t="shared" si="3"/>
        <v>89</v>
      </c>
      <c r="C97" s="93"/>
      <c r="D97" s="94"/>
      <c r="E97" s="94"/>
      <c r="F97" s="45"/>
      <c r="G97" s="57"/>
      <c r="H97" s="45"/>
      <c r="I97" s="45"/>
      <c r="J97" s="45"/>
      <c r="K97" s="45"/>
      <c r="L97" s="85"/>
      <c r="M97" s="86"/>
      <c r="N97" s="45"/>
      <c r="O97" s="45"/>
      <c r="P97" s="45"/>
      <c r="Q97" s="87"/>
      <c r="R97" s="95"/>
      <c r="S97" s="92"/>
      <c r="T97" s="107"/>
      <c r="U97" s="1"/>
      <c r="V97" s="3"/>
      <c r="W97" s="1"/>
      <c r="X97" s="1"/>
    </row>
    <row r="98" ht="45.0" customHeight="1">
      <c r="A98" s="1"/>
      <c r="B98" s="45">
        <f t="shared" si="3"/>
        <v>90</v>
      </c>
      <c r="C98" s="93"/>
      <c r="D98" s="94"/>
      <c r="E98" s="94"/>
      <c r="F98" s="45"/>
      <c r="G98" s="57"/>
      <c r="H98" s="45"/>
      <c r="I98" s="45"/>
      <c r="J98" s="45"/>
      <c r="K98" s="45"/>
      <c r="L98" s="85"/>
      <c r="M98" s="86"/>
      <c r="N98" s="45"/>
      <c r="O98" s="45"/>
      <c r="P98" s="45"/>
      <c r="Q98" s="87"/>
      <c r="R98" s="95"/>
      <c r="S98" s="92"/>
      <c r="T98" s="107"/>
      <c r="U98" s="1"/>
      <c r="V98" s="3"/>
      <c r="W98" s="1"/>
      <c r="X98" s="1"/>
    </row>
    <row r="99" ht="30.0" customHeight="1">
      <c r="A99" s="1"/>
      <c r="B99" s="45">
        <f t="shared" si="3"/>
        <v>91</v>
      </c>
      <c r="C99" s="93"/>
      <c r="D99" s="94"/>
      <c r="E99" s="94"/>
      <c r="F99" s="94"/>
      <c r="G99" s="57"/>
      <c r="H99" s="45"/>
      <c r="I99" s="45"/>
      <c r="J99" s="45"/>
      <c r="K99" s="45"/>
      <c r="L99" s="85"/>
      <c r="M99" s="86"/>
      <c r="N99" s="45"/>
      <c r="O99" s="45"/>
      <c r="P99" s="45"/>
      <c r="Q99" s="87"/>
      <c r="R99" s="95"/>
      <c r="S99" s="92"/>
      <c r="T99" s="107"/>
      <c r="U99" s="1"/>
      <c r="V99" s="3"/>
      <c r="W99" s="1"/>
      <c r="X99" s="1"/>
    </row>
    <row r="100" ht="30.0" customHeight="1">
      <c r="A100" s="1"/>
      <c r="B100" s="45">
        <f t="shared" si="3"/>
        <v>92</v>
      </c>
      <c r="C100" s="93"/>
      <c r="D100" s="94"/>
      <c r="E100" s="94"/>
      <c r="F100" s="94"/>
      <c r="G100" s="57"/>
      <c r="H100" s="45"/>
      <c r="I100" s="45"/>
      <c r="J100" s="45"/>
      <c r="K100" s="45"/>
      <c r="L100" s="85"/>
      <c r="M100" s="86"/>
      <c r="N100" s="45"/>
      <c r="O100" s="45"/>
      <c r="P100" s="45"/>
      <c r="Q100" s="87"/>
      <c r="R100" s="95"/>
      <c r="S100" s="92"/>
      <c r="T100" s="107"/>
      <c r="U100" s="1"/>
      <c r="V100" s="3"/>
      <c r="W100" s="1"/>
      <c r="X100" s="1"/>
    </row>
    <row r="101" ht="30.0" customHeight="1">
      <c r="A101" s="1"/>
      <c r="B101" s="45">
        <f t="shared" si="3"/>
        <v>93</v>
      </c>
      <c r="C101" s="93"/>
      <c r="D101" s="94"/>
      <c r="E101" s="94"/>
      <c r="F101" s="94"/>
      <c r="G101" s="57"/>
      <c r="H101" s="45"/>
      <c r="I101" s="45"/>
      <c r="J101" s="45"/>
      <c r="K101" s="45"/>
      <c r="L101" s="85"/>
      <c r="M101" s="86"/>
      <c r="N101" s="45"/>
      <c r="O101" s="45"/>
      <c r="P101" s="45"/>
      <c r="Q101" s="87"/>
      <c r="R101" s="95"/>
      <c r="S101" s="92"/>
      <c r="T101" s="107"/>
      <c r="U101" s="1"/>
      <c r="V101" s="3"/>
      <c r="W101" s="1"/>
      <c r="X101" s="1"/>
    </row>
    <row r="102" ht="40.5" customHeight="1">
      <c r="A102" s="1"/>
      <c r="B102" s="45">
        <f t="shared" si="3"/>
        <v>94</v>
      </c>
      <c r="C102" s="93"/>
      <c r="D102" s="94"/>
      <c r="E102" s="94"/>
      <c r="F102" s="94"/>
      <c r="G102" s="57"/>
      <c r="H102" s="45"/>
      <c r="I102" s="45"/>
      <c r="J102" s="45"/>
      <c r="K102" s="45"/>
      <c r="L102" s="85"/>
      <c r="M102" s="86"/>
      <c r="N102" s="45"/>
      <c r="O102" s="45"/>
      <c r="P102" s="45"/>
      <c r="Q102" s="87"/>
      <c r="R102" s="95"/>
      <c r="S102" s="92"/>
      <c r="T102" s="107"/>
      <c r="U102" s="1"/>
      <c r="V102" s="3"/>
      <c r="W102" s="1"/>
      <c r="X102" s="1"/>
    </row>
    <row r="103" ht="70.5" customHeight="1">
      <c r="A103" s="1"/>
      <c r="B103" s="45">
        <f t="shared" si="3"/>
        <v>95</v>
      </c>
      <c r="C103" s="93"/>
      <c r="D103" s="94"/>
      <c r="E103" s="94"/>
      <c r="F103" s="45"/>
      <c r="G103" s="57"/>
      <c r="H103" s="45"/>
      <c r="I103" s="45"/>
      <c r="J103" s="45"/>
      <c r="K103" s="45"/>
      <c r="L103" s="85"/>
      <c r="M103" s="86"/>
      <c r="N103" s="45"/>
      <c r="O103" s="45"/>
      <c r="P103" s="45"/>
      <c r="Q103" s="87"/>
      <c r="R103" s="95"/>
      <c r="S103" s="92"/>
      <c r="T103" s="107"/>
      <c r="U103" s="1"/>
      <c r="V103" s="3"/>
      <c r="W103" s="1"/>
      <c r="X103" s="1"/>
    </row>
    <row r="104" ht="46.5" customHeight="1">
      <c r="A104" s="1"/>
      <c r="B104" s="45">
        <f t="shared" si="3"/>
        <v>96</v>
      </c>
      <c r="C104" s="93"/>
      <c r="D104" s="94"/>
      <c r="E104" s="94"/>
      <c r="F104" s="45"/>
      <c r="G104" s="57"/>
      <c r="H104" s="45"/>
      <c r="I104" s="45"/>
      <c r="J104" s="45"/>
      <c r="K104" s="45"/>
      <c r="L104" s="85"/>
      <c r="M104" s="86"/>
      <c r="N104" s="45"/>
      <c r="O104" s="45"/>
      <c r="P104" s="45"/>
      <c r="Q104" s="87"/>
      <c r="R104" s="95"/>
      <c r="S104" s="92"/>
      <c r="T104" s="107"/>
      <c r="U104" s="1"/>
      <c r="V104" s="3"/>
      <c r="W104" s="1"/>
      <c r="X104" s="1"/>
    </row>
    <row r="105" ht="94.5" customHeight="1">
      <c r="A105" s="1"/>
      <c r="B105" s="45">
        <f t="shared" si="3"/>
        <v>97</v>
      </c>
      <c r="C105" s="93"/>
      <c r="D105" s="94"/>
      <c r="E105" s="94"/>
      <c r="F105" s="45"/>
      <c r="G105" s="57"/>
      <c r="H105" s="45"/>
      <c r="I105" s="45"/>
      <c r="J105" s="45"/>
      <c r="K105" s="45"/>
      <c r="L105" s="85"/>
      <c r="M105" s="86"/>
      <c r="N105" s="45"/>
      <c r="O105" s="45"/>
      <c r="P105" s="45"/>
      <c r="Q105" s="87"/>
      <c r="R105" s="95"/>
      <c r="S105" s="92"/>
      <c r="T105" s="107"/>
      <c r="U105" s="1"/>
      <c r="V105" s="3"/>
      <c r="W105" s="1"/>
      <c r="X105" s="1"/>
    </row>
    <row r="106" ht="70.5" customHeight="1">
      <c r="A106" s="1"/>
      <c r="B106" s="45">
        <f t="shared" si="3"/>
        <v>98</v>
      </c>
      <c r="C106" s="93"/>
      <c r="D106" s="45"/>
      <c r="E106" s="45"/>
      <c r="F106" s="45"/>
      <c r="G106" s="57"/>
      <c r="H106" s="45"/>
      <c r="I106" s="45"/>
      <c r="J106" s="45"/>
      <c r="K106" s="45"/>
      <c r="L106" s="85"/>
      <c r="M106" s="86"/>
      <c r="N106" s="45"/>
      <c r="O106" s="45"/>
      <c r="P106" s="45"/>
      <c r="Q106" s="87"/>
      <c r="R106" s="95"/>
      <c r="S106" s="92"/>
      <c r="T106" s="107"/>
      <c r="U106" s="1"/>
      <c r="V106" s="3"/>
      <c r="W106" s="1"/>
      <c r="X106" s="1"/>
    </row>
    <row r="107" ht="30.0" customHeight="1">
      <c r="A107" s="1"/>
      <c r="B107" s="45">
        <f t="shared" si="3"/>
        <v>99</v>
      </c>
      <c r="C107" s="93"/>
      <c r="D107" s="94"/>
      <c r="E107" s="94"/>
      <c r="F107" s="45"/>
      <c r="G107" s="57"/>
      <c r="H107" s="45"/>
      <c r="I107" s="45"/>
      <c r="J107" s="45"/>
      <c r="K107" s="45"/>
      <c r="L107" s="85"/>
      <c r="M107" s="86"/>
      <c r="N107" s="45"/>
      <c r="O107" s="45"/>
      <c r="P107" s="45"/>
      <c r="Q107" s="87"/>
      <c r="R107" s="95"/>
      <c r="S107" s="92"/>
      <c r="T107" s="107"/>
      <c r="U107" s="1"/>
      <c r="V107" s="3"/>
      <c r="W107" s="1"/>
      <c r="X107" s="1"/>
    </row>
    <row r="108" ht="30.0" customHeight="1">
      <c r="A108" s="1"/>
      <c r="B108" s="45">
        <f t="shared" si="3"/>
        <v>100</v>
      </c>
      <c r="C108" s="93"/>
      <c r="D108" s="94"/>
      <c r="E108" s="94"/>
      <c r="F108" s="45"/>
      <c r="G108" s="57"/>
      <c r="H108" s="45"/>
      <c r="I108" s="45"/>
      <c r="J108" s="45"/>
      <c r="K108" s="45"/>
      <c r="L108" s="85"/>
      <c r="M108" s="86"/>
      <c r="N108" s="45"/>
      <c r="O108" s="45"/>
      <c r="P108" s="45"/>
      <c r="Q108" s="87"/>
      <c r="R108" s="95"/>
      <c r="S108" s="92"/>
      <c r="T108" s="107"/>
      <c r="U108" s="1"/>
      <c r="V108" s="3"/>
      <c r="W108" s="1"/>
      <c r="X108" s="1"/>
    </row>
    <row r="109" ht="30.0" customHeight="1">
      <c r="A109" s="1"/>
      <c r="B109" s="45">
        <f t="shared" si="3"/>
        <v>101</v>
      </c>
      <c r="C109" s="93"/>
      <c r="D109" s="94"/>
      <c r="E109" s="94"/>
      <c r="F109" s="45"/>
      <c r="G109" s="57"/>
      <c r="H109" s="45"/>
      <c r="I109" s="45"/>
      <c r="J109" s="45"/>
      <c r="K109" s="45"/>
      <c r="L109" s="85"/>
      <c r="M109" s="86"/>
      <c r="N109" s="45"/>
      <c r="O109" s="45"/>
      <c r="P109" s="45"/>
      <c r="Q109" s="87"/>
      <c r="R109" s="95"/>
      <c r="S109" s="92"/>
      <c r="T109" s="107"/>
      <c r="U109" s="1"/>
      <c r="V109" s="3"/>
      <c r="W109" s="1"/>
      <c r="X109" s="1"/>
    </row>
    <row r="110" ht="30.0" customHeight="1">
      <c r="A110" s="1"/>
      <c r="B110" s="45">
        <f t="shared" si="3"/>
        <v>102</v>
      </c>
      <c r="C110" s="93"/>
      <c r="D110" s="94"/>
      <c r="E110" s="94"/>
      <c r="F110" s="45"/>
      <c r="G110" s="57"/>
      <c r="H110" s="45"/>
      <c r="I110" s="45"/>
      <c r="J110" s="45"/>
      <c r="K110" s="45"/>
      <c r="L110" s="85"/>
      <c r="M110" s="86"/>
      <c r="N110" s="45"/>
      <c r="O110" s="45"/>
      <c r="P110" s="45"/>
      <c r="Q110" s="87"/>
      <c r="R110" s="95"/>
      <c r="S110" s="92"/>
      <c r="T110" s="107"/>
      <c r="U110" s="1"/>
      <c r="V110" s="3"/>
      <c r="W110" s="1"/>
      <c r="X110" s="1"/>
    </row>
    <row r="111" ht="30.0" customHeight="1">
      <c r="A111" s="1"/>
      <c r="B111" s="45">
        <f t="shared" si="3"/>
        <v>103</v>
      </c>
      <c r="C111" s="93"/>
      <c r="D111" s="94"/>
      <c r="E111" s="94"/>
      <c r="F111" s="45"/>
      <c r="G111" s="57"/>
      <c r="H111" s="45"/>
      <c r="I111" s="45"/>
      <c r="J111" s="45"/>
      <c r="K111" s="45"/>
      <c r="L111" s="85"/>
      <c r="M111" s="86"/>
      <c r="N111" s="45"/>
      <c r="O111" s="45"/>
      <c r="P111" s="45"/>
      <c r="Q111" s="87"/>
      <c r="R111" s="95"/>
      <c r="S111" s="92"/>
      <c r="T111" s="107"/>
      <c r="U111" s="1"/>
      <c r="V111" s="3"/>
      <c r="W111" s="1"/>
      <c r="X111" s="1"/>
    </row>
    <row r="112" ht="30.0" customHeight="1">
      <c r="A112" s="1"/>
      <c r="B112" s="45">
        <f t="shared" si="3"/>
        <v>104</v>
      </c>
      <c r="C112" s="93"/>
      <c r="D112" s="94"/>
      <c r="E112" s="94"/>
      <c r="F112" s="45"/>
      <c r="G112" s="57"/>
      <c r="H112" s="45"/>
      <c r="I112" s="45"/>
      <c r="J112" s="45"/>
      <c r="K112" s="45"/>
      <c r="L112" s="85"/>
      <c r="M112" s="86"/>
      <c r="N112" s="45"/>
      <c r="O112" s="45"/>
      <c r="P112" s="45"/>
      <c r="Q112" s="87"/>
      <c r="R112" s="95"/>
      <c r="S112" s="92"/>
      <c r="T112" s="107"/>
      <c r="U112" s="1"/>
      <c r="V112" s="3"/>
      <c r="W112" s="1"/>
      <c r="X112" s="1"/>
    </row>
    <row r="113" ht="45.75" customHeight="1">
      <c r="A113" s="1"/>
      <c r="B113" s="45">
        <f t="shared" si="3"/>
        <v>105</v>
      </c>
      <c r="C113" s="93"/>
      <c r="D113" s="94"/>
      <c r="E113" s="94"/>
      <c r="F113" s="45"/>
      <c r="G113" s="57"/>
      <c r="H113" s="45"/>
      <c r="I113" s="45"/>
      <c r="J113" s="45"/>
      <c r="K113" s="45"/>
      <c r="L113" s="85"/>
      <c r="M113" s="86"/>
      <c r="N113" s="45"/>
      <c r="O113" s="45"/>
      <c r="P113" s="45"/>
      <c r="Q113" s="87"/>
      <c r="R113" s="95"/>
      <c r="S113" s="92"/>
      <c r="T113" s="107"/>
      <c r="U113" s="1"/>
      <c r="V113" s="3"/>
      <c r="W113" s="1"/>
      <c r="X113" s="1"/>
    </row>
    <row r="114" ht="80.25" customHeight="1">
      <c r="A114" s="1"/>
      <c r="B114" s="45">
        <f t="shared" si="3"/>
        <v>106</v>
      </c>
      <c r="C114" s="93"/>
      <c r="D114" s="94"/>
      <c r="E114" s="94"/>
      <c r="F114" s="45"/>
      <c r="G114" s="57"/>
      <c r="H114" s="45"/>
      <c r="I114" s="45"/>
      <c r="J114" s="45"/>
      <c r="K114" s="45"/>
      <c r="L114" s="85"/>
      <c r="M114" s="86"/>
      <c r="N114" s="45"/>
      <c r="O114" s="45"/>
      <c r="P114" s="45"/>
      <c r="Q114" s="87"/>
      <c r="R114" s="95"/>
      <c r="S114" s="92"/>
      <c r="T114" s="107"/>
      <c r="U114" s="1"/>
      <c r="V114" s="3"/>
      <c r="W114" s="1"/>
      <c r="X114" s="1"/>
    </row>
    <row r="115" ht="16.5" customHeight="1">
      <c r="A115" s="1"/>
      <c r="B115" s="45">
        <f t="shared" si="3"/>
        <v>107</v>
      </c>
      <c r="C115" s="93"/>
      <c r="D115" s="45"/>
      <c r="E115" s="45"/>
      <c r="F115" s="45"/>
      <c r="G115" s="57"/>
      <c r="H115" s="45"/>
      <c r="I115" s="45"/>
      <c r="J115" s="45"/>
      <c r="K115" s="45"/>
      <c r="L115" s="85"/>
      <c r="M115" s="86"/>
      <c r="N115" s="45"/>
      <c r="O115" s="45"/>
      <c r="P115" s="45"/>
      <c r="Q115" s="87"/>
      <c r="R115" s="95"/>
      <c r="S115" s="92"/>
      <c r="T115" s="107"/>
      <c r="U115" s="1"/>
      <c r="V115" s="3"/>
      <c r="W115" s="1"/>
      <c r="X115" s="1"/>
    </row>
    <row r="116" ht="66.75" customHeight="1">
      <c r="A116" s="1"/>
      <c r="B116" s="45">
        <f t="shared" si="3"/>
        <v>108</v>
      </c>
      <c r="C116" s="93"/>
      <c r="D116" s="45"/>
      <c r="E116" s="45"/>
      <c r="F116" s="45"/>
      <c r="G116" s="57"/>
      <c r="H116" s="45"/>
      <c r="I116" s="45"/>
      <c r="J116" s="45"/>
      <c r="K116" s="45"/>
      <c r="L116" s="85"/>
      <c r="M116" s="86"/>
      <c r="N116" s="45"/>
      <c r="O116" s="45"/>
      <c r="P116" s="45"/>
      <c r="Q116" s="87"/>
      <c r="R116" s="95"/>
      <c r="S116" s="92"/>
      <c r="T116" s="107"/>
      <c r="U116" s="1"/>
      <c r="V116" s="3"/>
      <c r="W116" s="1"/>
      <c r="X116" s="1"/>
    </row>
    <row r="117" ht="16.5" customHeight="1">
      <c r="A117" s="1"/>
      <c r="B117" s="45">
        <f t="shared" si="3"/>
        <v>109</v>
      </c>
      <c r="C117" s="93"/>
      <c r="D117" s="94"/>
      <c r="E117" s="94"/>
      <c r="F117" s="45"/>
      <c r="G117" s="57"/>
      <c r="H117" s="45"/>
      <c r="I117" s="45"/>
      <c r="J117" s="45"/>
      <c r="K117" s="45"/>
      <c r="L117" s="85"/>
      <c r="M117" s="86"/>
      <c r="N117" s="45"/>
      <c r="O117" s="45"/>
      <c r="P117" s="45"/>
      <c r="Q117" s="87"/>
      <c r="R117" s="95"/>
      <c r="S117" s="92"/>
      <c r="T117" s="107"/>
      <c r="U117" s="1"/>
      <c r="V117" s="3"/>
      <c r="W117" s="1"/>
      <c r="X117" s="1"/>
    </row>
    <row r="118" ht="30.0" customHeight="1">
      <c r="A118" s="1"/>
      <c r="B118" s="45">
        <f t="shared" si="3"/>
        <v>110</v>
      </c>
      <c r="C118" s="110"/>
      <c r="D118" s="94"/>
      <c r="E118" s="94"/>
      <c r="F118" s="45"/>
      <c r="G118" s="57"/>
      <c r="H118" s="45"/>
      <c r="I118" s="45"/>
      <c r="J118" s="45"/>
      <c r="K118" s="45"/>
      <c r="L118" s="85"/>
      <c r="M118" s="86"/>
      <c r="N118" s="45"/>
      <c r="O118" s="45"/>
      <c r="P118" s="45"/>
      <c r="Q118" s="87"/>
      <c r="R118" s="95"/>
      <c r="S118" s="92"/>
      <c r="T118" s="107"/>
      <c r="U118" s="1"/>
      <c r="V118" s="3"/>
      <c r="W118" s="1"/>
      <c r="X118" s="1"/>
    </row>
    <row r="119" ht="30.0" customHeight="1">
      <c r="A119" s="1"/>
      <c r="B119" s="45">
        <f t="shared" si="3"/>
        <v>111</v>
      </c>
      <c r="C119" s="93"/>
      <c r="D119" s="94"/>
      <c r="E119" s="94"/>
      <c r="F119" s="45"/>
      <c r="G119" s="57"/>
      <c r="H119" s="45"/>
      <c r="I119" s="45"/>
      <c r="J119" s="45"/>
      <c r="K119" s="45"/>
      <c r="L119" s="85"/>
      <c r="M119" s="86"/>
      <c r="N119" s="45"/>
      <c r="O119" s="45"/>
      <c r="P119" s="45"/>
      <c r="Q119" s="87"/>
      <c r="R119" s="95"/>
      <c r="S119" s="92"/>
      <c r="T119" s="107"/>
      <c r="U119" s="1"/>
      <c r="V119" s="3"/>
      <c r="W119" s="1"/>
      <c r="X119" s="1"/>
    </row>
    <row r="120" ht="30.0" customHeight="1">
      <c r="A120" s="1"/>
      <c r="B120" s="45">
        <f t="shared" si="3"/>
        <v>112</v>
      </c>
      <c r="C120" s="93"/>
      <c r="D120" s="94"/>
      <c r="E120" s="94"/>
      <c r="F120" s="45"/>
      <c r="G120" s="57"/>
      <c r="H120" s="45"/>
      <c r="I120" s="45"/>
      <c r="J120" s="45"/>
      <c r="K120" s="45"/>
      <c r="L120" s="85"/>
      <c r="M120" s="86"/>
      <c r="N120" s="45"/>
      <c r="O120" s="45"/>
      <c r="P120" s="45"/>
      <c r="Q120" s="87"/>
      <c r="R120" s="95"/>
      <c r="S120" s="92"/>
      <c r="T120" s="107"/>
      <c r="U120" s="1"/>
      <c r="V120" s="3"/>
      <c r="W120" s="1"/>
      <c r="X120" s="1"/>
    </row>
    <row r="121" ht="30.0" customHeight="1">
      <c r="A121" s="1"/>
      <c r="B121" s="45">
        <f t="shared" si="3"/>
        <v>113</v>
      </c>
      <c r="C121" s="93"/>
      <c r="D121" s="94"/>
      <c r="E121" s="94"/>
      <c r="F121" s="45"/>
      <c r="G121" s="57"/>
      <c r="H121" s="45"/>
      <c r="I121" s="45"/>
      <c r="J121" s="45"/>
      <c r="K121" s="45"/>
      <c r="L121" s="85"/>
      <c r="M121" s="86"/>
      <c r="N121" s="45"/>
      <c r="O121" s="45"/>
      <c r="P121" s="45"/>
      <c r="Q121" s="87"/>
      <c r="R121" s="95"/>
      <c r="S121" s="92"/>
      <c r="T121" s="107"/>
      <c r="U121" s="1"/>
      <c r="V121" s="3"/>
      <c r="W121" s="1"/>
      <c r="X121" s="1"/>
    </row>
    <row r="122" ht="30.0" customHeight="1">
      <c r="A122" s="1"/>
      <c r="B122" s="45">
        <f t="shared" si="3"/>
        <v>114</v>
      </c>
      <c r="C122" s="93"/>
      <c r="D122" s="94"/>
      <c r="E122" s="94"/>
      <c r="F122" s="45"/>
      <c r="G122" s="57"/>
      <c r="H122" s="45"/>
      <c r="I122" s="45"/>
      <c r="J122" s="45"/>
      <c r="K122" s="45"/>
      <c r="L122" s="85"/>
      <c r="M122" s="86"/>
      <c r="N122" s="45"/>
      <c r="O122" s="45"/>
      <c r="P122" s="45"/>
      <c r="Q122" s="87"/>
      <c r="R122" s="95"/>
      <c r="S122" s="92"/>
      <c r="T122" s="107"/>
      <c r="U122" s="1"/>
      <c r="V122" s="3"/>
      <c r="W122" s="1"/>
      <c r="X122" s="1"/>
    </row>
    <row r="123" ht="30.0" customHeight="1">
      <c r="A123" s="1"/>
      <c r="B123" s="45">
        <f t="shared" si="3"/>
        <v>115</v>
      </c>
      <c r="C123" s="93"/>
      <c r="D123" s="94"/>
      <c r="E123" s="94"/>
      <c r="F123" s="45"/>
      <c r="G123" s="57"/>
      <c r="H123" s="45"/>
      <c r="I123" s="45"/>
      <c r="J123" s="45"/>
      <c r="K123" s="45"/>
      <c r="L123" s="85"/>
      <c r="M123" s="86"/>
      <c r="N123" s="45"/>
      <c r="O123" s="45"/>
      <c r="P123" s="45"/>
      <c r="Q123" s="87"/>
      <c r="R123" s="95"/>
      <c r="S123" s="92"/>
      <c r="T123" s="107"/>
      <c r="U123" s="1"/>
      <c r="V123" s="3"/>
      <c r="W123" s="1"/>
      <c r="X123" s="1"/>
    </row>
    <row r="124" ht="45.0" customHeight="1">
      <c r="A124" s="1"/>
      <c r="B124" s="45">
        <f t="shared" si="3"/>
        <v>116</v>
      </c>
      <c r="C124" s="93"/>
      <c r="D124" s="94"/>
      <c r="E124" s="94"/>
      <c r="F124" s="94"/>
      <c r="G124" s="57"/>
      <c r="H124" s="45"/>
      <c r="I124" s="45"/>
      <c r="J124" s="45"/>
      <c r="K124" s="45"/>
      <c r="L124" s="85"/>
      <c r="M124" s="86"/>
      <c r="N124" s="45"/>
      <c r="O124" s="45"/>
      <c r="P124" s="45"/>
      <c r="Q124" s="87"/>
      <c r="R124" s="95"/>
      <c r="S124" s="92"/>
      <c r="T124" s="107"/>
      <c r="U124" s="1"/>
      <c r="V124" s="3"/>
      <c r="W124" s="1"/>
      <c r="X124" s="1"/>
    </row>
    <row r="125" ht="45.75" customHeight="1">
      <c r="A125" s="1"/>
      <c r="B125" s="45">
        <f t="shared" si="3"/>
        <v>117</v>
      </c>
      <c r="C125" s="93"/>
      <c r="D125" s="94"/>
      <c r="E125" s="94"/>
      <c r="F125" s="45"/>
      <c r="G125" s="57"/>
      <c r="H125" s="45"/>
      <c r="I125" s="45"/>
      <c r="J125" s="45"/>
      <c r="K125" s="45"/>
      <c r="L125" s="85"/>
      <c r="M125" s="86"/>
      <c r="N125" s="45"/>
      <c r="O125" s="45"/>
      <c r="P125" s="45"/>
      <c r="Q125" s="87"/>
      <c r="R125" s="95"/>
      <c r="S125" s="92"/>
      <c r="T125" s="107"/>
      <c r="U125" s="1"/>
      <c r="V125" s="3"/>
      <c r="W125" s="1"/>
      <c r="X125" s="1"/>
    </row>
    <row r="126">
      <c r="A126" s="1"/>
      <c r="B126" s="45">
        <f t="shared" si="3"/>
        <v>118</v>
      </c>
      <c r="C126" s="93"/>
      <c r="D126" s="94"/>
      <c r="E126" s="94"/>
      <c r="F126" s="45"/>
      <c r="G126" s="57"/>
      <c r="H126" s="45"/>
      <c r="I126" s="45"/>
      <c r="J126" s="45"/>
      <c r="K126" s="45"/>
      <c r="L126" s="85"/>
      <c r="M126" s="86"/>
      <c r="N126" s="45"/>
      <c r="O126" s="45"/>
      <c r="P126" s="45"/>
      <c r="Q126" s="87"/>
      <c r="R126" s="95"/>
      <c r="S126" s="92"/>
      <c r="T126" s="107"/>
      <c r="U126" s="1"/>
      <c r="V126" s="3"/>
      <c r="W126" s="1"/>
      <c r="X126" s="1"/>
    </row>
    <row r="127" ht="30.0" customHeight="1">
      <c r="A127" s="1"/>
      <c r="B127" s="45">
        <f t="shared" si="3"/>
        <v>119</v>
      </c>
      <c r="C127" s="93"/>
      <c r="D127" s="94"/>
      <c r="E127" s="94"/>
      <c r="F127" s="45"/>
      <c r="G127" s="57"/>
      <c r="H127" s="45"/>
      <c r="I127" s="45"/>
      <c r="J127" s="45"/>
      <c r="K127" s="45"/>
      <c r="L127" s="85"/>
      <c r="M127" s="86"/>
      <c r="N127" s="45"/>
      <c r="O127" s="45"/>
      <c r="P127" s="45"/>
      <c r="Q127" s="87"/>
      <c r="R127" s="95"/>
      <c r="S127" s="92"/>
      <c r="T127" s="107"/>
      <c r="U127" s="1"/>
      <c r="V127" s="3"/>
      <c r="W127" s="1"/>
      <c r="X127" s="1"/>
    </row>
    <row r="128" ht="44.25" customHeight="1">
      <c r="A128" s="1"/>
      <c r="B128" s="45">
        <f t="shared" si="3"/>
        <v>120</v>
      </c>
      <c r="C128" s="93"/>
      <c r="D128" s="94"/>
      <c r="E128" s="94"/>
      <c r="F128" s="45"/>
      <c r="G128" s="57"/>
      <c r="H128" s="45"/>
      <c r="I128" s="45"/>
      <c r="J128" s="45"/>
      <c r="K128" s="45"/>
      <c r="L128" s="85"/>
      <c r="M128" s="86"/>
      <c r="N128" s="45"/>
      <c r="O128" s="45"/>
      <c r="P128" s="45"/>
      <c r="Q128" s="87"/>
      <c r="R128" s="95"/>
      <c r="S128" s="92"/>
      <c r="T128" s="107"/>
      <c r="U128" s="1"/>
      <c r="V128" s="3"/>
      <c r="W128" s="1"/>
      <c r="X128" s="1"/>
    </row>
    <row r="129" ht="35.25" customHeight="1">
      <c r="A129" s="1"/>
      <c r="B129" s="45">
        <f t="shared" si="3"/>
        <v>121</v>
      </c>
      <c r="C129" s="93"/>
      <c r="D129" s="94"/>
      <c r="E129" s="94"/>
      <c r="F129" s="45"/>
      <c r="G129" s="57"/>
      <c r="H129" s="45"/>
      <c r="I129" s="45"/>
      <c r="J129" s="45"/>
      <c r="K129" s="45"/>
      <c r="L129" s="85"/>
      <c r="M129" s="86"/>
      <c r="N129" s="45"/>
      <c r="O129" s="45"/>
      <c r="P129" s="45"/>
      <c r="Q129" s="87"/>
      <c r="R129" s="95"/>
      <c r="S129" s="92"/>
      <c r="T129" s="107"/>
      <c r="U129" s="1"/>
      <c r="V129" s="3"/>
      <c r="W129" s="1"/>
      <c r="X129" s="1"/>
    </row>
    <row r="130" ht="45.75" customHeight="1">
      <c r="A130" s="1"/>
      <c r="B130" s="45">
        <f t="shared" si="3"/>
        <v>122</v>
      </c>
      <c r="C130" s="93"/>
      <c r="D130" s="94"/>
      <c r="E130" s="94"/>
      <c r="F130" s="45"/>
      <c r="G130" s="57"/>
      <c r="H130" s="45"/>
      <c r="I130" s="45"/>
      <c r="J130" s="45"/>
      <c r="K130" s="45"/>
      <c r="L130" s="85"/>
      <c r="M130" s="86"/>
      <c r="N130" s="45"/>
      <c r="O130" s="45"/>
      <c r="P130" s="45"/>
      <c r="Q130" s="87"/>
      <c r="R130" s="95"/>
      <c r="S130" s="92"/>
      <c r="T130" s="107"/>
      <c r="U130" s="1"/>
      <c r="V130" s="3"/>
      <c r="W130" s="1"/>
      <c r="X130" s="1"/>
    </row>
    <row r="131" ht="44.25" customHeight="1">
      <c r="A131" s="1"/>
      <c r="B131" s="45">
        <f t="shared" si="3"/>
        <v>123</v>
      </c>
      <c r="C131" s="93"/>
      <c r="D131" s="94"/>
      <c r="E131" s="94"/>
      <c r="F131" s="45"/>
      <c r="G131" s="57"/>
      <c r="H131" s="45"/>
      <c r="I131" s="45"/>
      <c r="J131" s="45"/>
      <c r="K131" s="45"/>
      <c r="L131" s="85"/>
      <c r="M131" s="86"/>
      <c r="N131" s="45"/>
      <c r="O131" s="45"/>
      <c r="P131" s="45"/>
      <c r="Q131" s="87"/>
      <c r="R131" s="95"/>
      <c r="S131" s="92"/>
      <c r="T131" s="107"/>
      <c r="U131" s="1"/>
      <c r="V131" s="3"/>
      <c r="W131" s="1"/>
      <c r="X131" s="1"/>
    </row>
    <row r="132" ht="30.0" customHeight="1">
      <c r="A132" s="1"/>
      <c r="B132" s="45">
        <f t="shared" si="3"/>
        <v>124</v>
      </c>
      <c r="C132" s="93"/>
      <c r="D132" s="94"/>
      <c r="E132" s="94"/>
      <c r="F132" s="45"/>
      <c r="G132" s="57"/>
      <c r="H132" s="45"/>
      <c r="I132" s="45"/>
      <c r="J132" s="45"/>
      <c r="K132" s="45"/>
      <c r="L132" s="85"/>
      <c r="M132" s="86"/>
      <c r="N132" s="45"/>
      <c r="O132" s="45"/>
      <c r="P132" s="45"/>
      <c r="Q132" s="87"/>
      <c r="R132" s="95"/>
      <c r="S132" s="92"/>
      <c r="T132" s="107"/>
      <c r="U132" s="1"/>
      <c r="V132" s="3"/>
      <c r="W132" s="1"/>
      <c r="X132" s="1"/>
    </row>
    <row r="133" ht="42.75" customHeight="1">
      <c r="A133" s="1"/>
      <c r="B133" s="45">
        <f t="shared" si="3"/>
        <v>125</v>
      </c>
      <c r="C133" s="93"/>
      <c r="D133" s="94"/>
      <c r="E133" s="94"/>
      <c r="F133" s="45"/>
      <c r="G133" s="57"/>
      <c r="H133" s="45"/>
      <c r="I133" s="45"/>
      <c r="J133" s="45"/>
      <c r="K133" s="45"/>
      <c r="L133" s="85"/>
      <c r="M133" s="86"/>
      <c r="N133" s="45"/>
      <c r="O133" s="45"/>
      <c r="P133" s="45"/>
      <c r="Q133" s="87"/>
      <c r="R133" s="95"/>
      <c r="S133" s="92"/>
      <c r="T133" s="107"/>
      <c r="U133" s="1"/>
      <c r="V133" s="3"/>
      <c r="W133" s="1"/>
      <c r="X133" s="1"/>
    </row>
    <row r="134" ht="30.0" customHeight="1">
      <c r="A134" s="1"/>
      <c r="B134" s="45">
        <f t="shared" si="3"/>
        <v>126</v>
      </c>
      <c r="C134" s="93"/>
      <c r="D134" s="94"/>
      <c r="E134" s="94"/>
      <c r="F134" s="45"/>
      <c r="G134" s="57"/>
      <c r="H134" s="45"/>
      <c r="I134" s="45"/>
      <c r="J134" s="45"/>
      <c r="K134" s="45"/>
      <c r="L134" s="85"/>
      <c r="M134" s="86"/>
      <c r="N134" s="45"/>
      <c r="O134" s="45"/>
      <c r="P134" s="45"/>
      <c r="Q134" s="87"/>
      <c r="R134" s="95"/>
      <c r="S134" s="92"/>
      <c r="T134" s="107"/>
      <c r="U134" s="1"/>
      <c r="V134" s="3"/>
      <c r="W134" s="1"/>
      <c r="X134" s="1"/>
    </row>
    <row r="135" ht="30.0" customHeight="1">
      <c r="A135" s="1"/>
      <c r="B135" s="45">
        <f t="shared" si="3"/>
        <v>127</v>
      </c>
      <c r="C135" s="93"/>
      <c r="D135" s="94"/>
      <c r="E135" s="94"/>
      <c r="F135" s="45"/>
      <c r="G135" s="57"/>
      <c r="H135" s="45"/>
      <c r="I135" s="45"/>
      <c r="J135" s="45"/>
      <c r="K135" s="45"/>
      <c r="L135" s="85"/>
      <c r="M135" s="86"/>
      <c r="N135" s="45"/>
      <c r="O135" s="45"/>
      <c r="P135" s="45"/>
      <c r="Q135" s="87"/>
      <c r="R135" s="95"/>
      <c r="S135" s="92"/>
      <c r="T135" s="107"/>
      <c r="U135" s="1"/>
      <c r="V135" s="3"/>
      <c r="W135" s="1"/>
      <c r="X135" s="1"/>
    </row>
    <row r="136" ht="30.0" customHeight="1">
      <c r="A136" s="1"/>
      <c r="B136" s="45">
        <f t="shared" si="3"/>
        <v>128</v>
      </c>
      <c r="C136" s="93"/>
      <c r="D136" s="94"/>
      <c r="E136" s="94"/>
      <c r="F136" s="45"/>
      <c r="G136" s="57"/>
      <c r="H136" s="45"/>
      <c r="I136" s="45"/>
      <c r="J136" s="45"/>
      <c r="K136" s="45"/>
      <c r="L136" s="85"/>
      <c r="M136" s="86"/>
      <c r="N136" s="45"/>
      <c r="O136" s="45"/>
      <c r="P136" s="45"/>
      <c r="Q136" s="87"/>
      <c r="R136" s="95"/>
      <c r="S136" s="92"/>
      <c r="T136" s="107"/>
      <c r="U136" s="1"/>
      <c r="V136" s="3"/>
      <c r="W136" s="1"/>
      <c r="X136" s="1"/>
    </row>
    <row r="137" ht="47.25" customHeight="1">
      <c r="A137" s="1"/>
      <c r="B137" s="45">
        <f t="shared" si="3"/>
        <v>129</v>
      </c>
      <c r="C137" s="93"/>
      <c r="D137" s="94"/>
      <c r="E137" s="94"/>
      <c r="F137" s="45"/>
      <c r="G137" s="57"/>
      <c r="H137" s="94"/>
      <c r="I137" s="45"/>
      <c r="J137" s="45"/>
      <c r="K137" s="45"/>
      <c r="L137" s="85"/>
      <c r="M137" s="86"/>
      <c r="N137" s="45"/>
      <c r="O137" s="45"/>
      <c r="P137" s="45"/>
      <c r="Q137" s="87"/>
      <c r="R137" s="95"/>
      <c r="S137" s="92"/>
      <c r="T137" s="107"/>
      <c r="U137" s="1"/>
      <c r="V137" s="3"/>
      <c r="W137" s="1"/>
      <c r="X137" s="1"/>
    </row>
    <row r="138" ht="49.5" customHeight="1">
      <c r="A138" s="1"/>
      <c r="B138" s="45">
        <f t="shared" si="3"/>
        <v>130</v>
      </c>
      <c r="C138" s="93"/>
      <c r="D138" s="94"/>
      <c r="E138" s="94"/>
      <c r="F138" s="45"/>
      <c r="G138" s="57"/>
      <c r="H138" s="45"/>
      <c r="I138" s="45"/>
      <c r="J138" s="45"/>
      <c r="K138" s="45"/>
      <c r="L138" s="85"/>
      <c r="M138" s="86"/>
      <c r="N138" s="45"/>
      <c r="O138" s="45"/>
      <c r="P138" s="45"/>
      <c r="Q138" s="87"/>
      <c r="R138" s="95"/>
      <c r="S138" s="92"/>
      <c r="T138" s="107"/>
      <c r="U138" s="1"/>
      <c r="V138" s="3"/>
      <c r="W138" s="1"/>
      <c r="X138" s="1"/>
    </row>
    <row r="139" ht="16.5" customHeight="1">
      <c r="A139" s="1"/>
      <c r="B139" s="45">
        <f t="shared" si="3"/>
        <v>131</v>
      </c>
      <c r="C139" s="93"/>
      <c r="D139" s="94"/>
      <c r="E139" s="94"/>
      <c r="F139" s="45"/>
      <c r="G139" s="57"/>
      <c r="H139" s="45"/>
      <c r="I139" s="45"/>
      <c r="J139" s="45"/>
      <c r="K139" s="45"/>
      <c r="L139" s="85"/>
      <c r="M139" s="86"/>
      <c r="N139" s="45"/>
      <c r="O139" s="45"/>
      <c r="P139" s="45"/>
      <c r="Q139" s="87"/>
      <c r="R139" s="95"/>
      <c r="S139" s="92"/>
      <c r="T139" s="107"/>
      <c r="U139" s="1"/>
      <c r="V139" s="3"/>
      <c r="W139" s="1"/>
      <c r="X139" s="1"/>
    </row>
    <row r="140" ht="30.0" customHeight="1">
      <c r="A140" s="1"/>
      <c r="B140" s="45">
        <f t="shared" si="3"/>
        <v>132</v>
      </c>
      <c r="C140" s="93"/>
      <c r="D140" s="94"/>
      <c r="E140" s="94"/>
      <c r="F140" s="45"/>
      <c r="G140" s="57"/>
      <c r="H140" s="45"/>
      <c r="I140" s="45"/>
      <c r="J140" s="45"/>
      <c r="K140" s="45"/>
      <c r="L140" s="85"/>
      <c r="M140" s="86"/>
      <c r="N140" s="45"/>
      <c r="O140" s="45"/>
      <c r="P140" s="45"/>
      <c r="Q140" s="87"/>
      <c r="R140" s="95"/>
      <c r="S140" s="92"/>
      <c r="T140" s="107"/>
      <c r="U140" s="1"/>
      <c r="V140" s="3"/>
      <c r="W140" s="1"/>
      <c r="X140" s="1"/>
    </row>
    <row r="141" ht="30.0" customHeight="1">
      <c r="A141" s="1"/>
      <c r="B141" s="45">
        <f t="shared" si="3"/>
        <v>133</v>
      </c>
      <c r="C141" s="93"/>
      <c r="D141" s="94"/>
      <c r="E141" s="94"/>
      <c r="F141" s="45"/>
      <c r="G141" s="57"/>
      <c r="H141" s="45"/>
      <c r="I141" s="45"/>
      <c r="J141" s="45"/>
      <c r="K141" s="45"/>
      <c r="L141" s="85"/>
      <c r="M141" s="86"/>
      <c r="N141" s="45"/>
      <c r="O141" s="45"/>
      <c r="P141" s="45"/>
      <c r="Q141" s="87"/>
      <c r="R141" s="95"/>
      <c r="S141" s="92"/>
      <c r="T141" s="107"/>
      <c r="U141" s="1"/>
      <c r="V141" s="3"/>
      <c r="W141" s="1"/>
      <c r="X141" s="1"/>
    </row>
    <row r="142" ht="30.0" customHeight="1">
      <c r="A142" s="1"/>
      <c r="B142" s="45">
        <f t="shared" si="3"/>
        <v>134</v>
      </c>
      <c r="C142" s="93"/>
      <c r="D142" s="94"/>
      <c r="E142" s="94"/>
      <c r="F142" s="45"/>
      <c r="G142" s="57"/>
      <c r="H142" s="45"/>
      <c r="I142" s="45"/>
      <c r="J142" s="45"/>
      <c r="K142" s="45"/>
      <c r="L142" s="85"/>
      <c r="M142" s="86"/>
      <c r="N142" s="45"/>
      <c r="O142" s="45"/>
      <c r="P142" s="45"/>
      <c r="Q142" s="87"/>
      <c r="R142" s="95"/>
      <c r="S142" s="92"/>
      <c r="T142" s="107"/>
      <c r="U142" s="1"/>
      <c r="V142" s="3"/>
      <c r="W142" s="1"/>
      <c r="X142" s="1"/>
    </row>
    <row r="143" ht="30.0" customHeight="1">
      <c r="A143" s="1"/>
      <c r="B143" s="45">
        <f t="shared" si="3"/>
        <v>135</v>
      </c>
      <c r="C143" s="93"/>
      <c r="D143" s="94"/>
      <c r="E143" s="94"/>
      <c r="F143" s="45"/>
      <c r="G143" s="57"/>
      <c r="H143" s="45"/>
      <c r="I143" s="45"/>
      <c r="J143" s="45"/>
      <c r="K143" s="45"/>
      <c r="L143" s="85"/>
      <c r="M143" s="86"/>
      <c r="N143" s="45"/>
      <c r="O143" s="45"/>
      <c r="P143" s="45"/>
      <c r="Q143" s="111"/>
      <c r="R143" s="95"/>
      <c r="S143" s="92"/>
      <c r="T143" s="107"/>
      <c r="U143" s="1"/>
      <c r="V143" s="3"/>
      <c r="W143" s="1"/>
      <c r="X143" s="1"/>
    </row>
    <row r="144" ht="30.0" customHeight="1">
      <c r="A144" s="1"/>
      <c r="B144" s="45">
        <f t="shared" si="3"/>
        <v>136</v>
      </c>
      <c r="C144" s="93"/>
      <c r="D144" s="94"/>
      <c r="E144" s="94"/>
      <c r="F144" s="45"/>
      <c r="G144" s="57"/>
      <c r="H144" s="45"/>
      <c r="I144" s="45"/>
      <c r="J144" s="45"/>
      <c r="K144" s="45"/>
      <c r="L144" s="85"/>
      <c r="M144" s="86"/>
      <c r="N144" s="45"/>
      <c r="O144" s="45"/>
      <c r="P144" s="45"/>
      <c r="Q144" s="111"/>
      <c r="R144" s="95"/>
      <c r="S144" s="92"/>
      <c r="T144" s="107"/>
      <c r="U144" s="1"/>
      <c r="V144" s="3"/>
      <c r="W144" s="1"/>
      <c r="X144" s="1"/>
    </row>
    <row r="145" ht="60.0" customHeight="1">
      <c r="A145" s="1"/>
      <c r="B145" s="45">
        <f t="shared" si="3"/>
        <v>137</v>
      </c>
      <c r="C145" s="93"/>
      <c r="D145" s="94"/>
      <c r="E145" s="94"/>
      <c r="F145" s="45"/>
      <c r="G145" s="57"/>
      <c r="H145" s="45"/>
      <c r="I145" s="45"/>
      <c r="J145" s="45"/>
      <c r="K145" s="45"/>
      <c r="L145" s="85"/>
      <c r="M145" s="86"/>
      <c r="N145" s="45"/>
      <c r="O145" s="45"/>
      <c r="P145" s="45"/>
      <c r="Q145" s="111"/>
      <c r="R145" s="95"/>
      <c r="S145" s="92"/>
      <c r="T145" s="107"/>
      <c r="U145" s="1"/>
      <c r="V145" s="3"/>
      <c r="W145" s="1"/>
      <c r="X145" s="1"/>
    </row>
    <row r="146" ht="48.75" customHeight="1">
      <c r="A146" s="1"/>
      <c r="B146" s="45">
        <f t="shared" si="3"/>
        <v>138</v>
      </c>
      <c r="C146" s="93"/>
      <c r="D146" s="94"/>
      <c r="E146" s="94"/>
      <c r="F146" s="45"/>
      <c r="G146" s="57"/>
      <c r="H146" s="45"/>
      <c r="I146" s="45"/>
      <c r="J146" s="45"/>
      <c r="K146" s="45"/>
      <c r="L146" s="85"/>
      <c r="M146" s="86"/>
      <c r="N146" s="45"/>
      <c r="O146" s="45"/>
      <c r="P146" s="45"/>
      <c r="Q146" s="111"/>
      <c r="R146" s="95"/>
      <c r="S146" s="92"/>
      <c r="T146" s="107"/>
      <c r="U146" s="1"/>
      <c r="V146" s="3"/>
      <c r="W146" s="1"/>
      <c r="X146" s="1"/>
    </row>
    <row r="147" ht="38.25" customHeight="1">
      <c r="A147" s="1"/>
      <c r="B147" s="45">
        <f t="shared" si="3"/>
        <v>139</v>
      </c>
      <c r="C147" s="93"/>
      <c r="D147" s="94"/>
      <c r="E147" s="94"/>
      <c r="F147" s="45"/>
      <c r="G147" s="57"/>
      <c r="H147" s="45"/>
      <c r="I147" s="45"/>
      <c r="J147" s="45"/>
      <c r="K147" s="45"/>
      <c r="L147" s="85"/>
      <c r="M147" s="86"/>
      <c r="N147" s="45"/>
      <c r="O147" s="45"/>
      <c r="P147" s="45"/>
      <c r="Q147" s="87"/>
      <c r="R147" s="95"/>
      <c r="S147" s="92"/>
      <c r="T147" s="107"/>
      <c r="U147" s="1"/>
      <c r="V147" s="3"/>
      <c r="W147" s="1"/>
      <c r="X147" s="1"/>
    </row>
    <row r="148" ht="30.0" customHeight="1">
      <c r="A148" s="1"/>
      <c r="B148" s="45">
        <f t="shared" si="3"/>
        <v>140</v>
      </c>
      <c r="C148" s="93"/>
      <c r="D148" s="94"/>
      <c r="E148" s="94"/>
      <c r="F148" s="45"/>
      <c r="G148" s="57"/>
      <c r="H148" s="45"/>
      <c r="I148" s="45"/>
      <c r="J148" s="45"/>
      <c r="K148" s="45"/>
      <c r="L148" s="85"/>
      <c r="M148" s="86"/>
      <c r="N148" s="45"/>
      <c r="O148" s="45"/>
      <c r="P148" s="45"/>
      <c r="Q148" s="87"/>
      <c r="R148" s="95"/>
      <c r="S148" s="92"/>
      <c r="T148" s="107"/>
      <c r="U148" s="1"/>
      <c r="V148" s="3"/>
      <c r="W148" s="1"/>
      <c r="X148" s="1"/>
    </row>
    <row r="149" ht="30.0" customHeight="1">
      <c r="A149" s="1"/>
      <c r="B149" s="45">
        <f t="shared" si="3"/>
        <v>141</v>
      </c>
      <c r="C149" s="93"/>
      <c r="D149" s="94"/>
      <c r="E149" s="94"/>
      <c r="F149" s="45"/>
      <c r="G149" s="57"/>
      <c r="H149" s="45"/>
      <c r="I149" s="45"/>
      <c r="J149" s="45"/>
      <c r="K149" s="45"/>
      <c r="L149" s="85"/>
      <c r="M149" s="86"/>
      <c r="N149" s="45"/>
      <c r="O149" s="45"/>
      <c r="P149" s="45"/>
      <c r="Q149" s="87"/>
      <c r="R149" s="95"/>
      <c r="S149" s="92"/>
      <c r="T149" s="107"/>
      <c r="U149" s="1"/>
      <c r="V149" s="3"/>
      <c r="W149" s="1"/>
      <c r="X149" s="1"/>
    </row>
    <row r="150" ht="30.0" customHeight="1">
      <c r="A150" s="1"/>
      <c r="B150" s="45">
        <f t="shared" si="3"/>
        <v>142</v>
      </c>
      <c r="C150" s="93"/>
      <c r="D150" s="94"/>
      <c r="E150" s="94"/>
      <c r="F150" s="45"/>
      <c r="G150" s="57"/>
      <c r="H150" s="45"/>
      <c r="I150" s="45"/>
      <c r="J150" s="45"/>
      <c r="K150" s="45"/>
      <c r="L150" s="85"/>
      <c r="M150" s="86"/>
      <c r="N150" s="45"/>
      <c r="O150" s="45"/>
      <c r="P150" s="45"/>
      <c r="Q150" s="87"/>
      <c r="R150" s="95"/>
      <c r="S150" s="92"/>
      <c r="T150" s="107"/>
      <c r="U150" s="1"/>
      <c r="V150" s="3"/>
      <c r="W150" s="1"/>
      <c r="X150" s="1"/>
    </row>
    <row r="151" ht="30.0" customHeight="1">
      <c r="A151" s="1"/>
      <c r="B151" s="45">
        <f t="shared" si="3"/>
        <v>143</v>
      </c>
      <c r="C151" s="93"/>
      <c r="D151" s="94"/>
      <c r="E151" s="94"/>
      <c r="F151" s="45"/>
      <c r="G151" s="57"/>
      <c r="H151" s="45"/>
      <c r="I151" s="45"/>
      <c r="J151" s="45"/>
      <c r="K151" s="45"/>
      <c r="L151" s="85"/>
      <c r="M151" s="86"/>
      <c r="N151" s="45"/>
      <c r="O151" s="45"/>
      <c r="P151" s="45"/>
      <c r="Q151" s="87"/>
      <c r="R151" s="95"/>
      <c r="S151" s="92"/>
      <c r="T151" s="107"/>
      <c r="U151" s="1"/>
      <c r="V151" s="3"/>
      <c r="W151" s="1"/>
      <c r="X151" s="1"/>
    </row>
    <row r="152" ht="30.0" customHeight="1">
      <c r="A152" s="1"/>
      <c r="B152" s="45">
        <f t="shared" si="3"/>
        <v>144</v>
      </c>
      <c r="C152" s="93"/>
      <c r="D152" s="94"/>
      <c r="E152" s="94"/>
      <c r="F152" s="94"/>
      <c r="G152" s="57"/>
      <c r="H152" s="45"/>
      <c r="I152" s="45"/>
      <c r="J152" s="45"/>
      <c r="K152" s="45"/>
      <c r="L152" s="85"/>
      <c r="M152" s="86"/>
      <c r="N152" s="45"/>
      <c r="O152" s="45"/>
      <c r="P152" s="45"/>
      <c r="Q152" s="87"/>
      <c r="R152" s="95"/>
      <c r="S152" s="92"/>
      <c r="T152" s="107"/>
      <c r="U152" s="1"/>
      <c r="V152" s="3"/>
      <c r="W152" s="1"/>
      <c r="X152" s="1"/>
    </row>
    <row r="153" ht="30.0" customHeight="1">
      <c r="A153" s="1"/>
      <c r="B153" s="45">
        <f t="shared" si="3"/>
        <v>145</v>
      </c>
      <c r="C153" s="93"/>
      <c r="D153" s="94"/>
      <c r="E153" s="94"/>
      <c r="F153" s="45"/>
      <c r="G153" s="57"/>
      <c r="H153" s="45"/>
      <c r="I153" s="45"/>
      <c r="J153" s="45"/>
      <c r="K153" s="45"/>
      <c r="L153" s="85"/>
      <c r="M153" s="86"/>
      <c r="N153" s="45"/>
      <c r="O153" s="45"/>
      <c r="P153" s="45"/>
      <c r="Q153" s="87"/>
      <c r="R153" s="95"/>
      <c r="S153" s="92"/>
      <c r="T153" s="107"/>
      <c r="U153" s="1"/>
      <c r="V153" s="3"/>
      <c r="W153" s="1"/>
      <c r="X153" s="1"/>
    </row>
    <row r="154" ht="30.0" customHeight="1">
      <c r="A154" s="1"/>
      <c r="B154" s="45">
        <f t="shared" si="3"/>
        <v>146</v>
      </c>
      <c r="C154" s="93"/>
      <c r="D154" s="94"/>
      <c r="E154" s="94"/>
      <c r="F154" s="45"/>
      <c r="G154" s="57"/>
      <c r="H154" s="45"/>
      <c r="I154" s="45"/>
      <c r="J154" s="45"/>
      <c r="K154" s="45"/>
      <c r="L154" s="85"/>
      <c r="M154" s="86"/>
      <c r="N154" s="45"/>
      <c r="O154" s="45"/>
      <c r="P154" s="45"/>
      <c r="Q154" s="87"/>
      <c r="R154" s="95"/>
      <c r="S154" s="92"/>
      <c r="T154" s="107"/>
      <c r="U154" s="1"/>
      <c r="V154" s="3"/>
      <c r="W154" s="1"/>
      <c r="X154" s="1"/>
    </row>
    <row r="155" ht="30.0" customHeight="1">
      <c r="A155" s="1"/>
      <c r="B155" s="45">
        <f t="shared" si="3"/>
        <v>147</v>
      </c>
      <c r="C155" s="93"/>
      <c r="D155" s="94"/>
      <c r="E155" s="94"/>
      <c r="F155" s="45"/>
      <c r="G155" s="57"/>
      <c r="H155" s="45"/>
      <c r="I155" s="45"/>
      <c r="J155" s="45"/>
      <c r="K155" s="45"/>
      <c r="L155" s="85"/>
      <c r="M155" s="86"/>
      <c r="N155" s="45"/>
      <c r="O155" s="45"/>
      <c r="P155" s="45"/>
      <c r="Q155" s="87"/>
      <c r="R155" s="95"/>
      <c r="S155" s="92"/>
      <c r="T155" s="107"/>
      <c r="U155" s="1"/>
      <c r="V155" s="3"/>
      <c r="W155" s="1"/>
      <c r="X155" s="1"/>
    </row>
    <row r="156" ht="26.25" customHeight="1">
      <c r="A156" s="1"/>
      <c r="B156" s="45">
        <f t="shared" si="3"/>
        <v>148</v>
      </c>
      <c r="C156" s="93"/>
      <c r="D156" s="94"/>
      <c r="E156" s="94"/>
      <c r="F156" s="45"/>
      <c r="G156" s="57"/>
      <c r="H156" s="45"/>
      <c r="I156" s="45"/>
      <c r="J156" s="45"/>
      <c r="K156" s="45"/>
      <c r="L156" s="85"/>
      <c r="M156" s="86"/>
      <c r="N156" s="45"/>
      <c r="O156" s="45"/>
      <c r="P156" s="45"/>
      <c r="Q156" s="87"/>
      <c r="R156" s="95"/>
      <c r="S156" s="92"/>
      <c r="T156" s="107"/>
      <c r="U156" s="1"/>
      <c r="V156" s="3"/>
      <c r="W156" s="1"/>
      <c r="X156" s="1"/>
    </row>
    <row r="157" ht="30.0" customHeight="1">
      <c r="A157" s="1"/>
      <c r="B157" s="45">
        <f t="shared" si="3"/>
        <v>149</v>
      </c>
      <c r="C157" s="93"/>
      <c r="D157" s="94"/>
      <c r="E157" s="94"/>
      <c r="F157" s="45"/>
      <c r="G157" s="57"/>
      <c r="H157" s="45"/>
      <c r="I157" s="45"/>
      <c r="J157" s="45"/>
      <c r="K157" s="45"/>
      <c r="L157" s="85"/>
      <c r="M157" s="86"/>
      <c r="N157" s="45"/>
      <c r="O157" s="45"/>
      <c r="P157" s="45"/>
      <c r="Q157" s="87"/>
      <c r="R157" s="95"/>
      <c r="S157" s="92"/>
      <c r="T157" s="107"/>
      <c r="U157" s="1"/>
      <c r="V157" s="3"/>
      <c r="W157" s="1"/>
      <c r="X157" s="1"/>
    </row>
    <row r="158" ht="30.0" customHeight="1">
      <c r="A158" s="1"/>
      <c r="B158" s="45">
        <f t="shared" si="3"/>
        <v>150</v>
      </c>
      <c r="C158" s="93"/>
      <c r="D158" s="94"/>
      <c r="E158" s="94"/>
      <c r="F158" s="45"/>
      <c r="G158" s="57"/>
      <c r="H158" s="45"/>
      <c r="I158" s="45"/>
      <c r="J158" s="45"/>
      <c r="K158" s="45"/>
      <c r="L158" s="85"/>
      <c r="M158" s="86"/>
      <c r="N158" s="45"/>
      <c r="O158" s="45"/>
      <c r="P158" s="45"/>
      <c r="Q158" s="87"/>
      <c r="R158" s="95"/>
      <c r="S158" s="92"/>
      <c r="T158" s="107"/>
      <c r="U158" s="1"/>
      <c r="V158" s="3"/>
      <c r="W158" s="1"/>
      <c r="X158" s="1"/>
    </row>
    <row r="159" ht="37.5" customHeight="1">
      <c r="A159" s="1"/>
      <c r="B159" s="45">
        <f t="shared" si="3"/>
        <v>151</v>
      </c>
      <c r="C159" s="93"/>
      <c r="D159" s="94"/>
      <c r="E159" s="94"/>
      <c r="F159" s="45"/>
      <c r="G159" s="57"/>
      <c r="H159" s="45"/>
      <c r="I159" s="45"/>
      <c r="J159" s="45"/>
      <c r="K159" s="45"/>
      <c r="L159" s="85"/>
      <c r="M159" s="86"/>
      <c r="N159" s="45"/>
      <c r="O159" s="45"/>
      <c r="P159" s="45"/>
      <c r="Q159" s="87"/>
      <c r="R159" s="95"/>
      <c r="S159" s="92"/>
      <c r="T159" s="107"/>
      <c r="U159" s="1"/>
      <c r="V159" s="3"/>
      <c r="W159" s="1"/>
      <c r="X159" s="1"/>
    </row>
    <row r="160" ht="30.0" customHeight="1">
      <c r="A160" s="1"/>
      <c r="B160" s="45">
        <f t="shared" si="3"/>
        <v>152</v>
      </c>
      <c r="C160" s="93"/>
      <c r="D160" s="94"/>
      <c r="E160" s="94"/>
      <c r="F160" s="45"/>
      <c r="G160" s="57"/>
      <c r="H160" s="45"/>
      <c r="I160" s="45"/>
      <c r="J160" s="45"/>
      <c r="K160" s="45"/>
      <c r="L160" s="85"/>
      <c r="M160" s="86"/>
      <c r="N160" s="45"/>
      <c r="O160" s="45"/>
      <c r="P160" s="45"/>
      <c r="Q160" s="87"/>
      <c r="R160" s="95"/>
      <c r="S160" s="92"/>
      <c r="T160" s="107"/>
      <c r="U160" s="1"/>
      <c r="V160" s="3"/>
      <c r="W160" s="1"/>
      <c r="X160" s="1"/>
    </row>
    <row r="161" ht="30.0" customHeight="1">
      <c r="A161" s="1"/>
      <c r="B161" s="45">
        <f t="shared" si="3"/>
        <v>153</v>
      </c>
      <c r="C161" s="93"/>
      <c r="D161" s="94"/>
      <c r="E161" s="94"/>
      <c r="F161" s="45"/>
      <c r="G161" s="57"/>
      <c r="H161" s="45"/>
      <c r="I161" s="45"/>
      <c r="J161" s="45"/>
      <c r="K161" s="45"/>
      <c r="L161" s="85"/>
      <c r="M161" s="86"/>
      <c r="N161" s="45"/>
      <c r="O161" s="45"/>
      <c r="P161" s="45"/>
      <c r="Q161" s="87"/>
      <c r="R161" s="95"/>
      <c r="S161" s="92"/>
      <c r="T161" s="107"/>
      <c r="U161" s="1"/>
      <c r="V161" s="3"/>
      <c r="W161" s="1"/>
      <c r="X161" s="1"/>
    </row>
    <row r="162" ht="30.0" customHeight="1">
      <c r="A162" s="1"/>
      <c r="B162" s="45">
        <f t="shared" si="3"/>
        <v>154</v>
      </c>
      <c r="C162" s="93"/>
      <c r="D162" s="94"/>
      <c r="E162" s="94"/>
      <c r="F162" s="45"/>
      <c r="G162" s="57"/>
      <c r="H162" s="94"/>
      <c r="I162" s="45"/>
      <c r="J162" s="45"/>
      <c r="K162" s="45"/>
      <c r="L162" s="85"/>
      <c r="M162" s="86"/>
      <c r="N162" s="45"/>
      <c r="O162" s="45"/>
      <c r="P162" s="45"/>
      <c r="Q162" s="87"/>
      <c r="R162" s="95"/>
      <c r="S162" s="92"/>
      <c r="T162" s="107"/>
      <c r="U162" s="1"/>
      <c r="V162" s="3"/>
      <c r="W162" s="1"/>
      <c r="X162" s="1"/>
    </row>
    <row r="163" ht="30.0" customHeight="1">
      <c r="A163" s="1"/>
      <c r="B163" s="45">
        <f t="shared" si="3"/>
        <v>155</v>
      </c>
      <c r="C163" s="93"/>
      <c r="D163" s="94"/>
      <c r="E163" s="94"/>
      <c r="F163" s="45"/>
      <c r="G163" s="57"/>
      <c r="H163" s="45"/>
      <c r="I163" s="45"/>
      <c r="J163" s="45"/>
      <c r="K163" s="45"/>
      <c r="L163" s="85"/>
      <c r="M163" s="86"/>
      <c r="N163" s="45"/>
      <c r="O163" s="45"/>
      <c r="P163" s="45"/>
      <c r="Q163" s="87"/>
      <c r="R163" s="95"/>
      <c r="S163" s="92"/>
      <c r="T163" s="107"/>
      <c r="U163" s="1"/>
      <c r="V163" s="3"/>
      <c r="W163" s="1"/>
      <c r="X163" s="1"/>
    </row>
    <row r="164" ht="30.0" customHeight="1">
      <c r="A164" s="1"/>
      <c r="B164" s="45">
        <f t="shared" si="3"/>
        <v>156</v>
      </c>
      <c r="C164" s="93"/>
      <c r="D164" s="94"/>
      <c r="E164" s="94"/>
      <c r="F164" s="45"/>
      <c r="G164" s="57"/>
      <c r="H164" s="45"/>
      <c r="I164" s="45"/>
      <c r="J164" s="45"/>
      <c r="K164" s="45"/>
      <c r="L164" s="85"/>
      <c r="M164" s="86"/>
      <c r="N164" s="45"/>
      <c r="O164" s="45"/>
      <c r="P164" s="45"/>
      <c r="Q164" s="87"/>
      <c r="R164" s="95"/>
      <c r="S164" s="92"/>
      <c r="T164" s="107"/>
      <c r="U164" s="1"/>
      <c r="V164" s="3"/>
      <c r="W164" s="1"/>
      <c r="X164" s="1"/>
    </row>
    <row r="165" ht="45.0" customHeight="1">
      <c r="A165" s="1"/>
      <c r="B165" s="45">
        <f t="shared" si="3"/>
        <v>157</v>
      </c>
      <c r="C165" s="93"/>
      <c r="D165" s="94"/>
      <c r="E165" s="94"/>
      <c r="F165" s="45"/>
      <c r="G165" s="57"/>
      <c r="H165" s="45"/>
      <c r="I165" s="45"/>
      <c r="J165" s="45"/>
      <c r="K165" s="45"/>
      <c r="L165" s="85"/>
      <c r="M165" s="86"/>
      <c r="N165" s="45"/>
      <c r="O165" s="45"/>
      <c r="P165" s="45"/>
      <c r="Q165" s="87"/>
      <c r="R165" s="95"/>
      <c r="S165" s="92"/>
      <c r="T165" s="107"/>
      <c r="U165" s="1"/>
      <c r="V165" s="3"/>
      <c r="W165" s="1"/>
      <c r="X165" s="1"/>
    </row>
    <row r="166" ht="34.5" customHeight="1">
      <c r="A166" s="1"/>
      <c r="B166" s="45">
        <f t="shared" si="3"/>
        <v>158</v>
      </c>
      <c r="C166" s="93"/>
      <c r="D166" s="94"/>
      <c r="E166" s="94"/>
      <c r="F166" s="45"/>
      <c r="G166" s="57"/>
      <c r="H166" s="45"/>
      <c r="I166" s="45"/>
      <c r="J166" s="45"/>
      <c r="K166" s="45"/>
      <c r="L166" s="85"/>
      <c r="M166" s="86"/>
      <c r="N166" s="45"/>
      <c r="O166" s="45"/>
      <c r="P166" s="45"/>
      <c r="Q166" s="87"/>
      <c r="R166" s="95"/>
      <c r="S166" s="92"/>
      <c r="T166" s="107"/>
      <c r="U166" s="1"/>
      <c r="V166" s="3"/>
      <c r="W166" s="1"/>
      <c r="X166" s="1"/>
    </row>
    <row r="167" ht="30.0" customHeight="1">
      <c r="A167" s="1"/>
      <c r="B167" s="45">
        <f t="shared" si="3"/>
        <v>159</v>
      </c>
      <c r="C167" s="93"/>
      <c r="D167" s="94"/>
      <c r="E167" s="94"/>
      <c r="F167" s="45"/>
      <c r="G167" s="57"/>
      <c r="H167" s="45"/>
      <c r="I167" s="45"/>
      <c r="J167" s="45"/>
      <c r="K167" s="45"/>
      <c r="L167" s="85"/>
      <c r="M167" s="86"/>
      <c r="N167" s="45"/>
      <c r="O167" s="45"/>
      <c r="P167" s="45"/>
      <c r="Q167" s="87"/>
      <c r="R167" s="95"/>
      <c r="S167" s="92"/>
      <c r="T167" s="107"/>
      <c r="U167" s="1"/>
      <c r="V167" s="3"/>
      <c r="W167" s="1"/>
      <c r="X167" s="1"/>
    </row>
    <row r="168" ht="30.0" customHeight="1">
      <c r="A168" s="1"/>
      <c r="B168" s="45">
        <f t="shared" si="3"/>
        <v>160</v>
      </c>
      <c r="C168" s="93"/>
      <c r="D168" s="94"/>
      <c r="E168" s="94"/>
      <c r="F168" s="45"/>
      <c r="G168" s="57"/>
      <c r="H168" s="45"/>
      <c r="I168" s="45"/>
      <c r="J168" s="45"/>
      <c r="K168" s="45"/>
      <c r="L168" s="85"/>
      <c r="M168" s="86"/>
      <c r="N168" s="45"/>
      <c r="O168" s="45"/>
      <c r="P168" s="45"/>
      <c r="Q168" s="87"/>
      <c r="R168" s="95"/>
      <c r="S168" s="92"/>
      <c r="T168" s="107"/>
      <c r="U168" s="1"/>
      <c r="V168" s="3"/>
      <c r="W168" s="1"/>
      <c r="X168" s="1"/>
    </row>
    <row r="169" ht="30.0" customHeight="1">
      <c r="A169" s="1"/>
      <c r="B169" s="45">
        <f t="shared" si="3"/>
        <v>161</v>
      </c>
      <c r="C169" s="93"/>
      <c r="D169" s="94"/>
      <c r="E169" s="94"/>
      <c r="F169" s="45"/>
      <c r="G169" s="57"/>
      <c r="H169" s="45"/>
      <c r="I169" s="45"/>
      <c r="J169" s="45"/>
      <c r="K169" s="45"/>
      <c r="L169" s="85"/>
      <c r="M169" s="86"/>
      <c r="N169" s="45"/>
      <c r="O169" s="45"/>
      <c r="P169" s="45"/>
      <c r="Q169" s="87"/>
      <c r="R169" s="95"/>
      <c r="S169" s="92"/>
      <c r="T169" s="107"/>
      <c r="U169" s="1"/>
      <c r="V169" s="3"/>
      <c r="W169" s="1"/>
      <c r="X169" s="1"/>
    </row>
    <row r="170" ht="30.0" customHeight="1">
      <c r="A170" s="1"/>
      <c r="B170" s="45">
        <f t="shared" si="3"/>
        <v>162</v>
      </c>
      <c r="C170" s="93"/>
      <c r="D170" s="94"/>
      <c r="E170" s="94"/>
      <c r="F170" s="45"/>
      <c r="G170" s="57"/>
      <c r="H170" s="45"/>
      <c r="I170" s="45"/>
      <c r="J170" s="45"/>
      <c r="K170" s="45"/>
      <c r="L170" s="85"/>
      <c r="M170" s="86"/>
      <c r="N170" s="45"/>
      <c r="O170" s="45"/>
      <c r="P170" s="45"/>
      <c r="Q170" s="87"/>
      <c r="R170" s="95"/>
      <c r="S170" s="92"/>
      <c r="T170" s="107"/>
      <c r="U170" s="1"/>
      <c r="V170" s="3"/>
      <c r="W170" s="1"/>
      <c r="X170" s="1"/>
    </row>
    <row r="171" ht="30.0" customHeight="1">
      <c r="A171" s="1"/>
      <c r="B171" s="45">
        <f t="shared" si="3"/>
        <v>163</v>
      </c>
      <c r="C171" s="93"/>
      <c r="D171" s="94"/>
      <c r="E171" s="94"/>
      <c r="F171" s="45"/>
      <c r="G171" s="57"/>
      <c r="H171" s="45"/>
      <c r="I171" s="45"/>
      <c r="J171" s="45"/>
      <c r="K171" s="45"/>
      <c r="L171" s="85"/>
      <c r="M171" s="86"/>
      <c r="N171" s="45"/>
      <c r="O171" s="45"/>
      <c r="P171" s="45"/>
      <c r="Q171" s="87"/>
      <c r="R171" s="95"/>
      <c r="S171" s="92"/>
      <c r="T171" s="107"/>
      <c r="U171" s="1"/>
      <c r="V171" s="3"/>
      <c r="W171" s="1"/>
      <c r="X171" s="1"/>
    </row>
    <row r="172" ht="30.0" customHeight="1">
      <c r="A172" s="1"/>
      <c r="B172" s="45">
        <f t="shared" si="3"/>
        <v>164</v>
      </c>
      <c r="C172" s="93"/>
      <c r="D172" s="94"/>
      <c r="E172" s="94"/>
      <c r="F172" s="45"/>
      <c r="G172" s="57"/>
      <c r="H172" s="45"/>
      <c r="I172" s="45"/>
      <c r="J172" s="45"/>
      <c r="K172" s="45"/>
      <c r="L172" s="85"/>
      <c r="M172" s="86"/>
      <c r="N172" s="45"/>
      <c r="O172" s="45"/>
      <c r="P172" s="45"/>
      <c r="Q172" s="87"/>
      <c r="R172" s="95"/>
      <c r="S172" s="92"/>
      <c r="T172" s="107"/>
      <c r="U172" s="1"/>
      <c r="V172" s="3"/>
      <c r="W172" s="1"/>
      <c r="X172" s="1"/>
    </row>
    <row r="173" ht="30.0" customHeight="1">
      <c r="A173" s="1"/>
      <c r="B173" s="45">
        <f t="shared" si="3"/>
        <v>165</v>
      </c>
      <c r="C173" s="93"/>
      <c r="D173" s="94"/>
      <c r="E173" s="94"/>
      <c r="F173" s="45"/>
      <c r="G173" s="57"/>
      <c r="H173" s="45"/>
      <c r="I173" s="45"/>
      <c r="J173" s="45"/>
      <c r="K173" s="45"/>
      <c r="L173" s="85"/>
      <c r="M173" s="86"/>
      <c r="N173" s="45"/>
      <c r="O173" s="45"/>
      <c r="P173" s="45"/>
      <c r="Q173" s="87"/>
      <c r="R173" s="95"/>
      <c r="S173" s="92"/>
      <c r="T173" s="107"/>
      <c r="U173" s="1"/>
      <c r="V173" s="3"/>
      <c r="W173" s="1"/>
      <c r="X173" s="1"/>
    </row>
    <row r="174" ht="30.0" customHeight="1">
      <c r="A174" s="1"/>
      <c r="B174" s="45">
        <f t="shared" si="3"/>
        <v>166</v>
      </c>
      <c r="C174" s="93"/>
      <c r="D174" s="94"/>
      <c r="E174" s="94"/>
      <c r="F174" s="45"/>
      <c r="G174" s="57"/>
      <c r="H174" s="45"/>
      <c r="I174" s="45"/>
      <c r="J174" s="45"/>
      <c r="K174" s="45"/>
      <c r="L174" s="85"/>
      <c r="M174" s="86"/>
      <c r="N174" s="45"/>
      <c r="O174" s="45"/>
      <c r="P174" s="45"/>
      <c r="Q174" s="87"/>
      <c r="R174" s="95"/>
      <c r="S174" s="92"/>
      <c r="T174" s="107"/>
      <c r="U174" s="1"/>
      <c r="V174" s="3"/>
      <c r="W174" s="1"/>
      <c r="X174" s="1"/>
    </row>
    <row r="175" ht="30.0" customHeight="1">
      <c r="A175" s="1"/>
      <c r="B175" s="45">
        <f t="shared" si="3"/>
        <v>167</v>
      </c>
      <c r="C175" s="93"/>
      <c r="D175" s="94"/>
      <c r="E175" s="94"/>
      <c r="F175" s="45"/>
      <c r="G175" s="57"/>
      <c r="H175" s="45"/>
      <c r="I175" s="45"/>
      <c r="J175" s="45"/>
      <c r="K175" s="45"/>
      <c r="L175" s="85"/>
      <c r="M175" s="86"/>
      <c r="N175" s="45"/>
      <c r="O175" s="45"/>
      <c r="P175" s="45"/>
      <c r="Q175" s="87"/>
      <c r="R175" s="95"/>
      <c r="S175" s="92"/>
      <c r="T175" s="107"/>
      <c r="U175" s="1"/>
      <c r="V175" s="3"/>
      <c r="W175" s="1"/>
      <c r="X175" s="1"/>
    </row>
    <row r="176" ht="16.5" customHeight="1">
      <c r="A176" s="1"/>
      <c r="B176" s="45">
        <f t="shared" si="3"/>
        <v>168</v>
      </c>
      <c r="C176" s="93"/>
      <c r="D176" s="94"/>
      <c r="E176" s="94"/>
      <c r="F176" s="45"/>
      <c r="G176" s="57"/>
      <c r="H176" s="45"/>
      <c r="I176" s="45"/>
      <c r="J176" s="45"/>
      <c r="K176" s="45"/>
      <c r="L176" s="85"/>
      <c r="M176" s="86"/>
      <c r="N176" s="45"/>
      <c r="O176" s="45"/>
      <c r="P176" s="45"/>
      <c r="Q176" s="87"/>
      <c r="R176" s="95"/>
      <c r="S176" s="92"/>
      <c r="T176" s="107"/>
      <c r="U176" s="1"/>
      <c r="V176" s="3"/>
      <c r="W176" s="1"/>
      <c r="X176" s="1"/>
    </row>
    <row r="177" ht="30.0" customHeight="1">
      <c r="A177" s="1"/>
      <c r="B177" s="45">
        <f t="shared" si="3"/>
        <v>169</v>
      </c>
      <c r="C177" s="93"/>
      <c r="D177" s="94"/>
      <c r="E177" s="94"/>
      <c r="F177" s="45"/>
      <c r="G177" s="57"/>
      <c r="H177" s="45"/>
      <c r="I177" s="45"/>
      <c r="J177" s="45"/>
      <c r="K177" s="45"/>
      <c r="L177" s="85"/>
      <c r="M177" s="86"/>
      <c r="N177" s="45"/>
      <c r="O177" s="45"/>
      <c r="P177" s="45"/>
      <c r="Q177" s="87"/>
      <c r="R177" s="95"/>
      <c r="S177" s="92"/>
      <c r="T177" s="107"/>
      <c r="U177" s="1"/>
      <c r="V177" s="3"/>
      <c r="W177" s="1"/>
      <c r="X177" s="1"/>
    </row>
    <row r="178" ht="30.0" customHeight="1">
      <c r="A178" s="1"/>
      <c r="B178" s="45">
        <f t="shared" si="3"/>
        <v>170</v>
      </c>
      <c r="C178" s="93"/>
      <c r="D178" s="94"/>
      <c r="E178" s="94"/>
      <c r="F178" s="45"/>
      <c r="G178" s="57"/>
      <c r="H178" s="45"/>
      <c r="I178" s="45"/>
      <c r="J178" s="45"/>
      <c r="K178" s="45"/>
      <c r="L178" s="85"/>
      <c r="M178" s="86"/>
      <c r="N178" s="45"/>
      <c r="O178" s="45"/>
      <c r="P178" s="45"/>
      <c r="Q178" s="87"/>
      <c r="R178" s="95"/>
      <c r="S178" s="92"/>
      <c r="T178" s="107"/>
      <c r="U178" s="1"/>
      <c r="V178" s="3"/>
      <c r="W178" s="1"/>
      <c r="X178" s="1"/>
    </row>
    <row r="179" ht="30.0" customHeight="1">
      <c r="A179" s="1"/>
      <c r="B179" s="45">
        <f t="shared" si="3"/>
        <v>171</v>
      </c>
      <c r="C179" s="93"/>
      <c r="D179" s="94"/>
      <c r="E179" s="94"/>
      <c r="F179" s="45"/>
      <c r="G179" s="57"/>
      <c r="H179" s="45"/>
      <c r="I179" s="45"/>
      <c r="J179" s="45"/>
      <c r="K179" s="45"/>
      <c r="L179" s="85"/>
      <c r="M179" s="86"/>
      <c r="N179" s="45"/>
      <c r="O179" s="45"/>
      <c r="P179" s="45"/>
      <c r="Q179" s="87"/>
      <c r="R179" s="95"/>
      <c r="S179" s="92"/>
      <c r="T179" s="107"/>
      <c r="U179" s="1"/>
      <c r="V179" s="3"/>
      <c r="W179" s="1"/>
      <c r="X179" s="1"/>
    </row>
    <row r="180" ht="30.0" customHeight="1">
      <c r="A180" s="1"/>
      <c r="B180" s="45">
        <f t="shared" si="3"/>
        <v>172</v>
      </c>
      <c r="C180" s="93"/>
      <c r="D180" s="94"/>
      <c r="E180" s="94"/>
      <c r="F180" s="45"/>
      <c r="G180" s="57"/>
      <c r="H180" s="45"/>
      <c r="I180" s="45"/>
      <c r="J180" s="45"/>
      <c r="K180" s="45"/>
      <c r="L180" s="85"/>
      <c r="M180" s="86"/>
      <c r="N180" s="45"/>
      <c r="O180" s="45"/>
      <c r="P180" s="45"/>
      <c r="Q180" s="111"/>
      <c r="R180" s="95"/>
      <c r="S180" s="92"/>
      <c r="T180" s="107"/>
      <c r="U180" s="1"/>
      <c r="V180" s="3"/>
      <c r="W180" s="1"/>
      <c r="X180" s="1"/>
    </row>
    <row r="181" ht="30.0" customHeight="1">
      <c r="A181" s="1"/>
      <c r="B181" s="45">
        <f t="shared" si="3"/>
        <v>173</v>
      </c>
      <c r="C181" s="93"/>
      <c r="D181" s="94"/>
      <c r="E181" s="94"/>
      <c r="F181" s="45"/>
      <c r="G181" s="57"/>
      <c r="H181" s="45"/>
      <c r="I181" s="45"/>
      <c r="J181" s="45"/>
      <c r="K181" s="45"/>
      <c r="L181" s="85"/>
      <c r="M181" s="86"/>
      <c r="N181" s="45"/>
      <c r="O181" s="45"/>
      <c r="P181" s="45"/>
      <c r="Q181" s="87"/>
      <c r="R181" s="95"/>
      <c r="S181" s="92"/>
      <c r="T181" s="107"/>
      <c r="U181" s="1"/>
      <c r="V181" s="3"/>
      <c r="W181" s="1"/>
      <c r="X181" s="1"/>
    </row>
    <row r="182" ht="30.0" customHeight="1">
      <c r="A182" s="1"/>
      <c r="B182" s="45">
        <f t="shared" si="3"/>
        <v>174</v>
      </c>
      <c r="C182" s="93"/>
      <c r="D182" s="94"/>
      <c r="E182" s="94"/>
      <c r="F182" s="45"/>
      <c r="G182" s="57"/>
      <c r="H182" s="45"/>
      <c r="I182" s="45"/>
      <c r="J182" s="45"/>
      <c r="K182" s="45"/>
      <c r="L182" s="85"/>
      <c r="M182" s="86"/>
      <c r="N182" s="45"/>
      <c r="O182" s="45"/>
      <c r="P182" s="45"/>
      <c r="Q182" s="87"/>
      <c r="R182" s="95"/>
      <c r="S182" s="92"/>
      <c r="T182" s="107"/>
      <c r="U182" s="1"/>
      <c r="V182" s="3"/>
      <c r="W182" s="1"/>
      <c r="X182" s="1"/>
    </row>
    <row r="183" ht="30.0" customHeight="1">
      <c r="A183" s="1"/>
      <c r="B183" s="45">
        <f t="shared" si="3"/>
        <v>175</v>
      </c>
      <c r="C183" s="93"/>
      <c r="D183" s="94"/>
      <c r="E183" s="94"/>
      <c r="F183" s="45"/>
      <c r="G183" s="57"/>
      <c r="H183" s="45"/>
      <c r="I183" s="45"/>
      <c r="J183" s="45"/>
      <c r="K183" s="45"/>
      <c r="L183" s="85"/>
      <c r="M183" s="86"/>
      <c r="N183" s="45"/>
      <c r="O183" s="45"/>
      <c r="P183" s="45"/>
      <c r="Q183" s="87"/>
      <c r="R183" s="95"/>
      <c r="S183" s="92"/>
      <c r="T183" s="107"/>
      <c r="U183" s="1"/>
      <c r="V183" s="3"/>
      <c r="W183" s="1"/>
      <c r="X183" s="1"/>
    </row>
    <row r="184" ht="30.0" customHeight="1">
      <c r="A184" s="1"/>
      <c r="B184" s="45">
        <f t="shared" si="3"/>
        <v>176</v>
      </c>
      <c r="C184" s="93"/>
      <c r="D184" s="94"/>
      <c r="E184" s="94"/>
      <c r="F184" s="45"/>
      <c r="G184" s="57"/>
      <c r="H184" s="45"/>
      <c r="I184" s="45"/>
      <c r="J184" s="45"/>
      <c r="K184" s="45"/>
      <c r="L184" s="85"/>
      <c r="M184" s="86"/>
      <c r="N184" s="45"/>
      <c r="O184" s="45"/>
      <c r="P184" s="45"/>
      <c r="Q184" s="87"/>
      <c r="R184" s="95"/>
      <c r="S184" s="92"/>
      <c r="T184" s="107"/>
      <c r="U184" s="1"/>
      <c r="V184" s="3"/>
      <c r="W184" s="1"/>
      <c r="X184" s="1"/>
    </row>
    <row r="185" ht="16.5" customHeight="1">
      <c r="A185" s="1"/>
      <c r="B185" s="45">
        <f t="shared" si="3"/>
        <v>177</v>
      </c>
      <c r="C185" s="93"/>
      <c r="D185" s="94"/>
      <c r="E185" s="94"/>
      <c r="F185" s="45"/>
      <c r="G185" s="57"/>
      <c r="H185" s="45"/>
      <c r="I185" s="45"/>
      <c r="J185" s="45"/>
      <c r="K185" s="45"/>
      <c r="L185" s="85"/>
      <c r="M185" s="86"/>
      <c r="N185" s="45"/>
      <c r="O185" s="45"/>
      <c r="P185" s="45"/>
      <c r="Q185" s="87"/>
      <c r="R185" s="95"/>
      <c r="S185" s="92"/>
      <c r="T185" s="107"/>
      <c r="U185" s="1"/>
      <c r="V185" s="3"/>
      <c r="W185" s="1"/>
      <c r="X185" s="1"/>
    </row>
    <row r="186" ht="30.0" customHeight="1">
      <c r="A186" s="1"/>
      <c r="B186" s="45">
        <f t="shared" si="3"/>
        <v>178</v>
      </c>
      <c r="C186" s="93"/>
      <c r="D186" s="94"/>
      <c r="E186" s="94"/>
      <c r="F186" s="45"/>
      <c r="G186" s="57"/>
      <c r="H186" s="45"/>
      <c r="I186" s="45"/>
      <c r="J186" s="45"/>
      <c r="K186" s="45"/>
      <c r="L186" s="85"/>
      <c r="M186" s="86"/>
      <c r="N186" s="45"/>
      <c r="O186" s="45"/>
      <c r="P186" s="45"/>
      <c r="Q186" s="87"/>
      <c r="R186" s="95"/>
      <c r="S186" s="92"/>
      <c r="T186" s="107"/>
      <c r="U186" s="1"/>
      <c r="V186" s="3"/>
      <c r="W186" s="1"/>
      <c r="X186" s="1"/>
    </row>
    <row r="187" ht="16.5" customHeight="1">
      <c r="A187" s="1"/>
      <c r="B187" s="45">
        <f t="shared" si="3"/>
        <v>179</v>
      </c>
      <c r="C187" s="93"/>
      <c r="D187" s="94"/>
      <c r="E187" s="94"/>
      <c r="F187" s="45"/>
      <c r="G187" s="57"/>
      <c r="H187" s="45"/>
      <c r="I187" s="45"/>
      <c r="J187" s="45"/>
      <c r="K187" s="45"/>
      <c r="L187" s="85"/>
      <c r="M187" s="86"/>
      <c r="N187" s="45"/>
      <c r="O187" s="45"/>
      <c r="P187" s="45"/>
      <c r="Q187" s="87"/>
      <c r="R187" s="95"/>
      <c r="S187" s="92"/>
      <c r="T187" s="107"/>
      <c r="U187" s="1"/>
      <c r="V187" s="3"/>
      <c r="W187" s="1"/>
      <c r="X187" s="1"/>
    </row>
    <row r="188" ht="30.0" customHeight="1">
      <c r="A188" s="1"/>
      <c r="B188" s="45">
        <f t="shared" si="3"/>
        <v>180</v>
      </c>
      <c r="C188" s="93"/>
      <c r="D188" s="94"/>
      <c r="E188" s="94"/>
      <c r="F188" s="45"/>
      <c r="G188" s="57"/>
      <c r="H188" s="45"/>
      <c r="I188" s="45"/>
      <c r="J188" s="45"/>
      <c r="K188" s="45"/>
      <c r="L188" s="85"/>
      <c r="M188" s="86"/>
      <c r="N188" s="45"/>
      <c r="O188" s="45"/>
      <c r="P188" s="45"/>
      <c r="Q188" s="87"/>
      <c r="R188" s="95"/>
      <c r="S188" s="92"/>
      <c r="T188" s="107"/>
      <c r="U188" s="1"/>
      <c r="V188" s="3"/>
      <c r="W188" s="1"/>
      <c r="X188" s="1"/>
    </row>
    <row r="189" ht="30.0" customHeight="1">
      <c r="A189" s="1"/>
      <c r="B189" s="45">
        <f t="shared" si="3"/>
        <v>181</v>
      </c>
      <c r="C189" s="93"/>
      <c r="D189" s="94"/>
      <c r="E189" s="94"/>
      <c r="F189" s="45"/>
      <c r="G189" s="57"/>
      <c r="H189" s="45"/>
      <c r="I189" s="45"/>
      <c r="J189" s="45"/>
      <c r="K189" s="45"/>
      <c r="L189" s="85"/>
      <c r="M189" s="86"/>
      <c r="N189" s="45"/>
      <c r="O189" s="45"/>
      <c r="P189" s="45"/>
      <c r="Q189" s="87"/>
      <c r="R189" s="95"/>
      <c r="S189" s="92"/>
      <c r="T189" s="107"/>
      <c r="U189" s="1"/>
      <c r="V189" s="3"/>
      <c r="W189" s="1"/>
      <c r="X189" s="1"/>
    </row>
    <row r="190" ht="30.0" customHeight="1">
      <c r="A190" s="1"/>
      <c r="B190" s="45">
        <f t="shared" si="3"/>
        <v>182</v>
      </c>
      <c r="C190" s="93"/>
      <c r="D190" s="94"/>
      <c r="E190" s="94"/>
      <c r="F190" s="45"/>
      <c r="G190" s="57"/>
      <c r="H190" s="45"/>
      <c r="I190" s="45"/>
      <c r="J190" s="94"/>
      <c r="K190" s="45"/>
      <c r="L190" s="85"/>
      <c r="M190" s="86"/>
      <c r="N190" s="45"/>
      <c r="O190" s="45"/>
      <c r="P190" s="45"/>
      <c r="Q190" s="87"/>
      <c r="R190" s="95"/>
      <c r="S190" s="92"/>
      <c r="T190" s="107"/>
      <c r="U190" s="1"/>
      <c r="V190" s="3"/>
      <c r="W190" s="1"/>
      <c r="X190" s="1"/>
    </row>
    <row r="191" ht="30.0" customHeight="1">
      <c r="A191" s="1"/>
      <c r="B191" s="45">
        <f t="shared" si="3"/>
        <v>183</v>
      </c>
      <c r="C191" s="93"/>
      <c r="D191" s="94"/>
      <c r="E191" s="94"/>
      <c r="F191" s="45"/>
      <c r="G191" s="57"/>
      <c r="H191" s="45"/>
      <c r="I191" s="45"/>
      <c r="J191" s="94"/>
      <c r="K191" s="45"/>
      <c r="L191" s="85"/>
      <c r="M191" s="86"/>
      <c r="N191" s="45"/>
      <c r="O191" s="45"/>
      <c r="P191" s="45"/>
      <c r="Q191" s="87"/>
      <c r="R191" s="95"/>
      <c r="S191" s="92"/>
      <c r="T191" s="107"/>
      <c r="U191" s="1"/>
      <c r="V191" s="3"/>
      <c r="W191" s="1"/>
      <c r="X191" s="1"/>
    </row>
    <row r="192" ht="30.0" customHeight="1">
      <c r="A192" s="1"/>
      <c r="B192" s="45">
        <f t="shared" si="3"/>
        <v>184</v>
      </c>
      <c r="C192" s="93"/>
      <c r="D192" s="94"/>
      <c r="E192" s="94"/>
      <c r="F192" s="45"/>
      <c r="G192" s="57"/>
      <c r="H192" s="45"/>
      <c r="I192" s="45"/>
      <c r="J192" s="94"/>
      <c r="K192" s="45"/>
      <c r="L192" s="85"/>
      <c r="M192" s="86"/>
      <c r="N192" s="45"/>
      <c r="O192" s="45"/>
      <c r="P192" s="45"/>
      <c r="Q192" s="87"/>
      <c r="R192" s="95"/>
      <c r="S192" s="92"/>
      <c r="T192" s="107"/>
      <c r="U192" s="1"/>
      <c r="V192" s="3"/>
      <c r="W192" s="1"/>
      <c r="X192" s="1"/>
    </row>
    <row r="193" ht="30.0" customHeight="1">
      <c r="A193" s="1"/>
      <c r="B193" s="45">
        <f t="shared" si="3"/>
        <v>185</v>
      </c>
      <c r="C193" s="93"/>
      <c r="D193" s="94"/>
      <c r="E193" s="94"/>
      <c r="F193" s="45"/>
      <c r="G193" s="57"/>
      <c r="H193" s="45"/>
      <c r="I193" s="45"/>
      <c r="J193" s="94"/>
      <c r="K193" s="45"/>
      <c r="L193" s="85"/>
      <c r="M193" s="86"/>
      <c r="N193" s="45"/>
      <c r="O193" s="45"/>
      <c r="P193" s="45"/>
      <c r="Q193" s="87"/>
      <c r="R193" s="95"/>
      <c r="S193" s="92"/>
      <c r="T193" s="107"/>
      <c r="U193" s="1"/>
      <c r="V193" s="3"/>
      <c r="W193" s="1"/>
      <c r="X193" s="1"/>
    </row>
    <row r="194" ht="24.75" customHeight="1">
      <c r="A194" s="1"/>
      <c r="B194" s="1"/>
      <c r="C194" s="1"/>
      <c r="D194" s="8"/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45"/>
      <c r="P194" s="1"/>
      <c r="Q194" s="1"/>
      <c r="R194" s="8"/>
      <c r="S194" s="1"/>
      <c r="T194" s="107"/>
      <c r="U194" s="1"/>
      <c r="V194" s="3"/>
      <c r="W194" s="1"/>
      <c r="X194" s="1"/>
    </row>
    <row r="195" ht="24.75" customHeight="1">
      <c r="A195" s="1"/>
      <c r="B195" s="1"/>
      <c r="C195" s="1"/>
      <c r="D195" s="8"/>
      <c r="E195" s="8"/>
      <c r="F195" s="1"/>
      <c r="G195" s="1"/>
      <c r="H195" s="1"/>
      <c r="I195" s="1"/>
      <c r="J195" s="1"/>
      <c r="K195" s="1"/>
      <c r="L195" s="1"/>
      <c r="M195" s="1"/>
      <c r="N195" s="1"/>
      <c r="O195" s="45"/>
      <c r="P195" s="1"/>
      <c r="Q195" s="1"/>
      <c r="R195" s="8"/>
      <c r="S195" s="1"/>
      <c r="T195" s="107"/>
      <c r="U195" s="1"/>
      <c r="V195" s="3"/>
      <c r="W195" s="1"/>
      <c r="X195" s="1"/>
    </row>
    <row r="196" ht="24.75" customHeight="1">
      <c r="A196" s="1"/>
      <c r="B196" s="1"/>
      <c r="C196" s="1"/>
      <c r="D196" s="8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45"/>
      <c r="P196" s="1"/>
      <c r="Q196" s="1"/>
      <c r="R196" s="8"/>
      <c r="S196" s="1"/>
      <c r="T196" s="107"/>
      <c r="U196" s="1"/>
      <c r="V196" s="3"/>
      <c r="W196" s="1"/>
      <c r="X196" s="1"/>
    </row>
    <row r="197" ht="24.75" customHeight="1">
      <c r="A197" s="1"/>
      <c r="B197" s="1"/>
      <c r="C197" s="1"/>
      <c r="D197" s="8"/>
      <c r="E197" s="8"/>
      <c r="F197" s="1"/>
      <c r="G197" s="1"/>
      <c r="H197" s="1"/>
      <c r="I197" s="1"/>
      <c r="J197" s="1"/>
      <c r="K197" s="1"/>
      <c r="L197" s="1"/>
      <c r="M197" s="1"/>
      <c r="N197" s="1"/>
      <c r="O197" s="45"/>
      <c r="P197" s="1"/>
      <c r="Q197" s="1"/>
      <c r="R197" s="8"/>
      <c r="S197" s="1"/>
      <c r="T197" s="107"/>
      <c r="U197" s="1"/>
      <c r="V197" s="3"/>
      <c r="W197" s="1"/>
      <c r="X197" s="1"/>
    </row>
    <row r="198" ht="24.75" customHeight="1">
      <c r="A198" s="1"/>
      <c r="B198" s="1"/>
      <c r="C198" s="1"/>
      <c r="D198" s="8"/>
      <c r="E198" s="8"/>
      <c r="F198" s="1"/>
      <c r="G198" s="1"/>
      <c r="H198" s="1"/>
      <c r="I198" s="1"/>
      <c r="J198" s="1"/>
      <c r="K198" s="1"/>
      <c r="L198" s="1"/>
      <c r="M198" s="1"/>
      <c r="N198" s="1"/>
      <c r="O198" s="45"/>
      <c r="P198" s="1"/>
      <c r="Q198" s="1"/>
      <c r="R198" s="8"/>
      <c r="S198" s="1"/>
      <c r="T198" s="107"/>
      <c r="U198" s="1"/>
      <c r="V198" s="3"/>
      <c r="W198" s="1"/>
      <c r="X198" s="1"/>
    </row>
    <row r="199" ht="24.75" customHeight="1">
      <c r="A199" s="1"/>
      <c r="B199" s="1"/>
      <c r="C199" s="1"/>
      <c r="D199" s="8"/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45"/>
      <c r="P199" s="1"/>
      <c r="Q199" s="1"/>
      <c r="R199" s="8"/>
      <c r="S199" s="1"/>
      <c r="T199" s="107"/>
      <c r="U199" s="1"/>
      <c r="V199" s="3"/>
      <c r="W199" s="1"/>
      <c r="X199" s="1"/>
    </row>
    <row r="200" ht="24.75" customHeight="1">
      <c r="A200" s="1"/>
      <c r="B200" s="1"/>
      <c r="C200" s="1"/>
      <c r="D200" s="8"/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45"/>
      <c r="P200" s="1"/>
      <c r="Q200" s="1"/>
      <c r="R200" s="8"/>
      <c r="S200" s="1"/>
      <c r="T200" s="107"/>
      <c r="U200" s="1"/>
      <c r="V200" s="3"/>
      <c r="W200" s="1"/>
      <c r="X200" s="1"/>
    </row>
    <row r="201" ht="24.75" customHeight="1">
      <c r="A201" s="1"/>
      <c r="B201" s="1"/>
      <c r="C201" s="1"/>
      <c r="D201" s="8"/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45"/>
      <c r="P201" s="1"/>
      <c r="Q201" s="1"/>
      <c r="R201" s="8"/>
      <c r="S201" s="1"/>
      <c r="T201" s="107"/>
      <c r="U201" s="1"/>
      <c r="V201" s="3"/>
      <c r="W201" s="1"/>
      <c r="X201" s="1"/>
    </row>
    <row r="202" ht="24.75" customHeight="1">
      <c r="A202" s="1"/>
      <c r="B202" s="1"/>
      <c r="C202" s="1"/>
      <c r="D202" s="8"/>
      <c r="E202" s="8"/>
      <c r="F202" s="1"/>
      <c r="G202" s="1"/>
      <c r="H202" s="1"/>
      <c r="I202" s="1"/>
      <c r="J202" s="1"/>
      <c r="K202" s="1"/>
      <c r="L202" s="1"/>
      <c r="M202" s="1"/>
      <c r="N202" s="1"/>
      <c r="O202" s="45"/>
      <c r="P202" s="1"/>
      <c r="Q202" s="1"/>
      <c r="R202" s="8"/>
      <c r="S202" s="1"/>
      <c r="T202" s="107"/>
      <c r="U202" s="1"/>
      <c r="V202" s="3"/>
      <c r="W202" s="1"/>
      <c r="X202" s="1"/>
    </row>
    <row r="203" ht="24.75" customHeight="1">
      <c r="A203" s="1"/>
      <c r="B203" s="1"/>
      <c r="C203" s="1"/>
      <c r="D203" s="8"/>
      <c r="E203" s="8"/>
      <c r="F203" s="1"/>
      <c r="G203" s="1"/>
      <c r="H203" s="1"/>
      <c r="I203" s="1"/>
      <c r="J203" s="1"/>
      <c r="K203" s="1"/>
      <c r="L203" s="1"/>
      <c r="M203" s="1"/>
      <c r="N203" s="1"/>
      <c r="O203" s="45"/>
      <c r="P203" s="1"/>
      <c r="Q203" s="1"/>
      <c r="R203" s="8"/>
      <c r="S203" s="1"/>
      <c r="T203" s="107"/>
      <c r="U203" s="1"/>
      <c r="V203" s="3"/>
      <c r="W203" s="1"/>
      <c r="X203" s="1"/>
    </row>
    <row r="204" ht="24.75" customHeight="1">
      <c r="A204" s="1"/>
      <c r="B204" s="1"/>
      <c r="C204" s="1"/>
      <c r="D204" s="8"/>
      <c r="E204" s="8"/>
      <c r="F204" s="1"/>
      <c r="G204" s="1"/>
      <c r="H204" s="1"/>
      <c r="I204" s="1"/>
      <c r="J204" s="1"/>
      <c r="K204" s="1"/>
      <c r="L204" s="1"/>
      <c r="M204" s="1"/>
      <c r="N204" s="1"/>
      <c r="O204" s="45"/>
      <c r="P204" s="1"/>
      <c r="Q204" s="1"/>
      <c r="R204" s="8"/>
      <c r="S204" s="1"/>
      <c r="T204" s="107"/>
      <c r="U204" s="1"/>
      <c r="V204" s="3"/>
      <c r="W204" s="1"/>
      <c r="X204" s="1"/>
    </row>
    <row r="205" ht="24.75" customHeight="1">
      <c r="A205" s="1"/>
      <c r="B205" s="1"/>
      <c r="C205" s="1"/>
      <c r="D205" s="8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45"/>
      <c r="P205" s="1"/>
      <c r="Q205" s="1"/>
      <c r="R205" s="8"/>
      <c r="S205" s="1"/>
      <c r="T205" s="107"/>
      <c r="U205" s="1"/>
      <c r="V205" s="3"/>
      <c r="W205" s="1"/>
      <c r="X205" s="1"/>
    </row>
    <row r="206" ht="24.75" customHeight="1">
      <c r="A206" s="1"/>
      <c r="B206" s="1"/>
      <c r="C206" s="1"/>
      <c r="D206" s="8"/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45"/>
      <c r="P206" s="1"/>
      <c r="Q206" s="1"/>
      <c r="R206" s="8"/>
      <c r="S206" s="1"/>
      <c r="T206" s="107"/>
      <c r="U206" s="1"/>
      <c r="V206" s="3"/>
      <c r="W206" s="1"/>
      <c r="X206" s="1"/>
    </row>
    <row r="207" ht="24.75" customHeight="1">
      <c r="A207" s="1"/>
      <c r="B207" s="1"/>
      <c r="C207" s="1"/>
      <c r="D207" s="8"/>
      <c r="E207" s="8"/>
      <c r="F207" s="1"/>
      <c r="G207" s="1"/>
      <c r="H207" s="1"/>
      <c r="I207" s="1"/>
      <c r="J207" s="1"/>
      <c r="K207" s="1"/>
      <c r="L207" s="1"/>
      <c r="M207" s="1"/>
      <c r="N207" s="1"/>
      <c r="O207" s="45"/>
      <c r="P207" s="1"/>
      <c r="Q207" s="1"/>
      <c r="R207" s="8"/>
      <c r="S207" s="1"/>
      <c r="T207" s="107"/>
      <c r="U207" s="1"/>
      <c r="V207" s="3"/>
      <c r="W207" s="1"/>
      <c r="X207" s="1"/>
    </row>
    <row r="208" ht="24.75" customHeight="1">
      <c r="A208" s="1"/>
      <c r="B208" s="1"/>
      <c r="C208" s="1"/>
      <c r="D208" s="8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45"/>
      <c r="P208" s="1"/>
      <c r="Q208" s="1"/>
      <c r="R208" s="8"/>
      <c r="S208" s="1"/>
      <c r="T208" s="107"/>
      <c r="U208" s="1"/>
      <c r="V208" s="3"/>
      <c r="W208" s="1"/>
      <c r="X208" s="1"/>
    </row>
    <row r="209" ht="24.75" customHeight="1">
      <c r="A209" s="1"/>
      <c r="B209" s="1"/>
      <c r="C209" s="1"/>
      <c r="D209" s="8"/>
      <c r="E209" s="8"/>
      <c r="F209" s="1"/>
      <c r="G209" s="1"/>
      <c r="H209" s="1"/>
      <c r="I209" s="1"/>
      <c r="J209" s="1"/>
      <c r="K209" s="1"/>
      <c r="L209" s="1"/>
      <c r="M209" s="1"/>
      <c r="N209" s="1"/>
      <c r="O209" s="45"/>
      <c r="P209" s="1"/>
      <c r="Q209" s="1"/>
      <c r="R209" s="8"/>
      <c r="S209" s="1"/>
      <c r="T209" s="107"/>
      <c r="U209" s="1"/>
      <c r="V209" s="3"/>
      <c r="W209" s="1"/>
      <c r="X209" s="1"/>
    </row>
    <row r="210" ht="24.75" customHeight="1">
      <c r="A210" s="1"/>
      <c r="B210" s="1"/>
      <c r="C210" s="1"/>
      <c r="D210" s="8"/>
      <c r="E210" s="8"/>
      <c r="F210" s="1"/>
      <c r="G210" s="1"/>
      <c r="H210" s="1"/>
      <c r="I210" s="1"/>
      <c r="J210" s="1"/>
      <c r="K210" s="1"/>
      <c r="L210" s="1"/>
      <c r="M210" s="1"/>
      <c r="N210" s="1"/>
      <c r="O210" s="45"/>
      <c r="P210" s="1"/>
      <c r="Q210" s="1"/>
      <c r="R210" s="8"/>
      <c r="S210" s="1"/>
      <c r="T210" s="107"/>
      <c r="U210" s="1"/>
      <c r="V210" s="3"/>
      <c r="W210" s="1"/>
      <c r="X210" s="1"/>
    </row>
    <row r="211" ht="24.75" customHeight="1">
      <c r="A211" s="1"/>
      <c r="B211" s="1"/>
      <c r="C211" s="1"/>
      <c r="D211" s="8"/>
      <c r="E211" s="8"/>
      <c r="F211" s="1"/>
      <c r="G211" s="1"/>
      <c r="H211" s="1"/>
      <c r="I211" s="1"/>
      <c r="J211" s="1"/>
      <c r="K211" s="1"/>
      <c r="L211" s="1"/>
      <c r="M211" s="1"/>
      <c r="N211" s="1"/>
      <c r="O211" s="45"/>
      <c r="P211" s="1"/>
      <c r="Q211" s="1"/>
      <c r="R211" s="8"/>
      <c r="S211" s="1"/>
      <c r="T211" s="107"/>
      <c r="U211" s="1"/>
      <c r="V211" s="3"/>
      <c r="W211" s="1"/>
      <c r="X211" s="1"/>
    </row>
    <row r="212" ht="24.75" customHeight="1">
      <c r="A212" s="1"/>
      <c r="B212" s="1"/>
      <c r="C212" s="1"/>
      <c r="D212" s="8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45"/>
      <c r="P212" s="1"/>
      <c r="Q212" s="1"/>
      <c r="R212" s="8"/>
      <c r="S212" s="1"/>
      <c r="T212" s="107"/>
      <c r="U212" s="1"/>
      <c r="V212" s="3"/>
      <c r="W212" s="1"/>
      <c r="X212" s="1"/>
    </row>
    <row r="213" ht="24.75" customHeight="1">
      <c r="A213" s="1"/>
      <c r="B213" s="1"/>
      <c r="C213" s="1"/>
      <c r="D213" s="8"/>
      <c r="E213" s="8"/>
      <c r="F213" s="1"/>
      <c r="G213" s="1"/>
      <c r="H213" s="1"/>
      <c r="I213" s="1"/>
      <c r="J213" s="1"/>
      <c r="K213" s="1"/>
      <c r="L213" s="1"/>
      <c r="M213" s="1"/>
      <c r="N213" s="1"/>
      <c r="O213" s="45"/>
      <c r="P213" s="1"/>
      <c r="Q213" s="1"/>
      <c r="R213" s="8"/>
      <c r="S213" s="1"/>
      <c r="T213" s="107"/>
      <c r="U213" s="1"/>
      <c r="V213" s="3"/>
      <c r="W213" s="1"/>
      <c r="X213" s="1"/>
    </row>
    <row r="214" ht="24.75" customHeight="1">
      <c r="A214" s="1"/>
      <c r="B214" s="1"/>
      <c r="C214" s="1"/>
      <c r="D214" s="8"/>
      <c r="E214" s="8"/>
      <c r="F214" s="1"/>
      <c r="G214" s="1"/>
      <c r="H214" s="1"/>
      <c r="I214" s="1"/>
      <c r="J214" s="1"/>
      <c r="K214" s="1"/>
      <c r="L214" s="1"/>
      <c r="M214" s="1"/>
      <c r="N214" s="1"/>
      <c r="O214" s="45"/>
      <c r="P214" s="1"/>
      <c r="Q214" s="1"/>
      <c r="R214" s="8"/>
      <c r="S214" s="1"/>
      <c r="T214" s="107"/>
      <c r="U214" s="1"/>
      <c r="V214" s="3"/>
      <c r="W214" s="1"/>
      <c r="X214" s="1"/>
    </row>
    <row r="215" ht="24.75" customHeight="1">
      <c r="A215" s="1"/>
      <c r="B215" s="1"/>
      <c r="C215" s="1"/>
      <c r="D215" s="8"/>
      <c r="E215" s="8"/>
      <c r="F215" s="1"/>
      <c r="G215" s="1"/>
      <c r="H215" s="1"/>
      <c r="I215" s="1"/>
      <c r="J215" s="1"/>
      <c r="K215" s="1"/>
      <c r="L215" s="1"/>
      <c r="M215" s="1"/>
      <c r="N215" s="1"/>
      <c r="O215" s="45"/>
      <c r="P215" s="1"/>
      <c r="Q215" s="1"/>
      <c r="R215" s="8"/>
      <c r="S215" s="1"/>
      <c r="T215" s="107"/>
      <c r="U215" s="1"/>
      <c r="V215" s="3"/>
      <c r="W215" s="1"/>
      <c r="X215" s="1"/>
    </row>
    <row r="216" ht="24.75" customHeight="1">
      <c r="A216" s="1"/>
      <c r="B216" s="1"/>
      <c r="C216" s="1"/>
      <c r="D216" s="8"/>
      <c r="E216" s="8"/>
      <c r="F216" s="1"/>
      <c r="G216" s="1"/>
      <c r="H216" s="1"/>
      <c r="I216" s="1"/>
      <c r="J216" s="1"/>
      <c r="K216" s="1"/>
      <c r="L216" s="1"/>
      <c r="M216" s="1"/>
      <c r="N216" s="1"/>
      <c r="O216" s="45"/>
      <c r="P216" s="1"/>
      <c r="Q216" s="1"/>
      <c r="R216" s="8"/>
      <c r="S216" s="1"/>
      <c r="T216" s="107"/>
      <c r="U216" s="1"/>
      <c r="V216" s="3"/>
      <c r="W216" s="1"/>
      <c r="X216" s="1"/>
    </row>
    <row r="217" ht="24.75" customHeight="1">
      <c r="A217" s="1"/>
      <c r="B217" s="1"/>
      <c r="C217" s="1"/>
      <c r="D217" s="8"/>
      <c r="E217" s="8"/>
      <c r="F217" s="1"/>
      <c r="G217" s="1"/>
      <c r="H217" s="1"/>
      <c r="I217" s="1"/>
      <c r="J217" s="1"/>
      <c r="K217" s="1"/>
      <c r="L217" s="1"/>
      <c r="M217" s="1"/>
      <c r="N217" s="1"/>
      <c r="O217" s="45"/>
      <c r="P217" s="1"/>
      <c r="Q217" s="1"/>
      <c r="R217" s="8"/>
      <c r="S217" s="1"/>
      <c r="T217" s="107"/>
      <c r="U217" s="1"/>
      <c r="V217" s="3"/>
      <c r="W217" s="1"/>
      <c r="X217" s="1"/>
    </row>
    <row r="218" ht="24.75" customHeight="1">
      <c r="A218" s="1"/>
      <c r="B218" s="1"/>
      <c r="C218" s="1"/>
      <c r="D218" s="8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45"/>
      <c r="P218" s="1"/>
      <c r="Q218" s="1"/>
      <c r="R218" s="8"/>
      <c r="S218" s="1"/>
      <c r="T218" s="107"/>
      <c r="U218" s="1"/>
      <c r="V218" s="3"/>
      <c r="W218" s="1"/>
      <c r="X218" s="1"/>
    </row>
    <row r="219" ht="24.75" customHeight="1">
      <c r="A219" s="1"/>
      <c r="B219" s="1"/>
      <c r="C219" s="1"/>
      <c r="D219" s="8"/>
      <c r="E219" s="8"/>
      <c r="F219" s="1"/>
      <c r="G219" s="1"/>
      <c r="H219" s="1"/>
      <c r="I219" s="1"/>
      <c r="J219" s="1"/>
      <c r="K219" s="1"/>
      <c r="L219" s="1"/>
      <c r="M219" s="1"/>
      <c r="N219" s="1"/>
      <c r="O219" s="45"/>
      <c r="P219" s="1"/>
      <c r="Q219" s="1"/>
      <c r="R219" s="8"/>
      <c r="S219" s="1"/>
      <c r="T219" s="107"/>
      <c r="U219" s="1"/>
      <c r="V219" s="3"/>
      <c r="W219" s="1"/>
      <c r="X219" s="1"/>
    </row>
    <row r="220" ht="24.75" customHeight="1">
      <c r="A220" s="1"/>
      <c r="B220" s="1"/>
      <c r="C220" s="1"/>
      <c r="D220" s="8"/>
      <c r="E220" s="8"/>
      <c r="F220" s="1"/>
      <c r="G220" s="1"/>
      <c r="H220" s="1"/>
      <c r="I220" s="1"/>
      <c r="J220" s="1"/>
      <c r="K220" s="1"/>
      <c r="L220" s="1"/>
      <c r="M220" s="1"/>
      <c r="N220" s="1"/>
      <c r="O220" s="45"/>
      <c r="P220" s="1"/>
      <c r="Q220" s="1"/>
      <c r="R220" s="8"/>
      <c r="S220" s="1"/>
      <c r="T220" s="107"/>
      <c r="U220" s="1"/>
      <c r="V220" s="3"/>
      <c r="W220" s="1"/>
      <c r="X220" s="1"/>
    </row>
    <row r="221" ht="24.75" customHeight="1">
      <c r="A221" s="1"/>
      <c r="B221" s="1"/>
      <c r="C221" s="1"/>
      <c r="D221" s="8"/>
      <c r="E221" s="8"/>
      <c r="F221" s="1"/>
      <c r="G221" s="1"/>
      <c r="H221" s="1"/>
      <c r="I221" s="1"/>
      <c r="J221" s="1"/>
      <c r="K221" s="1"/>
      <c r="L221" s="1"/>
      <c r="M221" s="1"/>
      <c r="N221" s="1"/>
      <c r="O221" s="45"/>
      <c r="P221" s="1"/>
      <c r="Q221" s="1"/>
      <c r="R221" s="8"/>
      <c r="S221" s="1"/>
      <c r="T221" s="107"/>
      <c r="U221" s="1"/>
      <c r="V221" s="3"/>
      <c r="W221" s="1"/>
      <c r="X221" s="1"/>
    </row>
    <row r="222" ht="24.75" customHeight="1">
      <c r="A222" s="1"/>
      <c r="B222" s="1"/>
      <c r="C222" s="1"/>
      <c r="D222" s="8"/>
      <c r="E222" s="8"/>
      <c r="F222" s="1"/>
      <c r="G222" s="1"/>
      <c r="H222" s="1"/>
      <c r="I222" s="1"/>
      <c r="J222" s="1"/>
      <c r="K222" s="1"/>
      <c r="L222" s="1"/>
      <c r="M222" s="1"/>
      <c r="N222" s="1"/>
      <c r="O222" s="45"/>
      <c r="P222" s="1"/>
      <c r="Q222" s="1"/>
      <c r="R222" s="8"/>
      <c r="S222" s="1"/>
      <c r="T222" s="107"/>
      <c r="U222" s="1"/>
      <c r="V222" s="3"/>
      <c r="W222" s="1"/>
      <c r="X222" s="1"/>
    </row>
    <row r="223" ht="24.75" customHeight="1">
      <c r="A223" s="1"/>
      <c r="B223" s="1"/>
      <c r="C223" s="1"/>
      <c r="D223" s="8"/>
      <c r="E223" s="8"/>
      <c r="F223" s="1"/>
      <c r="G223" s="1"/>
      <c r="H223" s="1"/>
      <c r="I223" s="1"/>
      <c r="J223" s="1"/>
      <c r="K223" s="1"/>
      <c r="L223" s="1"/>
      <c r="M223" s="1"/>
      <c r="N223" s="1"/>
      <c r="O223" s="45"/>
      <c r="P223" s="1"/>
      <c r="Q223" s="1"/>
      <c r="R223" s="8"/>
      <c r="S223" s="1"/>
      <c r="T223" s="107"/>
      <c r="U223" s="1"/>
      <c r="V223" s="3"/>
      <c r="W223" s="1"/>
      <c r="X223" s="1"/>
    </row>
    <row r="224" ht="16.5" customHeight="1">
      <c r="A224" s="1"/>
      <c r="B224" s="1"/>
      <c r="C224" s="1"/>
      <c r="D224" s="8"/>
      <c r="E224" s="8"/>
      <c r="F224" s="1"/>
      <c r="G224" s="1"/>
      <c r="H224" s="1"/>
      <c r="I224" s="1"/>
      <c r="J224" s="1"/>
      <c r="K224" s="1"/>
      <c r="L224" s="1"/>
      <c r="M224" s="1"/>
      <c r="N224" s="1"/>
      <c r="O224" s="45"/>
      <c r="P224" s="1"/>
      <c r="Q224" s="1"/>
      <c r="R224" s="8"/>
      <c r="S224" s="1"/>
      <c r="T224" s="107"/>
      <c r="U224" s="1"/>
      <c r="V224" s="3"/>
      <c r="W224" s="1"/>
      <c r="X224" s="1"/>
    </row>
    <row r="225" ht="16.5" customHeight="1">
      <c r="A225" s="1"/>
      <c r="B225" s="1"/>
      <c r="C225" s="1"/>
      <c r="D225" s="8"/>
      <c r="E225" s="8"/>
      <c r="F225" s="1"/>
      <c r="G225" s="1"/>
      <c r="H225" s="1"/>
      <c r="I225" s="1"/>
      <c r="J225" s="1"/>
      <c r="K225" s="1"/>
      <c r="L225" s="1"/>
      <c r="M225" s="1"/>
      <c r="N225" s="1"/>
      <c r="O225" s="45"/>
      <c r="P225" s="1"/>
      <c r="Q225" s="1"/>
      <c r="R225" s="8"/>
      <c r="S225" s="1"/>
      <c r="T225" s="107"/>
      <c r="U225" s="1"/>
      <c r="V225" s="3"/>
      <c r="W225" s="1"/>
      <c r="X225" s="1"/>
    </row>
    <row r="226" ht="16.5" customHeight="1">
      <c r="A226" s="1"/>
      <c r="B226" s="1"/>
      <c r="C226" s="1"/>
      <c r="D226" s="8"/>
      <c r="E226" s="8"/>
      <c r="F226" s="1"/>
      <c r="G226" s="1"/>
      <c r="H226" s="1"/>
      <c r="I226" s="1"/>
      <c r="J226" s="1"/>
      <c r="K226" s="1"/>
      <c r="L226" s="1"/>
      <c r="M226" s="1"/>
      <c r="N226" s="1"/>
      <c r="O226" s="45"/>
      <c r="P226" s="1"/>
      <c r="Q226" s="1"/>
      <c r="R226" s="8"/>
      <c r="S226" s="1"/>
      <c r="T226" s="107"/>
      <c r="U226" s="1"/>
      <c r="V226" s="3"/>
      <c r="W226" s="1"/>
      <c r="X226" s="1"/>
    </row>
    <row r="227" ht="16.5" customHeight="1">
      <c r="A227" s="1"/>
      <c r="B227" s="1"/>
      <c r="C227" s="1"/>
      <c r="D227" s="8"/>
      <c r="E227" s="8"/>
      <c r="F227" s="1"/>
      <c r="G227" s="1"/>
      <c r="H227" s="1"/>
      <c r="I227" s="1"/>
      <c r="J227" s="1"/>
      <c r="K227" s="1"/>
      <c r="L227" s="1"/>
      <c r="M227" s="1"/>
      <c r="N227" s="1"/>
      <c r="O227" s="45"/>
      <c r="P227" s="1"/>
      <c r="Q227" s="1"/>
      <c r="R227" s="8"/>
      <c r="S227" s="1"/>
      <c r="T227" s="107"/>
      <c r="U227" s="1"/>
      <c r="V227" s="3"/>
      <c r="W227" s="1"/>
      <c r="X227" s="1"/>
    </row>
    <row r="228" ht="16.5" customHeight="1">
      <c r="A228" s="1"/>
      <c r="B228" s="1"/>
      <c r="C228" s="1"/>
      <c r="D228" s="8"/>
      <c r="E228" s="8"/>
      <c r="F228" s="1"/>
      <c r="G228" s="1"/>
      <c r="H228" s="1"/>
      <c r="I228" s="1"/>
      <c r="J228" s="1"/>
      <c r="K228" s="1"/>
      <c r="L228" s="1"/>
      <c r="M228" s="1"/>
      <c r="N228" s="1"/>
      <c r="O228" s="45"/>
      <c r="P228" s="1"/>
      <c r="Q228" s="1"/>
      <c r="R228" s="8"/>
      <c r="S228" s="1"/>
      <c r="T228" s="107"/>
      <c r="U228" s="1"/>
      <c r="V228" s="3"/>
      <c r="W228" s="1"/>
      <c r="X228" s="1"/>
    </row>
    <row r="229" ht="16.5" customHeight="1">
      <c r="A229" s="1"/>
      <c r="B229" s="1"/>
      <c r="C229" s="1"/>
      <c r="D229" s="8"/>
      <c r="E229" s="8"/>
      <c r="F229" s="1"/>
      <c r="G229" s="1"/>
      <c r="H229" s="1"/>
      <c r="I229" s="1"/>
      <c r="J229" s="1"/>
      <c r="K229" s="1"/>
      <c r="L229" s="1"/>
      <c r="M229" s="1"/>
      <c r="N229" s="1"/>
      <c r="O229" s="45"/>
      <c r="P229" s="1"/>
      <c r="Q229" s="1"/>
      <c r="R229" s="8"/>
      <c r="S229" s="1"/>
      <c r="T229" s="107"/>
      <c r="U229" s="1"/>
      <c r="V229" s="3"/>
      <c r="W229" s="1"/>
      <c r="X229" s="1"/>
    </row>
    <row r="230" ht="16.5" customHeight="1">
      <c r="A230" s="1"/>
      <c r="B230" s="1"/>
      <c r="C230" s="1"/>
      <c r="D230" s="8"/>
      <c r="E230" s="8"/>
      <c r="F230" s="1"/>
      <c r="G230" s="1"/>
      <c r="H230" s="1"/>
      <c r="I230" s="1"/>
      <c r="J230" s="1"/>
      <c r="K230" s="1"/>
      <c r="L230" s="1"/>
      <c r="M230" s="1"/>
      <c r="N230" s="1"/>
      <c r="O230" s="45"/>
      <c r="P230" s="1"/>
      <c r="Q230" s="1"/>
      <c r="R230" s="8"/>
      <c r="S230" s="1"/>
      <c r="T230" s="107"/>
      <c r="U230" s="1"/>
      <c r="V230" s="3"/>
      <c r="W230" s="1"/>
      <c r="X230" s="1"/>
    </row>
    <row r="231" ht="16.5" customHeight="1">
      <c r="A231" s="1"/>
      <c r="B231" s="1"/>
      <c r="C231" s="1"/>
      <c r="D231" s="8"/>
      <c r="E231" s="8"/>
      <c r="F231" s="1"/>
      <c r="G231" s="1"/>
      <c r="H231" s="1"/>
      <c r="I231" s="1"/>
      <c r="J231" s="1"/>
      <c r="K231" s="1"/>
      <c r="L231" s="1"/>
      <c r="M231" s="1"/>
      <c r="N231" s="1"/>
      <c r="O231" s="45"/>
      <c r="P231" s="1"/>
      <c r="Q231" s="1"/>
      <c r="R231" s="8"/>
      <c r="S231" s="1"/>
      <c r="T231" s="107"/>
      <c r="U231" s="1"/>
      <c r="V231" s="3"/>
      <c r="W231" s="1"/>
      <c r="X231" s="1"/>
    </row>
    <row r="232" ht="16.5" customHeight="1">
      <c r="A232" s="1"/>
      <c r="B232" s="1"/>
      <c r="C232" s="1"/>
      <c r="D232" s="8"/>
      <c r="E232" s="8"/>
      <c r="F232" s="1"/>
      <c r="G232" s="1"/>
      <c r="H232" s="1"/>
      <c r="I232" s="1"/>
      <c r="J232" s="1"/>
      <c r="K232" s="1"/>
      <c r="L232" s="1"/>
      <c r="M232" s="1"/>
      <c r="N232" s="1"/>
      <c r="O232" s="45"/>
      <c r="P232" s="1"/>
      <c r="Q232" s="1"/>
      <c r="R232" s="8"/>
      <c r="S232" s="1"/>
      <c r="T232" s="107"/>
      <c r="U232" s="1"/>
      <c r="V232" s="3"/>
      <c r="W232" s="1"/>
      <c r="X232" s="1"/>
    </row>
    <row r="233" ht="16.5" customHeight="1">
      <c r="A233" s="1"/>
      <c r="B233" s="1"/>
      <c r="C233" s="1"/>
      <c r="D233" s="8"/>
      <c r="E233" s="8"/>
      <c r="F233" s="1"/>
      <c r="G233" s="1"/>
      <c r="H233" s="1"/>
      <c r="I233" s="1"/>
      <c r="J233" s="1"/>
      <c r="K233" s="1"/>
      <c r="L233" s="1"/>
      <c r="M233" s="1"/>
      <c r="N233" s="1"/>
      <c r="O233" s="45"/>
      <c r="P233" s="1"/>
      <c r="Q233" s="1"/>
      <c r="R233" s="8"/>
      <c r="S233" s="1"/>
      <c r="T233" s="107"/>
      <c r="U233" s="1"/>
      <c r="V233" s="3"/>
      <c r="W233" s="1"/>
      <c r="X233" s="1"/>
    </row>
    <row r="234" ht="16.5" customHeight="1">
      <c r="A234" s="1"/>
      <c r="B234" s="1"/>
      <c r="C234" s="1"/>
      <c r="D234" s="8"/>
      <c r="E234" s="8"/>
      <c r="F234" s="1"/>
      <c r="G234" s="1"/>
      <c r="H234" s="1"/>
      <c r="I234" s="1"/>
      <c r="J234" s="1"/>
      <c r="K234" s="1"/>
      <c r="L234" s="1"/>
      <c r="M234" s="1"/>
      <c r="N234" s="1"/>
      <c r="O234" s="45"/>
      <c r="P234" s="1"/>
      <c r="Q234" s="1"/>
      <c r="R234" s="8"/>
      <c r="S234" s="1"/>
      <c r="T234" s="107"/>
      <c r="U234" s="1"/>
      <c r="V234" s="3"/>
      <c r="W234" s="1"/>
      <c r="X234" s="1"/>
    </row>
    <row r="235" ht="16.5" customHeight="1">
      <c r="A235" s="1"/>
      <c r="B235" s="1"/>
      <c r="C235" s="1"/>
      <c r="D235" s="8"/>
      <c r="E235" s="8"/>
      <c r="F235" s="1"/>
      <c r="G235" s="1"/>
      <c r="H235" s="1"/>
      <c r="I235" s="1"/>
      <c r="J235" s="1"/>
      <c r="K235" s="1"/>
      <c r="L235" s="1"/>
      <c r="M235" s="1"/>
      <c r="N235" s="1"/>
      <c r="O235" s="45"/>
      <c r="P235" s="1"/>
      <c r="Q235" s="1"/>
      <c r="R235" s="8"/>
      <c r="S235" s="1"/>
      <c r="T235" s="107"/>
      <c r="U235" s="1"/>
      <c r="V235" s="3"/>
      <c r="W235" s="1"/>
      <c r="X235" s="1"/>
    </row>
    <row r="236" ht="16.5" customHeight="1">
      <c r="A236" s="1"/>
      <c r="B236" s="1"/>
      <c r="C236" s="1"/>
      <c r="D236" s="8"/>
      <c r="E236" s="8"/>
      <c r="F236" s="1"/>
      <c r="G236" s="1"/>
      <c r="H236" s="1"/>
      <c r="I236" s="1"/>
      <c r="J236" s="1"/>
      <c r="K236" s="1"/>
      <c r="L236" s="1"/>
      <c r="M236" s="1"/>
      <c r="N236" s="1"/>
      <c r="O236" s="45"/>
      <c r="P236" s="1"/>
      <c r="Q236" s="1"/>
      <c r="R236" s="8"/>
      <c r="S236" s="1"/>
      <c r="T236" s="107"/>
      <c r="U236" s="1"/>
      <c r="V236" s="3"/>
      <c r="W236" s="1"/>
      <c r="X236" s="1"/>
    </row>
    <row r="237" ht="16.5" customHeight="1">
      <c r="A237" s="1"/>
      <c r="B237" s="1"/>
      <c r="C237" s="1"/>
      <c r="D237" s="8"/>
      <c r="E237" s="8"/>
      <c r="F237" s="1"/>
      <c r="G237" s="1"/>
      <c r="H237" s="1"/>
      <c r="I237" s="1"/>
      <c r="J237" s="1"/>
      <c r="K237" s="1"/>
      <c r="L237" s="1"/>
      <c r="M237" s="1"/>
      <c r="N237" s="1"/>
      <c r="O237" s="45"/>
      <c r="P237" s="1"/>
      <c r="Q237" s="1"/>
      <c r="R237" s="8"/>
      <c r="S237" s="1"/>
      <c r="T237" s="107"/>
      <c r="U237" s="1"/>
      <c r="V237" s="3"/>
      <c r="W237" s="1"/>
      <c r="X237" s="1"/>
    </row>
    <row r="238" ht="16.5" customHeight="1">
      <c r="A238" s="1"/>
      <c r="B238" s="1"/>
      <c r="C238" s="1"/>
      <c r="D238" s="8"/>
      <c r="E238" s="8"/>
      <c r="F238" s="1"/>
      <c r="G238" s="1"/>
      <c r="H238" s="1"/>
      <c r="I238" s="1"/>
      <c r="J238" s="1"/>
      <c r="K238" s="1"/>
      <c r="L238" s="1"/>
      <c r="M238" s="1"/>
      <c r="N238" s="1"/>
      <c r="O238" s="45"/>
      <c r="P238" s="1"/>
      <c r="Q238" s="1"/>
      <c r="R238" s="8"/>
      <c r="S238" s="1"/>
      <c r="T238" s="107"/>
      <c r="U238" s="1"/>
      <c r="V238" s="3"/>
      <c r="W238" s="1"/>
      <c r="X238" s="1"/>
    </row>
    <row r="239" ht="16.5" customHeight="1">
      <c r="A239" s="1"/>
      <c r="B239" s="1"/>
      <c r="C239" s="1"/>
      <c r="D239" s="8"/>
      <c r="E239" s="8"/>
      <c r="F239" s="1"/>
      <c r="G239" s="1"/>
      <c r="H239" s="1"/>
      <c r="I239" s="1"/>
      <c r="J239" s="1"/>
      <c r="K239" s="1"/>
      <c r="L239" s="1"/>
      <c r="M239" s="1"/>
      <c r="N239" s="1"/>
      <c r="O239" s="45"/>
      <c r="P239" s="1"/>
      <c r="Q239" s="1"/>
      <c r="R239" s="8"/>
      <c r="S239" s="1"/>
      <c r="T239" s="107"/>
      <c r="U239" s="1"/>
      <c r="V239" s="3"/>
      <c r="W239" s="1"/>
      <c r="X239" s="1"/>
    </row>
    <row r="240" ht="16.5" customHeight="1">
      <c r="A240" s="1"/>
      <c r="B240" s="1"/>
      <c r="C240" s="1"/>
      <c r="D240" s="8"/>
      <c r="E240" s="8"/>
      <c r="F240" s="1"/>
      <c r="G240" s="1"/>
      <c r="H240" s="1"/>
      <c r="I240" s="1"/>
      <c r="J240" s="1"/>
      <c r="K240" s="1"/>
      <c r="L240" s="1"/>
      <c r="M240" s="1"/>
      <c r="N240" s="1"/>
      <c r="O240" s="45"/>
      <c r="P240" s="1"/>
      <c r="Q240" s="1"/>
      <c r="R240" s="8"/>
      <c r="S240" s="1"/>
      <c r="T240" s="107"/>
      <c r="U240" s="1"/>
      <c r="V240" s="3"/>
      <c r="W240" s="1"/>
      <c r="X240" s="1"/>
    </row>
    <row r="241" ht="16.5" customHeight="1">
      <c r="A241" s="1"/>
      <c r="B241" s="1"/>
      <c r="C241" s="1"/>
      <c r="D241" s="8"/>
      <c r="E241" s="8"/>
      <c r="F241" s="1"/>
      <c r="G241" s="1"/>
      <c r="H241" s="1"/>
      <c r="I241" s="1"/>
      <c r="J241" s="1"/>
      <c r="K241" s="1"/>
      <c r="L241" s="1"/>
      <c r="M241" s="1"/>
      <c r="N241" s="1"/>
      <c r="O241" s="45"/>
      <c r="P241" s="1"/>
      <c r="Q241" s="1"/>
      <c r="R241" s="8"/>
      <c r="S241" s="1"/>
      <c r="T241" s="107"/>
      <c r="U241" s="1"/>
      <c r="V241" s="3"/>
      <c r="W241" s="1"/>
      <c r="X241" s="1"/>
    </row>
    <row r="242" ht="16.5" customHeight="1">
      <c r="A242" s="1"/>
      <c r="B242" s="1"/>
      <c r="C242" s="1"/>
      <c r="D242" s="8"/>
      <c r="E242" s="8"/>
      <c r="F242" s="1"/>
      <c r="G242" s="1"/>
      <c r="H242" s="1"/>
      <c r="I242" s="1"/>
      <c r="J242" s="1"/>
      <c r="K242" s="1"/>
      <c r="L242" s="1"/>
      <c r="M242" s="1"/>
      <c r="N242" s="1"/>
      <c r="O242" s="45"/>
      <c r="P242" s="1"/>
      <c r="Q242" s="1"/>
      <c r="R242" s="8"/>
      <c r="S242" s="1"/>
      <c r="T242" s="107"/>
      <c r="U242" s="1"/>
      <c r="V242" s="3"/>
      <c r="W242" s="1"/>
      <c r="X242" s="1"/>
    </row>
    <row r="243" ht="16.5" customHeight="1">
      <c r="A243" s="1"/>
      <c r="B243" s="1"/>
      <c r="C243" s="1"/>
      <c r="D243" s="8"/>
      <c r="E243" s="8"/>
      <c r="F243" s="1"/>
      <c r="G243" s="1"/>
      <c r="H243" s="1"/>
      <c r="I243" s="1"/>
      <c r="J243" s="1"/>
      <c r="K243" s="1"/>
      <c r="L243" s="1"/>
      <c r="M243" s="1"/>
      <c r="N243" s="1"/>
      <c r="O243" s="45"/>
      <c r="P243" s="1"/>
      <c r="Q243" s="1"/>
      <c r="R243" s="8"/>
      <c r="S243" s="1"/>
      <c r="T243" s="107"/>
      <c r="U243" s="1"/>
      <c r="V243" s="3"/>
      <c r="W243" s="1"/>
      <c r="X243" s="1"/>
    </row>
    <row r="244" ht="16.5" customHeight="1">
      <c r="A244" s="1"/>
      <c r="B244" s="1"/>
      <c r="C244" s="1"/>
      <c r="D244" s="8"/>
      <c r="E244" s="8"/>
      <c r="F244" s="1"/>
      <c r="G244" s="1"/>
      <c r="H244" s="1"/>
      <c r="I244" s="1"/>
      <c r="J244" s="1"/>
      <c r="K244" s="1"/>
      <c r="L244" s="1"/>
      <c r="M244" s="1"/>
      <c r="N244" s="1"/>
      <c r="O244" s="45"/>
      <c r="P244" s="1"/>
      <c r="Q244" s="1"/>
      <c r="R244" s="8"/>
      <c r="S244" s="1"/>
      <c r="T244" s="107"/>
      <c r="U244" s="1"/>
      <c r="V244" s="3"/>
      <c r="W244" s="1"/>
      <c r="X244" s="1"/>
    </row>
    <row r="245" ht="16.5" customHeight="1">
      <c r="A245" s="1"/>
      <c r="B245" s="1"/>
      <c r="C245" s="1"/>
      <c r="D245" s="8"/>
      <c r="E245" s="8"/>
      <c r="F245" s="1"/>
      <c r="G245" s="1"/>
      <c r="H245" s="1"/>
      <c r="I245" s="1"/>
      <c r="J245" s="1"/>
      <c r="K245" s="1"/>
      <c r="L245" s="1"/>
      <c r="M245" s="1"/>
      <c r="N245" s="1"/>
      <c r="O245" s="45"/>
      <c r="P245" s="1"/>
      <c r="Q245" s="1"/>
      <c r="R245" s="8"/>
      <c r="S245" s="1"/>
      <c r="T245" s="107"/>
      <c r="U245" s="1"/>
      <c r="V245" s="3"/>
      <c r="W245" s="1"/>
      <c r="X245" s="1"/>
    </row>
    <row r="246" ht="16.5" customHeight="1">
      <c r="A246" s="1"/>
      <c r="B246" s="1"/>
      <c r="C246" s="1"/>
      <c r="D246" s="8"/>
      <c r="E246" s="8"/>
      <c r="F246" s="1"/>
      <c r="G246" s="1"/>
      <c r="H246" s="1"/>
      <c r="I246" s="1"/>
      <c r="J246" s="1"/>
      <c r="K246" s="1"/>
      <c r="L246" s="1"/>
      <c r="M246" s="1"/>
      <c r="N246" s="1"/>
      <c r="O246" s="45"/>
      <c r="P246" s="1"/>
      <c r="Q246" s="1"/>
      <c r="R246" s="8"/>
      <c r="S246" s="1"/>
      <c r="T246" s="107"/>
      <c r="U246" s="1"/>
      <c r="V246" s="3"/>
      <c r="W246" s="1"/>
      <c r="X246" s="1"/>
    </row>
    <row r="247" ht="16.5" customHeight="1">
      <c r="A247" s="1"/>
      <c r="B247" s="1"/>
      <c r="C247" s="1"/>
      <c r="D247" s="8"/>
      <c r="E247" s="8"/>
      <c r="F247" s="1"/>
      <c r="G247" s="1"/>
      <c r="H247" s="1"/>
      <c r="I247" s="1"/>
      <c r="J247" s="1"/>
      <c r="K247" s="1"/>
      <c r="L247" s="1"/>
      <c r="M247" s="1"/>
      <c r="N247" s="1"/>
      <c r="O247" s="45"/>
      <c r="P247" s="1"/>
      <c r="Q247" s="1"/>
      <c r="R247" s="8"/>
      <c r="S247" s="1"/>
      <c r="T247" s="107"/>
      <c r="U247" s="1"/>
      <c r="V247" s="3"/>
      <c r="W247" s="1"/>
      <c r="X247" s="1"/>
    </row>
    <row r="248" ht="16.5" customHeight="1">
      <c r="A248" s="1"/>
      <c r="B248" s="1"/>
      <c r="C248" s="1"/>
      <c r="D248" s="8"/>
      <c r="E248" s="8"/>
      <c r="F248" s="1"/>
      <c r="G248" s="1"/>
      <c r="H248" s="1"/>
      <c r="I248" s="1"/>
      <c r="J248" s="1"/>
      <c r="K248" s="1"/>
      <c r="L248" s="1"/>
      <c r="M248" s="1"/>
      <c r="N248" s="1"/>
      <c r="O248" s="45"/>
      <c r="P248" s="1"/>
      <c r="Q248" s="1"/>
      <c r="R248" s="8"/>
      <c r="S248" s="1"/>
      <c r="T248" s="107"/>
      <c r="U248" s="1"/>
      <c r="V248" s="3"/>
      <c r="W248" s="1"/>
      <c r="X248" s="1"/>
    </row>
    <row r="249" ht="16.5" customHeight="1">
      <c r="A249" s="1"/>
      <c r="B249" s="1"/>
      <c r="C249" s="1"/>
      <c r="D249" s="8"/>
      <c r="E249" s="8"/>
      <c r="F249" s="1"/>
      <c r="G249" s="1"/>
      <c r="H249" s="1"/>
      <c r="I249" s="1"/>
      <c r="J249" s="1"/>
      <c r="K249" s="1"/>
      <c r="L249" s="1"/>
      <c r="M249" s="1"/>
      <c r="N249" s="1"/>
      <c r="O249" s="45"/>
      <c r="P249" s="1"/>
      <c r="Q249" s="1"/>
      <c r="R249" s="8"/>
      <c r="S249" s="1"/>
      <c r="T249" s="107"/>
      <c r="U249" s="1"/>
      <c r="V249" s="3"/>
      <c r="W249" s="1"/>
      <c r="X249" s="1"/>
    </row>
    <row r="250" ht="16.5" customHeight="1">
      <c r="A250" s="1"/>
      <c r="B250" s="1"/>
      <c r="C250" s="1"/>
      <c r="D250" s="8"/>
      <c r="E250" s="8"/>
      <c r="F250" s="1"/>
      <c r="G250" s="1"/>
      <c r="H250" s="1"/>
      <c r="I250" s="1"/>
      <c r="J250" s="1"/>
      <c r="K250" s="1"/>
      <c r="L250" s="1"/>
      <c r="M250" s="1"/>
      <c r="N250" s="1"/>
      <c r="O250" s="45"/>
      <c r="P250" s="1"/>
      <c r="Q250" s="1"/>
      <c r="R250" s="8"/>
      <c r="S250" s="1"/>
      <c r="T250" s="107"/>
      <c r="U250" s="1"/>
      <c r="V250" s="3"/>
      <c r="W250" s="1"/>
      <c r="X250" s="1"/>
    </row>
    <row r="251" ht="16.5" customHeight="1">
      <c r="A251" s="1"/>
      <c r="B251" s="1"/>
      <c r="C251" s="1"/>
      <c r="D251" s="8"/>
      <c r="E251" s="8"/>
      <c r="F251" s="1"/>
      <c r="G251" s="1"/>
      <c r="H251" s="1"/>
      <c r="I251" s="1"/>
      <c r="J251" s="1"/>
      <c r="K251" s="1"/>
      <c r="L251" s="1"/>
      <c r="M251" s="1"/>
      <c r="N251" s="1"/>
      <c r="O251" s="45"/>
      <c r="P251" s="1"/>
      <c r="Q251" s="1"/>
      <c r="R251" s="8"/>
      <c r="S251" s="1"/>
      <c r="T251" s="107"/>
      <c r="U251" s="1"/>
      <c r="V251" s="3"/>
      <c r="W251" s="1"/>
      <c r="X251" s="1"/>
    </row>
    <row r="252" ht="16.5" customHeight="1">
      <c r="A252" s="1"/>
      <c r="B252" s="1"/>
      <c r="C252" s="1"/>
      <c r="D252" s="8"/>
      <c r="E252" s="8"/>
      <c r="F252" s="1"/>
      <c r="G252" s="1"/>
      <c r="H252" s="1"/>
      <c r="I252" s="1"/>
      <c r="J252" s="1"/>
      <c r="K252" s="1"/>
      <c r="L252" s="1"/>
      <c r="M252" s="1"/>
      <c r="N252" s="1"/>
      <c r="O252" s="45"/>
      <c r="P252" s="1"/>
      <c r="Q252" s="1"/>
      <c r="R252" s="8"/>
      <c r="S252" s="1"/>
      <c r="T252" s="107"/>
      <c r="U252" s="1"/>
      <c r="V252" s="3"/>
      <c r="W252" s="1"/>
      <c r="X252" s="1"/>
    </row>
    <row r="253" ht="16.5" customHeight="1">
      <c r="A253" s="1"/>
      <c r="B253" s="1"/>
      <c r="C253" s="1"/>
      <c r="D253" s="8"/>
      <c r="E253" s="8"/>
      <c r="F253" s="1"/>
      <c r="G253" s="1"/>
      <c r="H253" s="1"/>
      <c r="I253" s="1"/>
      <c r="J253" s="1"/>
      <c r="K253" s="1"/>
      <c r="L253" s="1"/>
      <c r="M253" s="1"/>
      <c r="N253" s="1"/>
      <c r="O253" s="45"/>
      <c r="P253" s="1"/>
      <c r="Q253" s="1"/>
      <c r="R253" s="8"/>
      <c r="S253" s="1"/>
      <c r="T253" s="107"/>
      <c r="U253" s="1"/>
      <c r="V253" s="3"/>
      <c r="W253" s="1"/>
      <c r="X253" s="1"/>
    </row>
    <row r="254" ht="16.5" customHeight="1">
      <c r="A254" s="1"/>
      <c r="B254" s="1"/>
      <c r="C254" s="1"/>
      <c r="D254" s="8"/>
      <c r="E254" s="8"/>
      <c r="F254" s="1"/>
      <c r="G254" s="1"/>
      <c r="H254" s="1"/>
      <c r="I254" s="1"/>
      <c r="J254" s="1"/>
      <c r="K254" s="1"/>
      <c r="L254" s="1"/>
      <c r="M254" s="1"/>
      <c r="N254" s="1"/>
      <c r="O254" s="45"/>
      <c r="P254" s="1"/>
      <c r="Q254" s="1"/>
      <c r="R254" s="8"/>
      <c r="S254" s="1"/>
      <c r="T254" s="107"/>
      <c r="U254" s="1"/>
      <c r="V254" s="3"/>
      <c r="W254" s="1"/>
      <c r="X254" s="1"/>
    </row>
    <row r="255" ht="16.5" customHeight="1">
      <c r="A255" s="1"/>
      <c r="B255" s="1"/>
      <c r="C255" s="1"/>
      <c r="D255" s="8"/>
      <c r="E255" s="8"/>
      <c r="F255" s="1"/>
      <c r="G255" s="1"/>
      <c r="H255" s="1"/>
      <c r="I255" s="1"/>
      <c r="J255" s="1"/>
      <c r="K255" s="1"/>
      <c r="L255" s="1"/>
      <c r="M255" s="1"/>
      <c r="N255" s="1"/>
      <c r="O255" s="45"/>
      <c r="P255" s="1"/>
      <c r="Q255" s="1"/>
      <c r="R255" s="8"/>
      <c r="S255" s="1"/>
      <c r="T255" s="107"/>
      <c r="U255" s="1"/>
      <c r="V255" s="3"/>
      <c r="W255" s="1"/>
      <c r="X255" s="1"/>
    </row>
    <row r="256" ht="16.5" customHeight="1">
      <c r="A256" s="1"/>
      <c r="B256" s="1"/>
      <c r="C256" s="1"/>
      <c r="D256" s="8"/>
      <c r="E256" s="8"/>
      <c r="F256" s="1"/>
      <c r="G256" s="1"/>
      <c r="H256" s="1"/>
      <c r="I256" s="1"/>
      <c r="J256" s="1"/>
      <c r="K256" s="1"/>
      <c r="L256" s="1"/>
      <c r="M256" s="1"/>
      <c r="N256" s="1"/>
      <c r="O256" s="45"/>
      <c r="P256" s="1"/>
      <c r="Q256" s="1"/>
      <c r="R256" s="8"/>
      <c r="S256" s="1"/>
      <c r="T256" s="107"/>
      <c r="U256" s="1"/>
      <c r="V256" s="3"/>
      <c r="W256" s="1"/>
      <c r="X256" s="1"/>
    </row>
    <row r="257" ht="16.5" customHeight="1">
      <c r="A257" s="1"/>
      <c r="B257" s="1"/>
      <c r="C257" s="1"/>
      <c r="D257" s="8"/>
      <c r="E257" s="8"/>
      <c r="F257" s="1"/>
      <c r="G257" s="1"/>
      <c r="H257" s="1"/>
      <c r="I257" s="1"/>
      <c r="J257" s="1"/>
      <c r="K257" s="1"/>
      <c r="L257" s="1"/>
      <c r="M257" s="1"/>
      <c r="N257" s="1"/>
      <c r="O257" s="45"/>
      <c r="P257" s="1"/>
      <c r="Q257" s="1"/>
      <c r="R257" s="8"/>
      <c r="S257" s="1"/>
      <c r="T257" s="107"/>
      <c r="U257" s="1"/>
      <c r="V257" s="3"/>
      <c r="W257" s="1"/>
      <c r="X257" s="1"/>
    </row>
    <row r="258" ht="16.5" customHeight="1">
      <c r="A258" s="1"/>
      <c r="B258" s="1"/>
      <c r="C258" s="1"/>
      <c r="D258" s="8"/>
      <c r="E258" s="8"/>
      <c r="F258" s="1"/>
      <c r="G258" s="1"/>
      <c r="H258" s="1"/>
      <c r="I258" s="1"/>
      <c r="J258" s="1"/>
      <c r="K258" s="1"/>
      <c r="L258" s="1"/>
      <c r="M258" s="1"/>
      <c r="N258" s="1"/>
      <c r="O258" s="45"/>
      <c r="P258" s="1"/>
      <c r="Q258" s="1"/>
      <c r="R258" s="8"/>
      <c r="S258" s="1"/>
      <c r="T258" s="107"/>
      <c r="U258" s="1"/>
      <c r="V258" s="3"/>
      <c r="W258" s="1"/>
      <c r="X258" s="1"/>
    </row>
    <row r="259" ht="16.5" customHeight="1">
      <c r="A259" s="1"/>
      <c r="B259" s="1"/>
      <c r="C259" s="1"/>
      <c r="D259" s="8"/>
      <c r="E259" s="8"/>
      <c r="F259" s="1"/>
      <c r="G259" s="1"/>
      <c r="H259" s="1"/>
      <c r="I259" s="1"/>
      <c r="J259" s="1"/>
      <c r="K259" s="1"/>
      <c r="L259" s="1"/>
      <c r="M259" s="1"/>
      <c r="N259" s="1"/>
      <c r="O259" s="45"/>
      <c r="P259" s="1"/>
      <c r="Q259" s="1"/>
      <c r="R259" s="8"/>
      <c r="S259" s="1"/>
      <c r="T259" s="107"/>
      <c r="U259" s="1"/>
      <c r="V259" s="3"/>
      <c r="W259" s="1"/>
      <c r="X259" s="1"/>
    </row>
    <row r="260" ht="16.5" customHeight="1">
      <c r="A260" s="1"/>
      <c r="B260" s="1"/>
      <c r="C260" s="1"/>
      <c r="D260" s="8"/>
      <c r="E260" s="8"/>
      <c r="F260" s="1"/>
      <c r="G260" s="1"/>
      <c r="H260" s="1"/>
      <c r="I260" s="1"/>
      <c r="J260" s="1"/>
      <c r="K260" s="1"/>
      <c r="L260" s="1"/>
      <c r="M260" s="1"/>
      <c r="N260" s="1"/>
      <c r="O260" s="45"/>
      <c r="P260" s="1"/>
      <c r="Q260" s="1"/>
      <c r="R260" s="8"/>
      <c r="S260" s="1"/>
      <c r="T260" s="107"/>
      <c r="U260" s="1"/>
      <c r="V260" s="3"/>
      <c r="W260" s="1"/>
      <c r="X260" s="1"/>
    </row>
    <row r="261" ht="16.5" customHeight="1">
      <c r="A261" s="1"/>
      <c r="B261" s="1"/>
      <c r="C261" s="1"/>
      <c r="D261" s="8"/>
      <c r="E261" s="8"/>
      <c r="F261" s="1"/>
      <c r="G261" s="1"/>
      <c r="H261" s="1"/>
      <c r="I261" s="1"/>
      <c r="J261" s="1"/>
      <c r="K261" s="1"/>
      <c r="L261" s="1"/>
      <c r="M261" s="1"/>
      <c r="N261" s="1"/>
      <c r="O261" s="45"/>
      <c r="P261" s="1"/>
      <c r="Q261" s="1"/>
      <c r="R261" s="8"/>
      <c r="S261" s="1"/>
      <c r="T261" s="107"/>
      <c r="U261" s="1"/>
      <c r="V261" s="3"/>
      <c r="W261" s="1"/>
      <c r="X261" s="1"/>
    </row>
    <row r="262" ht="16.5" customHeight="1">
      <c r="A262" s="1"/>
      <c r="B262" s="1"/>
      <c r="C262" s="1"/>
      <c r="D262" s="8"/>
      <c r="E262" s="8"/>
      <c r="F262" s="1"/>
      <c r="G262" s="1"/>
      <c r="H262" s="1"/>
      <c r="I262" s="1"/>
      <c r="J262" s="1"/>
      <c r="K262" s="1"/>
      <c r="L262" s="1"/>
      <c r="M262" s="1"/>
      <c r="N262" s="1"/>
      <c r="O262" s="45"/>
      <c r="P262" s="1"/>
      <c r="Q262" s="1"/>
      <c r="R262" s="8"/>
      <c r="S262" s="1"/>
      <c r="T262" s="107"/>
      <c r="U262" s="1"/>
      <c r="V262" s="3"/>
      <c r="W262" s="1"/>
      <c r="X262" s="1"/>
    </row>
    <row r="263" ht="16.5" customHeight="1">
      <c r="A263" s="1"/>
      <c r="B263" s="1"/>
      <c r="C263" s="1"/>
      <c r="D263" s="8"/>
      <c r="E263" s="8"/>
      <c r="F263" s="1"/>
      <c r="G263" s="1"/>
      <c r="H263" s="1"/>
      <c r="I263" s="1"/>
      <c r="J263" s="1"/>
      <c r="K263" s="1"/>
      <c r="L263" s="1"/>
      <c r="M263" s="1"/>
      <c r="N263" s="1"/>
      <c r="O263" s="45"/>
      <c r="P263" s="1"/>
      <c r="Q263" s="1"/>
      <c r="R263" s="8"/>
      <c r="S263" s="1"/>
      <c r="T263" s="1"/>
      <c r="U263" s="1"/>
      <c r="V263" s="3"/>
      <c r="W263" s="1"/>
      <c r="X263" s="1"/>
    </row>
    <row r="264" ht="16.5" customHeight="1">
      <c r="A264" s="1"/>
      <c r="B264" s="1"/>
      <c r="C264" s="1"/>
      <c r="D264" s="8"/>
      <c r="E264" s="8"/>
      <c r="F264" s="1"/>
      <c r="G264" s="1"/>
      <c r="H264" s="1"/>
      <c r="I264" s="1"/>
      <c r="J264" s="1"/>
      <c r="K264" s="1"/>
      <c r="L264" s="1"/>
      <c r="M264" s="1"/>
      <c r="N264" s="1"/>
      <c r="O264" s="45"/>
      <c r="P264" s="1"/>
      <c r="Q264" s="1"/>
      <c r="R264" s="8"/>
      <c r="S264" s="1"/>
      <c r="T264" s="1"/>
      <c r="U264" s="1"/>
      <c r="V264" s="3"/>
      <c r="W264" s="1"/>
      <c r="X264" s="1"/>
    </row>
    <row r="265" ht="16.5" customHeight="1">
      <c r="A265" s="1"/>
      <c r="B265" s="1"/>
      <c r="C265" s="1"/>
      <c r="D265" s="8"/>
      <c r="E265" s="8"/>
      <c r="F265" s="1"/>
      <c r="G265" s="1"/>
      <c r="H265" s="1"/>
      <c r="I265" s="1"/>
      <c r="J265" s="1"/>
      <c r="K265" s="1"/>
      <c r="L265" s="1"/>
      <c r="M265" s="1"/>
      <c r="N265" s="1"/>
      <c r="O265" s="45"/>
      <c r="P265" s="1"/>
      <c r="Q265" s="1"/>
      <c r="R265" s="8"/>
      <c r="S265" s="1"/>
      <c r="T265" s="1"/>
      <c r="U265" s="1"/>
      <c r="V265" s="3"/>
      <c r="W265" s="1"/>
      <c r="X265" s="1"/>
    </row>
    <row r="266" ht="16.5" customHeight="1">
      <c r="A266" s="1"/>
      <c r="B266" s="1"/>
      <c r="C266" s="1"/>
      <c r="D266" s="8"/>
      <c r="E266" s="8"/>
      <c r="F266" s="1"/>
      <c r="G266" s="1"/>
      <c r="H266" s="1"/>
      <c r="I266" s="1"/>
      <c r="J266" s="1"/>
      <c r="K266" s="1"/>
      <c r="L266" s="1"/>
      <c r="M266" s="1"/>
      <c r="N266" s="1"/>
      <c r="O266" s="45"/>
      <c r="P266" s="1"/>
      <c r="Q266" s="1"/>
      <c r="R266" s="8"/>
      <c r="S266" s="1"/>
      <c r="T266" s="1"/>
      <c r="U266" s="1"/>
      <c r="V266" s="3"/>
      <c r="W266" s="1"/>
      <c r="X266" s="1"/>
    </row>
    <row r="267" ht="16.5" customHeight="1">
      <c r="A267" s="1"/>
      <c r="B267" s="1"/>
      <c r="C267" s="1"/>
      <c r="D267" s="8"/>
      <c r="E267" s="8"/>
      <c r="F267" s="1"/>
      <c r="G267" s="1"/>
      <c r="H267" s="1"/>
      <c r="I267" s="1"/>
      <c r="J267" s="1"/>
      <c r="K267" s="1"/>
      <c r="L267" s="1"/>
      <c r="M267" s="1"/>
      <c r="N267" s="1"/>
      <c r="O267" s="45"/>
      <c r="P267" s="1"/>
      <c r="Q267" s="1"/>
      <c r="R267" s="8"/>
      <c r="S267" s="1"/>
      <c r="T267" s="1"/>
      <c r="U267" s="1"/>
      <c r="V267" s="3"/>
      <c r="W267" s="1"/>
      <c r="X267" s="1"/>
    </row>
    <row r="268" ht="16.5" customHeight="1">
      <c r="A268" s="1"/>
      <c r="B268" s="1"/>
      <c r="C268" s="1"/>
      <c r="D268" s="8"/>
      <c r="E268" s="8"/>
      <c r="F268" s="1"/>
      <c r="G268" s="1"/>
      <c r="H268" s="1"/>
      <c r="I268" s="1"/>
      <c r="J268" s="1"/>
      <c r="K268" s="1"/>
      <c r="L268" s="1"/>
      <c r="M268" s="1"/>
      <c r="N268" s="1"/>
      <c r="O268" s="45"/>
      <c r="P268" s="1"/>
      <c r="Q268" s="1"/>
      <c r="R268" s="8"/>
      <c r="S268" s="1"/>
      <c r="T268" s="1"/>
      <c r="U268" s="1"/>
      <c r="V268" s="3"/>
      <c r="W268" s="1"/>
      <c r="X268" s="1"/>
    </row>
    <row r="269" ht="16.5" customHeight="1">
      <c r="A269" s="1"/>
      <c r="B269" s="1"/>
      <c r="C269" s="1"/>
      <c r="D269" s="8"/>
      <c r="E269" s="8"/>
      <c r="F269" s="1"/>
      <c r="G269" s="1"/>
      <c r="H269" s="1"/>
      <c r="I269" s="1"/>
      <c r="J269" s="1"/>
      <c r="K269" s="1"/>
      <c r="L269" s="1"/>
      <c r="M269" s="1"/>
      <c r="N269" s="1"/>
      <c r="O269" s="45"/>
      <c r="P269" s="1"/>
      <c r="Q269" s="1"/>
      <c r="R269" s="8"/>
      <c r="S269" s="1"/>
      <c r="T269" s="1"/>
      <c r="U269" s="1"/>
      <c r="V269" s="3"/>
      <c r="W269" s="1"/>
      <c r="X269" s="1"/>
    </row>
    <row r="270" ht="16.5" customHeight="1">
      <c r="A270" s="1"/>
      <c r="B270" s="1"/>
      <c r="C270" s="1"/>
      <c r="D270" s="8"/>
      <c r="E270" s="8"/>
      <c r="F270" s="1"/>
      <c r="G270" s="1"/>
      <c r="H270" s="1"/>
      <c r="I270" s="1"/>
      <c r="J270" s="1"/>
      <c r="K270" s="1"/>
      <c r="L270" s="1"/>
      <c r="M270" s="1"/>
      <c r="N270" s="1"/>
      <c r="O270" s="45"/>
      <c r="P270" s="1"/>
      <c r="Q270" s="1"/>
      <c r="R270" s="8"/>
      <c r="S270" s="1"/>
      <c r="T270" s="1"/>
      <c r="U270" s="1"/>
      <c r="V270" s="3"/>
      <c r="W270" s="1"/>
      <c r="X270" s="1"/>
    </row>
    <row r="271" ht="16.5" customHeight="1">
      <c r="A271" s="1"/>
      <c r="B271" s="1"/>
      <c r="C271" s="1"/>
      <c r="D271" s="8"/>
      <c r="E271" s="8"/>
      <c r="F271" s="1"/>
      <c r="G271" s="1"/>
      <c r="H271" s="1"/>
      <c r="I271" s="1"/>
      <c r="J271" s="1"/>
      <c r="K271" s="1"/>
      <c r="L271" s="1"/>
      <c r="M271" s="1"/>
      <c r="N271" s="1"/>
      <c r="O271" s="45"/>
      <c r="P271" s="1"/>
      <c r="Q271" s="1"/>
      <c r="R271" s="8"/>
      <c r="S271" s="1"/>
      <c r="T271" s="1"/>
      <c r="U271" s="1"/>
      <c r="V271" s="3"/>
      <c r="W271" s="1"/>
      <c r="X271" s="1"/>
    </row>
    <row r="272" ht="16.5" customHeight="1">
      <c r="A272" s="1"/>
      <c r="B272" s="1"/>
      <c r="C272" s="1"/>
      <c r="D272" s="8"/>
      <c r="E272" s="8"/>
      <c r="F272" s="1"/>
      <c r="G272" s="1"/>
      <c r="H272" s="1"/>
      <c r="I272" s="1"/>
      <c r="J272" s="1"/>
      <c r="K272" s="1"/>
      <c r="L272" s="1"/>
      <c r="M272" s="1"/>
      <c r="N272" s="1"/>
      <c r="O272" s="45"/>
      <c r="P272" s="1"/>
      <c r="Q272" s="1"/>
      <c r="R272" s="8"/>
      <c r="S272" s="1"/>
      <c r="T272" s="1"/>
      <c r="U272" s="1"/>
      <c r="V272" s="3"/>
      <c r="W272" s="1"/>
      <c r="X272" s="1"/>
    </row>
    <row r="273" ht="16.5" customHeight="1">
      <c r="A273" s="1"/>
      <c r="B273" s="1"/>
      <c r="C273" s="1"/>
      <c r="D273" s="8"/>
      <c r="E273" s="8"/>
      <c r="F273" s="1"/>
      <c r="G273" s="1"/>
      <c r="H273" s="1"/>
      <c r="I273" s="1"/>
      <c r="J273" s="1"/>
      <c r="K273" s="1"/>
      <c r="L273" s="1"/>
      <c r="M273" s="1"/>
      <c r="N273" s="1"/>
      <c r="O273" s="45"/>
      <c r="P273" s="1"/>
      <c r="Q273" s="1"/>
      <c r="R273" s="8"/>
      <c r="S273" s="1"/>
      <c r="T273" s="1"/>
      <c r="U273" s="1"/>
      <c r="V273" s="3"/>
      <c r="W273" s="1"/>
      <c r="X273" s="1"/>
    </row>
    <row r="274" ht="16.5" customHeight="1">
      <c r="A274" s="1"/>
      <c r="B274" s="1"/>
      <c r="C274" s="1"/>
      <c r="D274" s="8"/>
      <c r="E274" s="8"/>
      <c r="F274" s="1"/>
      <c r="G274" s="1"/>
      <c r="H274" s="1"/>
      <c r="I274" s="1"/>
      <c r="J274" s="1"/>
      <c r="K274" s="1"/>
      <c r="L274" s="1"/>
      <c r="M274" s="1"/>
      <c r="N274" s="1"/>
      <c r="O274" s="45"/>
      <c r="P274" s="1"/>
      <c r="Q274" s="1"/>
      <c r="R274" s="8"/>
      <c r="S274" s="1"/>
      <c r="T274" s="1"/>
      <c r="U274" s="1"/>
      <c r="V274" s="3"/>
      <c r="W274" s="1"/>
      <c r="X274" s="1"/>
    </row>
    <row r="275" ht="16.5" customHeight="1">
      <c r="A275" s="1"/>
      <c r="B275" s="1"/>
      <c r="C275" s="1"/>
      <c r="D275" s="8"/>
      <c r="E275" s="8"/>
      <c r="F275" s="1"/>
      <c r="G275" s="1"/>
      <c r="H275" s="1"/>
      <c r="I275" s="1"/>
      <c r="J275" s="1"/>
      <c r="K275" s="1"/>
      <c r="L275" s="1"/>
      <c r="M275" s="1"/>
      <c r="N275" s="1"/>
      <c r="O275" s="45"/>
      <c r="P275" s="1"/>
      <c r="Q275" s="1"/>
      <c r="R275" s="8"/>
      <c r="S275" s="1"/>
      <c r="T275" s="1"/>
      <c r="U275" s="1"/>
      <c r="V275" s="3"/>
      <c r="W275" s="1"/>
      <c r="X275" s="1"/>
    </row>
    <row r="276" ht="16.5" customHeight="1">
      <c r="A276" s="1"/>
      <c r="B276" s="1"/>
      <c r="C276" s="1"/>
      <c r="D276" s="8"/>
      <c r="E276" s="8"/>
      <c r="F276" s="1"/>
      <c r="G276" s="1"/>
      <c r="H276" s="1"/>
      <c r="I276" s="1"/>
      <c r="J276" s="1"/>
      <c r="K276" s="1"/>
      <c r="L276" s="1"/>
      <c r="M276" s="1"/>
      <c r="N276" s="1"/>
      <c r="O276" s="45"/>
      <c r="P276" s="1"/>
      <c r="Q276" s="1"/>
      <c r="R276" s="8"/>
      <c r="S276" s="1"/>
      <c r="T276" s="1"/>
      <c r="U276" s="1"/>
      <c r="V276" s="3"/>
      <c r="W276" s="1"/>
      <c r="X276" s="1"/>
    </row>
    <row r="277" ht="16.5" customHeight="1">
      <c r="A277" s="1"/>
      <c r="B277" s="1"/>
      <c r="C277" s="1"/>
      <c r="D277" s="8"/>
      <c r="E277" s="8"/>
      <c r="F277" s="1"/>
      <c r="G277" s="1"/>
      <c r="H277" s="1"/>
      <c r="I277" s="1"/>
      <c r="J277" s="1"/>
      <c r="K277" s="1"/>
      <c r="L277" s="1"/>
      <c r="M277" s="1"/>
      <c r="N277" s="1"/>
      <c r="O277" s="45"/>
      <c r="P277" s="1"/>
      <c r="Q277" s="1"/>
      <c r="R277" s="8"/>
      <c r="S277" s="1"/>
      <c r="T277" s="1"/>
      <c r="U277" s="1"/>
      <c r="V277" s="3"/>
      <c r="W277" s="1"/>
      <c r="X277" s="1"/>
    </row>
    <row r="278" ht="16.5" customHeight="1">
      <c r="A278" s="1"/>
      <c r="B278" s="1"/>
      <c r="C278" s="1"/>
      <c r="D278" s="8"/>
      <c r="E278" s="8"/>
      <c r="F278" s="1"/>
      <c r="G278" s="1"/>
      <c r="H278" s="1"/>
      <c r="I278" s="1"/>
      <c r="J278" s="1"/>
      <c r="K278" s="1"/>
      <c r="L278" s="1"/>
      <c r="M278" s="1"/>
      <c r="N278" s="1"/>
      <c r="O278" s="45"/>
      <c r="P278" s="1"/>
      <c r="Q278" s="1"/>
      <c r="R278" s="8"/>
      <c r="S278" s="1"/>
      <c r="T278" s="1"/>
      <c r="U278" s="1"/>
      <c r="V278" s="3"/>
      <c r="W278" s="1"/>
      <c r="X278" s="1"/>
    </row>
    <row r="279" ht="16.5" customHeight="1">
      <c r="A279" s="1"/>
      <c r="B279" s="1"/>
      <c r="C279" s="1"/>
      <c r="D279" s="8"/>
      <c r="E279" s="8"/>
      <c r="F279" s="1"/>
      <c r="G279" s="1"/>
      <c r="H279" s="1"/>
      <c r="I279" s="1"/>
      <c r="J279" s="1"/>
      <c r="K279" s="1"/>
      <c r="L279" s="1"/>
      <c r="M279" s="1"/>
      <c r="N279" s="1"/>
      <c r="O279" s="45"/>
      <c r="P279" s="1"/>
      <c r="Q279" s="1"/>
      <c r="R279" s="8"/>
      <c r="S279" s="1"/>
      <c r="T279" s="1"/>
      <c r="U279" s="1"/>
      <c r="V279" s="3"/>
      <c r="W279" s="1"/>
      <c r="X279" s="1"/>
    </row>
    <row r="280" ht="16.5" customHeight="1">
      <c r="A280" s="1"/>
      <c r="B280" s="1"/>
      <c r="C280" s="1"/>
      <c r="D280" s="8"/>
      <c r="E280" s="8"/>
      <c r="F280" s="1"/>
      <c r="G280" s="1"/>
      <c r="H280" s="1"/>
      <c r="I280" s="1"/>
      <c r="J280" s="1"/>
      <c r="K280" s="1"/>
      <c r="L280" s="1"/>
      <c r="M280" s="1"/>
      <c r="N280" s="1"/>
      <c r="O280" s="45"/>
      <c r="P280" s="1"/>
      <c r="Q280" s="1"/>
      <c r="R280" s="8"/>
      <c r="S280" s="1"/>
      <c r="T280" s="1"/>
      <c r="U280" s="1"/>
      <c r="V280" s="3"/>
      <c r="W280" s="1"/>
      <c r="X280" s="1"/>
    </row>
    <row r="281" ht="16.5" customHeight="1">
      <c r="A281" s="1"/>
      <c r="B281" s="1"/>
      <c r="C281" s="1"/>
      <c r="D281" s="8"/>
      <c r="E281" s="8"/>
      <c r="F281" s="1"/>
      <c r="G281" s="1"/>
      <c r="H281" s="1"/>
      <c r="I281" s="1"/>
      <c r="J281" s="1"/>
      <c r="K281" s="1"/>
      <c r="L281" s="1"/>
      <c r="M281" s="1"/>
      <c r="N281" s="1"/>
      <c r="O281" s="45"/>
      <c r="P281" s="1"/>
      <c r="Q281" s="1"/>
      <c r="R281" s="8"/>
      <c r="S281" s="1"/>
      <c r="T281" s="1"/>
      <c r="U281" s="1"/>
      <c r="V281" s="3"/>
      <c r="W281" s="1"/>
      <c r="X281" s="1"/>
    </row>
    <row r="282" ht="16.5" customHeight="1">
      <c r="A282" s="1"/>
      <c r="B282" s="1"/>
      <c r="C282" s="1"/>
      <c r="D282" s="8"/>
      <c r="E282" s="8"/>
      <c r="F282" s="1"/>
      <c r="G282" s="1"/>
      <c r="H282" s="1"/>
      <c r="I282" s="1"/>
      <c r="J282" s="1"/>
      <c r="K282" s="1"/>
      <c r="L282" s="1"/>
      <c r="M282" s="1"/>
      <c r="N282" s="1"/>
      <c r="O282" s="45"/>
      <c r="P282" s="1"/>
      <c r="Q282" s="1"/>
      <c r="R282" s="8"/>
      <c r="S282" s="1"/>
      <c r="T282" s="1"/>
      <c r="U282" s="1"/>
      <c r="V282" s="3"/>
      <c r="W282" s="1"/>
      <c r="X282" s="1"/>
    </row>
    <row r="283" ht="16.5" customHeight="1">
      <c r="A283" s="1"/>
      <c r="B283" s="1"/>
      <c r="C283" s="1"/>
      <c r="D283" s="8"/>
      <c r="E283" s="8"/>
      <c r="F283" s="1"/>
      <c r="G283" s="1"/>
      <c r="H283" s="1"/>
      <c r="I283" s="1"/>
      <c r="J283" s="1"/>
      <c r="K283" s="1"/>
      <c r="L283" s="1"/>
      <c r="M283" s="1"/>
      <c r="N283" s="1"/>
      <c r="O283" s="45"/>
      <c r="P283" s="1"/>
      <c r="Q283" s="1"/>
      <c r="R283" s="8"/>
      <c r="S283" s="1"/>
      <c r="T283" s="1"/>
      <c r="U283" s="1"/>
      <c r="V283" s="3"/>
      <c r="W283" s="1"/>
      <c r="X283" s="1"/>
    </row>
    <row r="284" ht="16.5" customHeight="1">
      <c r="A284" s="1"/>
      <c r="B284" s="1"/>
      <c r="C284" s="1"/>
      <c r="D284" s="8"/>
      <c r="E284" s="8"/>
      <c r="F284" s="1"/>
      <c r="G284" s="1"/>
      <c r="H284" s="1"/>
      <c r="I284" s="1"/>
      <c r="J284" s="1"/>
      <c r="K284" s="1"/>
      <c r="L284" s="1"/>
      <c r="M284" s="1"/>
      <c r="N284" s="1"/>
      <c r="O284" s="45"/>
      <c r="P284" s="1"/>
      <c r="Q284" s="1"/>
      <c r="R284" s="8"/>
      <c r="S284" s="1"/>
      <c r="T284" s="1"/>
      <c r="U284" s="1"/>
      <c r="V284" s="3"/>
      <c r="W284" s="1"/>
      <c r="X284" s="1"/>
    </row>
    <row r="285" ht="16.5" customHeight="1">
      <c r="A285" s="1"/>
      <c r="B285" s="1"/>
      <c r="C285" s="1"/>
      <c r="D285" s="8"/>
      <c r="E285" s="8"/>
      <c r="F285" s="1"/>
      <c r="G285" s="1"/>
      <c r="H285" s="1"/>
      <c r="I285" s="1"/>
      <c r="J285" s="1"/>
      <c r="K285" s="1"/>
      <c r="L285" s="1"/>
      <c r="M285" s="1"/>
      <c r="N285" s="1"/>
      <c r="O285" s="45"/>
      <c r="P285" s="1"/>
      <c r="Q285" s="1"/>
      <c r="R285" s="8"/>
      <c r="S285" s="1"/>
      <c r="T285" s="1"/>
      <c r="U285" s="1"/>
      <c r="V285" s="3"/>
      <c r="W285" s="1"/>
      <c r="X285" s="1"/>
    </row>
    <row r="286" ht="16.5" customHeight="1">
      <c r="A286" s="1"/>
      <c r="B286" s="1"/>
      <c r="C286" s="1"/>
      <c r="D286" s="8"/>
      <c r="E286" s="8"/>
      <c r="F286" s="1"/>
      <c r="G286" s="1"/>
      <c r="H286" s="1"/>
      <c r="I286" s="1"/>
      <c r="J286" s="1"/>
      <c r="K286" s="1"/>
      <c r="L286" s="1"/>
      <c r="M286" s="1"/>
      <c r="N286" s="1"/>
      <c r="O286" s="45"/>
      <c r="P286" s="1"/>
      <c r="Q286" s="1"/>
      <c r="R286" s="8"/>
      <c r="S286" s="1"/>
      <c r="T286" s="1"/>
      <c r="U286" s="1"/>
      <c r="V286" s="3"/>
      <c r="W286" s="1"/>
      <c r="X286" s="1"/>
    </row>
    <row r="287" ht="16.5" customHeight="1">
      <c r="A287" s="1"/>
      <c r="B287" s="1"/>
      <c r="C287" s="1"/>
      <c r="D287" s="8"/>
      <c r="E287" s="8"/>
      <c r="F287" s="1"/>
      <c r="G287" s="1"/>
      <c r="H287" s="1"/>
      <c r="I287" s="1"/>
      <c r="J287" s="1"/>
      <c r="K287" s="1"/>
      <c r="L287" s="1"/>
      <c r="M287" s="1"/>
      <c r="N287" s="1"/>
      <c r="O287" s="45"/>
      <c r="P287" s="1"/>
      <c r="Q287" s="1"/>
      <c r="R287" s="8"/>
      <c r="S287" s="1"/>
      <c r="T287" s="1"/>
      <c r="U287" s="1"/>
      <c r="V287" s="3"/>
      <c r="W287" s="1"/>
      <c r="X287" s="1"/>
    </row>
    <row r="288" ht="16.5" customHeight="1">
      <c r="A288" s="1"/>
      <c r="B288" s="1"/>
      <c r="C288" s="1"/>
      <c r="D288" s="8"/>
      <c r="E288" s="8"/>
      <c r="F288" s="1"/>
      <c r="G288" s="1"/>
      <c r="H288" s="1"/>
      <c r="I288" s="1"/>
      <c r="J288" s="1"/>
      <c r="K288" s="1"/>
      <c r="L288" s="1"/>
      <c r="M288" s="1"/>
      <c r="N288" s="1"/>
      <c r="O288" s="45"/>
      <c r="P288" s="1"/>
      <c r="Q288" s="1"/>
      <c r="R288" s="8"/>
      <c r="S288" s="1"/>
      <c r="T288" s="1"/>
      <c r="U288" s="1"/>
      <c r="V288" s="3"/>
      <c r="W288" s="1"/>
      <c r="X288" s="1"/>
    </row>
    <row r="289" ht="16.5" customHeight="1">
      <c r="A289" s="1"/>
      <c r="B289" s="1"/>
      <c r="C289" s="1"/>
      <c r="D289" s="8"/>
      <c r="E289" s="8"/>
      <c r="F289" s="1"/>
      <c r="G289" s="1"/>
      <c r="H289" s="1"/>
      <c r="I289" s="1"/>
      <c r="J289" s="1"/>
      <c r="K289" s="1"/>
      <c r="L289" s="1"/>
      <c r="M289" s="1"/>
      <c r="N289" s="1"/>
      <c r="O289" s="45"/>
      <c r="P289" s="1"/>
      <c r="Q289" s="1"/>
      <c r="R289" s="8"/>
      <c r="S289" s="1"/>
      <c r="T289" s="1"/>
      <c r="U289" s="1"/>
      <c r="V289" s="3"/>
      <c r="W289" s="1"/>
      <c r="X289" s="1"/>
    </row>
    <row r="290" ht="16.5" customHeight="1">
      <c r="A290" s="1"/>
      <c r="B290" s="1"/>
      <c r="C290" s="1"/>
      <c r="D290" s="8"/>
      <c r="E290" s="8"/>
      <c r="F290" s="1"/>
      <c r="G290" s="1"/>
      <c r="H290" s="1"/>
      <c r="I290" s="1"/>
      <c r="J290" s="1"/>
      <c r="K290" s="1"/>
      <c r="L290" s="1"/>
      <c r="M290" s="1"/>
      <c r="N290" s="1"/>
      <c r="O290" s="45"/>
      <c r="P290" s="1"/>
      <c r="Q290" s="1"/>
      <c r="R290" s="8"/>
      <c r="S290" s="1"/>
      <c r="T290" s="1"/>
      <c r="U290" s="1"/>
      <c r="V290" s="3"/>
      <c r="W290" s="1"/>
      <c r="X290" s="1"/>
    </row>
    <row r="291" ht="16.5" customHeight="1">
      <c r="A291" s="1"/>
      <c r="B291" s="1"/>
      <c r="C291" s="1"/>
      <c r="D291" s="8"/>
      <c r="E291" s="8"/>
      <c r="F291" s="1"/>
      <c r="G291" s="1"/>
      <c r="H291" s="1"/>
      <c r="I291" s="1"/>
      <c r="J291" s="1"/>
      <c r="K291" s="1"/>
      <c r="L291" s="1"/>
      <c r="M291" s="1"/>
      <c r="N291" s="1"/>
      <c r="O291" s="45"/>
      <c r="P291" s="1"/>
      <c r="Q291" s="1"/>
      <c r="R291" s="8"/>
      <c r="S291" s="1"/>
      <c r="T291" s="1"/>
      <c r="U291" s="1"/>
      <c r="V291" s="3"/>
      <c r="W291" s="1"/>
      <c r="X291" s="1"/>
    </row>
    <row r="292" ht="16.5" customHeight="1">
      <c r="A292" s="1"/>
      <c r="B292" s="1"/>
      <c r="C292" s="1"/>
      <c r="D292" s="8"/>
      <c r="E292" s="8"/>
      <c r="F292" s="1"/>
      <c r="G292" s="1"/>
      <c r="H292" s="1"/>
      <c r="I292" s="1"/>
      <c r="J292" s="1"/>
      <c r="K292" s="1"/>
      <c r="L292" s="1"/>
      <c r="M292" s="1"/>
      <c r="N292" s="1"/>
      <c r="O292" s="45"/>
      <c r="P292" s="1"/>
      <c r="Q292" s="1"/>
      <c r="R292" s="8"/>
      <c r="S292" s="1"/>
      <c r="T292" s="1"/>
      <c r="U292" s="1"/>
      <c r="V292" s="3"/>
      <c r="W292" s="1"/>
      <c r="X292" s="1"/>
    </row>
    <row r="293" ht="16.5" customHeight="1">
      <c r="A293" s="1"/>
      <c r="B293" s="1"/>
      <c r="C293" s="1"/>
      <c r="D293" s="8"/>
      <c r="E293" s="8"/>
      <c r="F293" s="1"/>
      <c r="G293" s="1"/>
      <c r="H293" s="1"/>
      <c r="I293" s="1"/>
      <c r="J293" s="1"/>
      <c r="K293" s="1"/>
      <c r="L293" s="1"/>
      <c r="M293" s="1"/>
      <c r="N293" s="1"/>
      <c r="O293" s="45"/>
      <c r="P293" s="1"/>
      <c r="Q293" s="1"/>
      <c r="R293" s="8"/>
      <c r="S293" s="1"/>
      <c r="T293" s="1"/>
      <c r="U293" s="1"/>
      <c r="V293" s="3"/>
      <c r="W293" s="1"/>
      <c r="X293" s="1"/>
    </row>
    <row r="294" ht="16.5" customHeight="1">
      <c r="A294" s="1"/>
      <c r="B294" s="1"/>
      <c r="C294" s="1"/>
      <c r="D294" s="8"/>
      <c r="E294" s="8"/>
      <c r="F294" s="1"/>
      <c r="G294" s="1"/>
      <c r="H294" s="1"/>
      <c r="I294" s="1"/>
      <c r="J294" s="1"/>
      <c r="K294" s="1"/>
      <c r="L294" s="1"/>
      <c r="M294" s="1"/>
      <c r="N294" s="1"/>
      <c r="O294" s="45"/>
      <c r="P294" s="1"/>
      <c r="Q294" s="1"/>
      <c r="R294" s="8"/>
      <c r="S294" s="1"/>
      <c r="T294" s="1"/>
      <c r="U294" s="1"/>
      <c r="V294" s="3"/>
      <c r="W294" s="1"/>
      <c r="X294" s="1"/>
    </row>
    <row r="295" ht="16.5" customHeight="1">
      <c r="A295" s="1"/>
      <c r="B295" s="1"/>
      <c r="C295" s="1"/>
      <c r="D295" s="8"/>
      <c r="E295" s="8"/>
      <c r="F295" s="1"/>
      <c r="G295" s="1"/>
      <c r="H295" s="1"/>
      <c r="I295" s="1"/>
      <c r="J295" s="1"/>
      <c r="K295" s="1"/>
      <c r="L295" s="1"/>
      <c r="M295" s="1"/>
      <c r="N295" s="1"/>
      <c r="O295" s="45"/>
      <c r="P295" s="1"/>
      <c r="Q295" s="1"/>
      <c r="R295" s="8"/>
      <c r="S295" s="1"/>
      <c r="T295" s="1"/>
      <c r="U295" s="1"/>
      <c r="V295" s="3"/>
      <c r="W295" s="1"/>
      <c r="X295" s="1"/>
    </row>
    <row r="296" ht="16.5" customHeight="1">
      <c r="A296" s="1"/>
      <c r="B296" s="1"/>
      <c r="C296" s="1"/>
      <c r="D296" s="8"/>
      <c r="E296" s="8"/>
      <c r="F296" s="1"/>
      <c r="G296" s="1"/>
      <c r="H296" s="1"/>
      <c r="I296" s="1"/>
      <c r="J296" s="1"/>
      <c r="K296" s="1"/>
      <c r="L296" s="1"/>
      <c r="M296" s="1"/>
      <c r="N296" s="1"/>
      <c r="O296" s="45"/>
      <c r="P296" s="1"/>
      <c r="Q296" s="1"/>
      <c r="R296" s="8"/>
      <c r="S296" s="1"/>
      <c r="T296" s="1"/>
      <c r="U296" s="1"/>
      <c r="V296" s="3"/>
      <c r="W296" s="1"/>
      <c r="X296" s="1"/>
    </row>
    <row r="297" ht="16.5" customHeight="1">
      <c r="A297" s="1"/>
      <c r="B297" s="1"/>
      <c r="C297" s="1"/>
      <c r="D297" s="8"/>
      <c r="E297" s="8"/>
      <c r="F297" s="1"/>
      <c r="G297" s="1"/>
      <c r="H297" s="1"/>
      <c r="I297" s="1"/>
      <c r="J297" s="1"/>
      <c r="K297" s="1"/>
      <c r="L297" s="1"/>
      <c r="M297" s="1"/>
      <c r="N297" s="1"/>
      <c r="O297" s="45"/>
      <c r="P297" s="1"/>
      <c r="Q297" s="1"/>
      <c r="R297" s="8"/>
      <c r="S297" s="1"/>
      <c r="T297" s="1"/>
      <c r="U297" s="1"/>
      <c r="V297" s="3"/>
      <c r="W297" s="1"/>
      <c r="X297" s="1"/>
    </row>
    <row r="298" ht="16.5" customHeight="1">
      <c r="A298" s="1"/>
      <c r="B298" s="1"/>
      <c r="C298" s="1"/>
      <c r="D298" s="8"/>
      <c r="E298" s="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"/>
      <c r="S298" s="1"/>
      <c r="T298" s="1"/>
      <c r="U298" s="1"/>
      <c r="V298" s="3"/>
      <c r="W298" s="1"/>
      <c r="X298" s="1"/>
    </row>
    <row r="299" ht="16.5" customHeight="1">
      <c r="A299" s="1"/>
      <c r="B299" s="1"/>
      <c r="C299" s="1"/>
      <c r="D299" s="8"/>
      <c r="E299" s="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"/>
      <c r="S299" s="1"/>
      <c r="T299" s="1"/>
      <c r="U299" s="1"/>
      <c r="V299" s="3"/>
      <c r="W299" s="1"/>
      <c r="X299" s="1"/>
    </row>
    <row r="300" ht="16.5" customHeight="1">
      <c r="A300" s="1"/>
      <c r="B300" s="1"/>
      <c r="C300" s="1"/>
      <c r="D300" s="8"/>
      <c r="E300" s="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"/>
      <c r="S300" s="1"/>
      <c r="T300" s="1"/>
      <c r="U300" s="1"/>
      <c r="V300" s="3"/>
      <c r="W300" s="1"/>
      <c r="X300" s="1"/>
    </row>
    <row r="301" ht="16.5" customHeight="1">
      <c r="A301" s="1"/>
      <c r="B301" s="1"/>
      <c r="C301" s="1"/>
      <c r="D301" s="8"/>
      <c r="E301" s="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"/>
      <c r="S301" s="1"/>
      <c r="T301" s="1"/>
      <c r="U301" s="1"/>
      <c r="V301" s="3"/>
      <c r="W301" s="1"/>
      <c r="X301" s="1"/>
    </row>
    <row r="302" ht="16.5" customHeight="1">
      <c r="A302" s="1"/>
      <c r="B302" s="1"/>
      <c r="C302" s="1"/>
      <c r="D302" s="8"/>
      <c r="E302" s="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"/>
      <c r="S302" s="1"/>
      <c r="T302" s="1"/>
      <c r="U302" s="1"/>
      <c r="V302" s="3"/>
      <c r="W302" s="1"/>
      <c r="X302" s="1"/>
    </row>
    <row r="303" ht="16.5" customHeight="1">
      <c r="A303" s="1"/>
      <c r="B303" s="1"/>
      <c r="C303" s="1"/>
      <c r="D303" s="8"/>
      <c r="E303" s="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"/>
      <c r="S303" s="1"/>
      <c r="T303" s="1"/>
      <c r="U303" s="1"/>
      <c r="V303" s="3"/>
      <c r="W303" s="1"/>
      <c r="X303" s="1"/>
    </row>
    <row r="304" ht="16.5" customHeight="1">
      <c r="A304" s="1"/>
      <c r="B304" s="1"/>
      <c r="C304" s="1"/>
      <c r="D304" s="8"/>
      <c r="E304" s="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"/>
      <c r="S304" s="1"/>
      <c r="T304" s="1"/>
      <c r="U304" s="1"/>
      <c r="V304" s="3"/>
      <c r="W304" s="1"/>
      <c r="X304" s="1"/>
    </row>
    <row r="305" ht="16.5" customHeight="1">
      <c r="A305" s="1"/>
      <c r="B305" s="1"/>
      <c r="C305" s="1"/>
      <c r="D305" s="8"/>
      <c r="E305" s="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"/>
      <c r="S305" s="1"/>
      <c r="T305" s="1"/>
      <c r="U305" s="1"/>
      <c r="V305" s="3"/>
      <c r="W305" s="1"/>
      <c r="X305" s="1"/>
    </row>
    <row r="306" ht="16.5" customHeight="1">
      <c r="A306" s="1"/>
      <c r="B306" s="1"/>
      <c r="C306" s="1"/>
      <c r="D306" s="8"/>
      <c r="E306" s="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"/>
      <c r="S306" s="1"/>
      <c r="T306" s="1"/>
      <c r="U306" s="1"/>
      <c r="V306" s="3"/>
      <c r="W306" s="1"/>
      <c r="X306" s="1"/>
    </row>
    <row r="307" ht="16.5" customHeight="1">
      <c r="A307" s="1"/>
      <c r="B307" s="1"/>
      <c r="C307" s="1"/>
      <c r="D307" s="8"/>
      <c r="E307" s="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"/>
      <c r="S307" s="1"/>
      <c r="T307" s="1"/>
      <c r="U307" s="1"/>
      <c r="V307" s="3"/>
      <c r="W307" s="1"/>
      <c r="X307" s="1"/>
    </row>
    <row r="308" ht="16.5" customHeight="1">
      <c r="A308" s="1"/>
      <c r="B308" s="1"/>
      <c r="C308" s="1"/>
      <c r="D308" s="8"/>
      <c r="E308" s="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"/>
      <c r="S308" s="1"/>
      <c r="T308" s="1"/>
      <c r="U308" s="1"/>
      <c r="V308" s="3"/>
      <c r="W308" s="1"/>
      <c r="X308" s="1"/>
    </row>
    <row r="309" ht="16.5" customHeight="1">
      <c r="A309" s="1"/>
      <c r="B309" s="1"/>
      <c r="C309" s="1"/>
      <c r="D309" s="8"/>
      <c r="E309" s="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"/>
      <c r="S309" s="1"/>
      <c r="T309" s="1"/>
      <c r="U309" s="1"/>
      <c r="V309" s="3"/>
      <c r="W309" s="1"/>
      <c r="X309" s="1"/>
    </row>
    <row r="310" ht="16.5" customHeight="1">
      <c r="A310" s="1"/>
      <c r="B310" s="1"/>
      <c r="C310" s="1"/>
      <c r="D310" s="8"/>
      <c r="E310" s="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"/>
      <c r="S310" s="1"/>
      <c r="T310" s="1"/>
      <c r="U310" s="1"/>
      <c r="V310" s="3"/>
      <c r="W310" s="1"/>
      <c r="X310" s="1"/>
    </row>
    <row r="311" ht="16.5" customHeight="1">
      <c r="A311" s="1"/>
      <c r="B311" s="1"/>
      <c r="C311" s="1"/>
      <c r="D311" s="8"/>
      <c r="E311" s="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"/>
      <c r="S311" s="1"/>
      <c r="T311" s="1"/>
      <c r="U311" s="1"/>
      <c r="V311" s="3"/>
      <c r="W311" s="1"/>
      <c r="X311" s="1"/>
    </row>
    <row r="312" ht="16.5" customHeight="1">
      <c r="A312" s="1"/>
      <c r="B312" s="1"/>
      <c r="C312" s="1"/>
      <c r="D312" s="8"/>
      <c r="E312" s="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"/>
      <c r="S312" s="1"/>
      <c r="T312" s="1"/>
      <c r="U312" s="1"/>
      <c r="V312" s="3"/>
      <c r="W312" s="1"/>
      <c r="X312" s="1"/>
    </row>
    <row r="313" ht="16.5" customHeight="1">
      <c r="A313" s="1"/>
      <c r="B313" s="1"/>
      <c r="C313" s="1"/>
      <c r="D313" s="8"/>
      <c r="E313" s="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"/>
      <c r="S313" s="1"/>
      <c r="T313" s="1"/>
      <c r="U313" s="1"/>
      <c r="V313" s="3"/>
      <c r="W313" s="1"/>
      <c r="X313" s="1"/>
    </row>
    <row r="314" ht="16.5" customHeight="1">
      <c r="A314" s="1"/>
      <c r="B314" s="1"/>
      <c r="C314" s="1"/>
      <c r="D314" s="8"/>
      <c r="E314" s="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"/>
      <c r="S314" s="1"/>
      <c r="T314" s="1"/>
      <c r="U314" s="1"/>
      <c r="V314" s="3"/>
      <c r="W314" s="1"/>
      <c r="X314" s="1"/>
    </row>
    <row r="315" ht="16.5" customHeight="1">
      <c r="A315" s="1"/>
      <c r="B315" s="1"/>
      <c r="C315" s="1"/>
      <c r="D315" s="8"/>
      <c r="E315" s="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"/>
      <c r="S315" s="1"/>
      <c r="T315" s="1"/>
      <c r="U315" s="1"/>
      <c r="V315" s="3"/>
      <c r="W315" s="1"/>
      <c r="X315" s="1"/>
    </row>
    <row r="316" ht="16.5" customHeight="1">
      <c r="A316" s="1"/>
      <c r="B316" s="1"/>
      <c r="C316" s="1"/>
      <c r="D316" s="8"/>
      <c r="E316" s="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"/>
      <c r="S316" s="1"/>
      <c r="T316" s="1"/>
      <c r="U316" s="1"/>
      <c r="V316" s="3"/>
      <c r="W316" s="1"/>
      <c r="X316" s="1"/>
    </row>
    <row r="317" ht="16.5" customHeight="1">
      <c r="A317" s="1"/>
      <c r="B317" s="1"/>
      <c r="C317" s="1"/>
      <c r="D317" s="8"/>
      <c r="E317" s="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"/>
      <c r="S317" s="1"/>
      <c r="T317" s="1"/>
      <c r="U317" s="1"/>
      <c r="V317" s="3"/>
      <c r="W317" s="1"/>
      <c r="X317" s="1"/>
    </row>
    <row r="318" ht="16.5" customHeight="1">
      <c r="A318" s="1"/>
      <c r="B318" s="1"/>
      <c r="C318" s="1"/>
      <c r="D318" s="8"/>
      <c r="E318" s="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"/>
      <c r="S318" s="1"/>
      <c r="T318" s="1"/>
      <c r="U318" s="1"/>
      <c r="V318" s="3"/>
      <c r="W318" s="1"/>
      <c r="X318" s="1"/>
    </row>
    <row r="319" ht="16.5" customHeight="1">
      <c r="A319" s="1"/>
      <c r="B319" s="1"/>
      <c r="C319" s="1"/>
      <c r="D319" s="8"/>
      <c r="E319" s="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"/>
      <c r="S319" s="1"/>
      <c r="T319" s="1"/>
      <c r="U319" s="1"/>
      <c r="V319" s="3"/>
      <c r="W319" s="1"/>
      <c r="X319" s="1"/>
    </row>
    <row r="320" ht="16.5" customHeight="1">
      <c r="A320" s="1"/>
      <c r="B320" s="1"/>
      <c r="C320" s="1"/>
      <c r="D320" s="8"/>
      <c r="E320" s="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"/>
      <c r="S320" s="1"/>
      <c r="T320" s="1"/>
      <c r="U320" s="1"/>
      <c r="V320" s="3"/>
      <c r="W320" s="1"/>
      <c r="X320" s="1"/>
    </row>
    <row r="321" ht="16.5" customHeight="1">
      <c r="A321" s="1"/>
      <c r="B321" s="1"/>
      <c r="C321" s="1"/>
      <c r="D321" s="8"/>
      <c r="E321" s="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"/>
      <c r="S321" s="1"/>
      <c r="T321" s="1"/>
      <c r="U321" s="1"/>
      <c r="V321" s="3"/>
      <c r="W321" s="1"/>
      <c r="X321" s="1"/>
    </row>
    <row r="322" ht="16.5" customHeight="1">
      <c r="A322" s="1"/>
      <c r="B322" s="1"/>
      <c r="C322" s="1"/>
      <c r="D322" s="8"/>
      <c r="E322" s="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"/>
      <c r="S322" s="1"/>
      <c r="T322" s="1"/>
      <c r="U322" s="1"/>
      <c r="V322" s="3"/>
      <c r="W322" s="1"/>
      <c r="X322" s="1"/>
    </row>
    <row r="323" ht="16.5" customHeight="1">
      <c r="A323" s="1"/>
      <c r="B323" s="1"/>
      <c r="C323" s="1"/>
      <c r="D323" s="8"/>
      <c r="E323" s="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"/>
      <c r="S323" s="1"/>
      <c r="T323" s="1"/>
      <c r="U323" s="1"/>
      <c r="V323" s="3"/>
      <c r="W323" s="1"/>
      <c r="X323" s="1"/>
    </row>
    <row r="324" ht="16.5" customHeight="1">
      <c r="A324" s="1"/>
      <c r="B324" s="1"/>
      <c r="C324" s="1"/>
      <c r="D324" s="8"/>
      <c r="E324" s="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"/>
      <c r="S324" s="1"/>
      <c r="T324" s="1"/>
      <c r="U324" s="1"/>
      <c r="V324" s="3"/>
      <c r="W324" s="1"/>
      <c r="X324" s="1"/>
    </row>
    <row r="325" ht="16.5" customHeight="1">
      <c r="A325" s="1"/>
      <c r="B325" s="1"/>
      <c r="C325" s="1"/>
      <c r="D325" s="8"/>
      <c r="E325" s="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"/>
      <c r="S325" s="1"/>
      <c r="T325" s="1"/>
      <c r="U325" s="1"/>
      <c r="V325" s="3"/>
      <c r="W325" s="1"/>
      <c r="X325" s="1"/>
    </row>
    <row r="326" ht="16.5" customHeight="1">
      <c r="A326" s="1"/>
      <c r="B326" s="1"/>
      <c r="C326" s="1"/>
      <c r="D326" s="8"/>
      <c r="E326" s="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"/>
      <c r="S326" s="1"/>
      <c r="T326" s="1"/>
      <c r="U326" s="1"/>
      <c r="V326" s="3"/>
      <c r="W326" s="1"/>
      <c r="X326" s="1"/>
    </row>
    <row r="327" ht="16.5" customHeight="1">
      <c r="A327" s="1"/>
      <c r="B327" s="1"/>
      <c r="C327" s="1"/>
      <c r="D327" s="8"/>
      <c r="E327" s="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"/>
      <c r="S327" s="1"/>
      <c r="T327" s="1"/>
      <c r="U327" s="1"/>
      <c r="V327" s="3"/>
      <c r="W327" s="1"/>
      <c r="X327" s="1"/>
    </row>
    <row r="328" ht="16.5" customHeight="1">
      <c r="A328" s="1"/>
      <c r="B328" s="1"/>
      <c r="C328" s="1"/>
      <c r="D328" s="8"/>
      <c r="E328" s="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"/>
      <c r="S328" s="1"/>
      <c r="T328" s="1"/>
      <c r="U328" s="1"/>
      <c r="V328" s="3"/>
      <c r="W328" s="1"/>
      <c r="X328" s="1"/>
    </row>
    <row r="329" ht="16.5" customHeight="1">
      <c r="A329" s="1"/>
      <c r="B329" s="1"/>
      <c r="C329" s="1"/>
      <c r="D329" s="8"/>
      <c r="E329" s="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"/>
      <c r="S329" s="1"/>
      <c r="T329" s="1"/>
      <c r="U329" s="1"/>
      <c r="V329" s="3"/>
      <c r="W329" s="1"/>
      <c r="X329" s="1"/>
    </row>
    <row r="330" ht="16.5" customHeight="1">
      <c r="A330" s="1"/>
      <c r="B330" s="1"/>
      <c r="C330" s="1"/>
      <c r="D330" s="8"/>
      <c r="E330" s="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"/>
      <c r="S330" s="1"/>
      <c r="T330" s="1"/>
      <c r="U330" s="1"/>
      <c r="V330" s="3"/>
      <c r="W330" s="1"/>
      <c r="X330" s="1"/>
    </row>
    <row r="331" ht="16.5" customHeight="1">
      <c r="A331" s="1"/>
      <c r="B331" s="1"/>
      <c r="C331" s="1"/>
      <c r="D331" s="8"/>
      <c r="E331" s="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"/>
      <c r="S331" s="1"/>
      <c r="T331" s="1"/>
      <c r="U331" s="1"/>
      <c r="V331" s="3"/>
      <c r="W331" s="1"/>
      <c r="X331" s="1"/>
    </row>
    <row r="332" ht="16.5" customHeight="1">
      <c r="A332" s="1"/>
      <c r="B332" s="1"/>
      <c r="C332" s="1"/>
      <c r="D332" s="8"/>
      <c r="E332" s="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"/>
      <c r="S332" s="1"/>
      <c r="T332" s="1"/>
      <c r="U332" s="1"/>
      <c r="V332" s="3"/>
      <c r="W332" s="1"/>
      <c r="X332" s="1"/>
    </row>
    <row r="333" ht="16.5" customHeight="1">
      <c r="A333" s="1"/>
      <c r="B333" s="1"/>
      <c r="C333" s="1"/>
      <c r="D333" s="8"/>
      <c r="E333" s="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"/>
      <c r="S333" s="1"/>
      <c r="T333" s="1"/>
      <c r="U333" s="1"/>
      <c r="V333" s="3"/>
      <c r="W333" s="1"/>
      <c r="X333" s="1"/>
    </row>
    <row r="334" ht="16.5" customHeight="1">
      <c r="A334" s="1"/>
      <c r="B334" s="1"/>
      <c r="C334" s="1"/>
      <c r="D334" s="8"/>
      <c r="E334" s="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"/>
      <c r="S334" s="1"/>
      <c r="T334" s="1"/>
      <c r="U334" s="1"/>
      <c r="V334" s="3"/>
      <c r="W334" s="1"/>
      <c r="X334" s="1"/>
    </row>
    <row r="335" ht="16.5" customHeight="1">
      <c r="A335" s="1"/>
      <c r="B335" s="1"/>
      <c r="C335" s="1"/>
      <c r="D335" s="8"/>
      <c r="E335" s="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"/>
      <c r="S335" s="1"/>
      <c r="T335" s="1"/>
      <c r="U335" s="1"/>
      <c r="V335" s="3"/>
      <c r="W335" s="1"/>
      <c r="X335" s="1"/>
    </row>
    <row r="336" ht="16.5" customHeight="1">
      <c r="A336" s="1"/>
      <c r="B336" s="1"/>
      <c r="C336" s="1"/>
      <c r="D336" s="8"/>
      <c r="E336" s="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"/>
      <c r="S336" s="1"/>
      <c r="T336" s="1"/>
      <c r="U336" s="1"/>
      <c r="V336" s="3"/>
      <c r="W336" s="1"/>
      <c r="X336" s="1"/>
    </row>
    <row r="337" ht="16.5" customHeight="1">
      <c r="A337" s="1"/>
      <c r="B337" s="1"/>
      <c r="C337" s="1"/>
      <c r="D337" s="8"/>
      <c r="E337" s="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"/>
      <c r="S337" s="1"/>
      <c r="T337" s="1"/>
      <c r="U337" s="1"/>
      <c r="V337" s="3"/>
      <c r="W337" s="1"/>
      <c r="X337" s="1"/>
    </row>
    <row r="338" ht="16.5" customHeight="1">
      <c r="A338" s="1"/>
      <c r="B338" s="1"/>
      <c r="C338" s="1"/>
      <c r="D338" s="8"/>
      <c r="E338" s="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"/>
      <c r="S338" s="1"/>
      <c r="T338" s="1"/>
      <c r="U338" s="1"/>
      <c r="V338" s="3"/>
      <c r="W338" s="1"/>
      <c r="X338" s="1"/>
    </row>
    <row r="339" ht="16.5" customHeight="1">
      <c r="A339" s="1"/>
      <c r="B339" s="1"/>
      <c r="C339" s="1"/>
      <c r="D339" s="8"/>
      <c r="E339" s="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"/>
      <c r="S339" s="1"/>
      <c r="T339" s="1"/>
      <c r="U339" s="1"/>
      <c r="V339" s="3"/>
      <c r="W339" s="1"/>
      <c r="X339" s="1"/>
    </row>
    <row r="340" ht="16.5" customHeight="1">
      <c r="A340" s="1"/>
      <c r="B340" s="1"/>
      <c r="C340" s="1"/>
      <c r="D340" s="8"/>
      <c r="E340" s="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"/>
      <c r="S340" s="1"/>
      <c r="T340" s="1"/>
      <c r="U340" s="1"/>
      <c r="V340" s="3"/>
      <c r="W340" s="1"/>
      <c r="X340" s="1"/>
    </row>
    <row r="341" ht="16.5" customHeight="1">
      <c r="A341" s="1"/>
      <c r="B341" s="1"/>
      <c r="C341" s="1"/>
      <c r="D341" s="8"/>
      <c r="E341" s="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"/>
      <c r="S341" s="1"/>
      <c r="T341" s="1"/>
      <c r="U341" s="1"/>
      <c r="V341" s="3"/>
      <c r="W341" s="1"/>
      <c r="X341" s="1"/>
    </row>
    <row r="342" ht="16.5" customHeight="1">
      <c r="A342" s="1"/>
      <c r="B342" s="1"/>
      <c r="C342" s="1"/>
      <c r="D342" s="8"/>
      <c r="E342" s="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"/>
      <c r="S342" s="1"/>
      <c r="T342" s="1"/>
      <c r="U342" s="1"/>
      <c r="V342" s="3"/>
      <c r="W342" s="1"/>
      <c r="X342" s="1"/>
    </row>
    <row r="343" ht="16.5" customHeight="1">
      <c r="A343" s="1"/>
      <c r="B343" s="1"/>
      <c r="C343" s="1"/>
      <c r="D343" s="8"/>
      <c r="E343" s="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"/>
      <c r="S343" s="1"/>
      <c r="T343" s="1"/>
      <c r="U343" s="1"/>
      <c r="V343" s="3"/>
      <c r="W343" s="1"/>
      <c r="X343" s="1"/>
    </row>
    <row r="344" ht="16.5" customHeight="1">
      <c r="A344" s="1"/>
      <c r="B344" s="1"/>
      <c r="C344" s="1"/>
      <c r="D344" s="8"/>
      <c r="E344" s="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"/>
      <c r="S344" s="1"/>
      <c r="T344" s="1"/>
      <c r="U344" s="1"/>
      <c r="V344" s="3"/>
      <c r="W344" s="1"/>
      <c r="X344" s="1"/>
    </row>
    <row r="345" ht="16.5" customHeight="1">
      <c r="A345" s="1"/>
      <c r="B345" s="1"/>
      <c r="C345" s="1"/>
      <c r="D345" s="8"/>
      <c r="E345" s="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"/>
      <c r="S345" s="1"/>
      <c r="T345" s="1"/>
      <c r="U345" s="1"/>
      <c r="V345" s="3"/>
      <c r="W345" s="1"/>
      <c r="X345" s="1"/>
    </row>
    <row r="346" ht="16.5" customHeight="1">
      <c r="A346" s="1"/>
      <c r="B346" s="1"/>
      <c r="C346" s="1"/>
      <c r="D346" s="8"/>
      <c r="E346" s="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"/>
      <c r="S346" s="1"/>
      <c r="T346" s="1"/>
      <c r="U346" s="1"/>
      <c r="V346" s="3"/>
      <c r="W346" s="1"/>
      <c r="X346" s="1"/>
    </row>
    <row r="347" ht="16.5" customHeight="1">
      <c r="A347" s="1"/>
      <c r="B347" s="1"/>
      <c r="C347" s="1"/>
      <c r="D347" s="8"/>
      <c r="E347" s="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"/>
      <c r="S347" s="1"/>
      <c r="T347" s="1"/>
      <c r="U347" s="1"/>
      <c r="V347" s="3"/>
      <c r="W347" s="1"/>
      <c r="X347" s="1"/>
    </row>
    <row r="348" ht="16.5" customHeight="1">
      <c r="A348" s="1"/>
      <c r="B348" s="1"/>
      <c r="C348" s="1"/>
      <c r="D348" s="8"/>
      <c r="E348" s="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"/>
      <c r="S348" s="1"/>
      <c r="T348" s="1"/>
      <c r="U348" s="1"/>
      <c r="V348" s="3"/>
      <c r="W348" s="1"/>
      <c r="X348" s="1"/>
    </row>
    <row r="349" ht="16.5" customHeight="1">
      <c r="A349" s="1"/>
      <c r="B349" s="1"/>
      <c r="C349" s="1"/>
      <c r="D349" s="8"/>
      <c r="E349" s="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"/>
      <c r="S349" s="1"/>
      <c r="T349" s="1"/>
      <c r="U349" s="1"/>
      <c r="V349" s="3"/>
      <c r="W349" s="1"/>
      <c r="X349" s="1"/>
    </row>
    <row r="350" ht="16.5" customHeight="1">
      <c r="A350" s="1"/>
      <c r="B350" s="1"/>
      <c r="C350" s="1"/>
      <c r="D350" s="8"/>
      <c r="E350" s="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"/>
      <c r="S350" s="1"/>
      <c r="T350" s="1"/>
      <c r="U350" s="1"/>
      <c r="V350" s="3"/>
      <c r="W350" s="1"/>
      <c r="X350" s="1"/>
    </row>
    <row r="351" ht="16.5" customHeight="1">
      <c r="A351" s="1"/>
      <c r="B351" s="1"/>
      <c r="C351" s="1"/>
      <c r="D351" s="8"/>
      <c r="E351" s="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"/>
      <c r="S351" s="1"/>
      <c r="T351" s="1"/>
      <c r="U351" s="1"/>
      <c r="V351" s="3"/>
      <c r="W351" s="1"/>
      <c r="X351" s="1"/>
    </row>
    <row r="352" ht="16.5" customHeight="1">
      <c r="A352" s="1"/>
      <c r="B352" s="1"/>
      <c r="C352" s="1"/>
      <c r="D352" s="8"/>
      <c r="E352" s="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"/>
      <c r="S352" s="1"/>
      <c r="T352" s="1"/>
      <c r="U352" s="1"/>
      <c r="V352" s="3"/>
      <c r="W352" s="1"/>
      <c r="X352" s="1"/>
    </row>
    <row r="353" ht="16.5" customHeight="1">
      <c r="A353" s="1"/>
      <c r="B353" s="1"/>
      <c r="C353" s="1"/>
      <c r="D353" s="8"/>
      <c r="E353" s="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"/>
      <c r="S353" s="1"/>
      <c r="T353" s="1"/>
      <c r="U353" s="1"/>
      <c r="V353" s="3"/>
      <c r="W353" s="1"/>
      <c r="X353" s="1"/>
    </row>
    <row r="354" ht="16.5" customHeight="1">
      <c r="A354" s="1"/>
      <c r="B354" s="1"/>
      <c r="C354" s="1"/>
      <c r="D354" s="8"/>
      <c r="E354" s="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"/>
      <c r="S354" s="1"/>
      <c r="T354" s="1"/>
      <c r="U354" s="1"/>
      <c r="V354" s="3"/>
      <c r="W354" s="1"/>
      <c r="X354" s="1"/>
    </row>
    <row r="355" ht="16.5" customHeight="1">
      <c r="A355" s="1"/>
      <c r="B355" s="1"/>
      <c r="C355" s="1"/>
      <c r="D355" s="8"/>
      <c r="E355" s="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"/>
      <c r="S355" s="1"/>
      <c r="T355" s="1"/>
      <c r="U355" s="1"/>
      <c r="V355" s="3"/>
      <c r="W355" s="1"/>
      <c r="X355" s="1"/>
    </row>
    <row r="356" ht="16.5" customHeight="1">
      <c r="A356" s="1"/>
      <c r="B356" s="1"/>
      <c r="C356" s="1"/>
      <c r="D356" s="8"/>
      <c r="E356" s="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"/>
      <c r="S356" s="1"/>
      <c r="T356" s="1"/>
      <c r="U356" s="1"/>
      <c r="V356" s="3"/>
      <c r="W356" s="1"/>
      <c r="X356" s="1"/>
    </row>
    <row r="357" ht="16.5" customHeight="1">
      <c r="A357" s="1"/>
      <c r="B357" s="1"/>
      <c r="C357" s="1"/>
      <c r="D357" s="8"/>
      <c r="E357" s="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"/>
      <c r="S357" s="1"/>
      <c r="T357" s="1"/>
      <c r="U357" s="1"/>
      <c r="V357" s="3"/>
      <c r="W357" s="1"/>
      <c r="X357" s="1"/>
    </row>
    <row r="358" ht="16.5" customHeight="1">
      <c r="A358" s="1"/>
      <c r="B358" s="1"/>
      <c r="C358" s="1"/>
      <c r="D358" s="8"/>
      <c r="E358" s="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"/>
      <c r="S358" s="1"/>
      <c r="T358" s="1"/>
      <c r="U358" s="1"/>
      <c r="V358" s="3"/>
      <c r="W358" s="1"/>
      <c r="X358" s="1"/>
    </row>
    <row r="359" ht="16.5" customHeight="1">
      <c r="A359" s="1"/>
      <c r="B359" s="1"/>
      <c r="C359" s="1"/>
      <c r="D359" s="8"/>
      <c r="E359" s="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"/>
      <c r="S359" s="1"/>
      <c r="T359" s="1"/>
      <c r="U359" s="1"/>
      <c r="V359" s="3"/>
      <c r="W359" s="1"/>
      <c r="X359" s="1"/>
    </row>
    <row r="360" ht="16.5" customHeight="1">
      <c r="A360" s="1"/>
      <c r="B360" s="1"/>
      <c r="C360" s="1"/>
      <c r="D360" s="8"/>
      <c r="E360" s="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"/>
      <c r="S360" s="1"/>
      <c r="T360" s="1"/>
      <c r="U360" s="1"/>
      <c r="V360" s="3"/>
      <c r="W360" s="1"/>
      <c r="X360" s="1"/>
    </row>
    <row r="361" ht="16.5" customHeight="1">
      <c r="A361" s="1"/>
      <c r="B361" s="1"/>
      <c r="C361" s="1"/>
      <c r="D361" s="8"/>
      <c r="E361" s="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"/>
      <c r="S361" s="1"/>
      <c r="T361" s="1"/>
      <c r="U361" s="1"/>
      <c r="V361" s="3"/>
      <c r="W361" s="1"/>
      <c r="X361" s="1"/>
    </row>
    <row r="362" ht="16.5" customHeight="1">
      <c r="A362" s="1"/>
      <c r="B362" s="1"/>
      <c r="C362" s="1"/>
      <c r="D362" s="8"/>
      <c r="E362" s="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"/>
      <c r="S362" s="1"/>
      <c r="T362" s="1"/>
      <c r="U362" s="1"/>
      <c r="V362" s="3"/>
      <c r="W362" s="1"/>
      <c r="X362" s="1"/>
    </row>
    <row r="363" ht="16.5" customHeight="1">
      <c r="A363" s="1"/>
      <c r="B363" s="1"/>
      <c r="C363" s="1"/>
      <c r="D363" s="8"/>
      <c r="E363" s="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"/>
      <c r="S363" s="1"/>
      <c r="T363" s="1"/>
      <c r="U363" s="1"/>
      <c r="V363" s="3"/>
      <c r="W363" s="1"/>
      <c r="X363" s="1"/>
    </row>
    <row r="364" ht="16.5" customHeight="1">
      <c r="A364" s="1"/>
      <c r="B364" s="1"/>
      <c r="C364" s="1"/>
      <c r="D364" s="8"/>
      <c r="E364" s="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"/>
      <c r="S364" s="1"/>
      <c r="T364" s="1"/>
      <c r="U364" s="1"/>
      <c r="V364" s="3"/>
      <c r="W364" s="1"/>
      <c r="X364" s="1"/>
    </row>
    <row r="365" ht="16.5" customHeight="1">
      <c r="A365" s="1"/>
      <c r="B365" s="1"/>
      <c r="C365" s="1"/>
      <c r="D365" s="8"/>
      <c r="E365" s="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"/>
      <c r="S365" s="1"/>
      <c r="T365" s="1"/>
      <c r="U365" s="1"/>
      <c r="V365" s="3"/>
      <c r="W365" s="1"/>
      <c r="X365" s="1"/>
    </row>
    <row r="366" ht="16.5" customHeight="1">
      <c r="A366" s="1"/>
      <c r="B366" s="1"/>
      <c r="C366" s="1"/>
      <c r="D366" s="8"/>
      <c r="E366" s="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"/>
      <c r="S366" s="1"/>
      <c r="T366" s="1"/>
      <c r="U366" s="1"/>
      <c r="V366" s="3"/>
      <c r="W366" s="1"/>
      <c r="X366" s="1"/>
    </row>
    <row r="367" ht="16.5" customHeight="1">
      <c r="A367" s="1"/>
      <c r="B367" s="1"/>
      <c r="C367" s="1"/>
      <c r="D367" s="8"/>
      <c r="E367" s="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"/>
      <c r="S367" s="1"/>
      <c r="T367" s="1"/>
      <c r="U367" s="1"/>
      <c r="V367" s="3"/>
      <c r="W367" s="1"/>
      <c r="X367" s="1"/>
    </row>
    <row r="368" ht="16.5" customHeight="1">
      <c r="A368" s="1"/>
      <c r="B368" s="1"/>
      <c r="C368" s="1"/>
      <c r="D368" s="8"/>
      <c r="E368" s="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"/>
      <c r="S368" s="1"/>
      <c r="T368" s="1"/>
      <c r="U368" s="1"/>
      <c r="V368" s="3"/>
      <c r="W368" s="1"/>
      <c r="X368" s="1"/>
    </row>
    <row r="369" ht="16.5" customHeight="1">
      <c r="A369" s="1"/>
      <c r="B369" s="1"/>
      <c r="C369" s="1"/>
      <c r="D369" s="8"/>
      <c r="E369" s="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"/>
      <c r="S369" s="1"/>
      <c r="T369" s="1"/>
      <c r="U369" s="1"/>
      <c r="V369" s="3"/>
      <c r="W369" s="1"/>
      <c r="X369" s="1"/>
    </row>
    <row r="370" ht="16.5" customHeight="1">
      <c r="A370" s="1"/>
      <c r="B370" s="1"/>
      <c r="C370" s="1"/>
      <c r="D370" s="8"/>
      <c r="E370" s="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"/>
      <c r="S370" s="1"/>
      <c r="T370" s="1"/>
      <c r="U370" s="1"/>
      <c r="V370" s="3"/>
      <c r="W370" s="1"/>
      <c r="X370" s="1"/>
    </row>
    <row r="371" ht="16.5" customHeight="1">
      <c r="A371" s="1"/>
      <c r="B371" s="1"/>
      <c r="C371" s="1"/>
      <c r="D371" s="8"/>
      <c r="E371" s="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"/>
      <c r="S371" s="1"/>
      <c r="T371" s="1"/>
      <c r="U371" s="1"/>
      <c r="V371" s="3"/>
      <c r="W371" s="1"/>
      <c r="X371" s="1"/>
    </row>
    <row r="372" ht="16.5" customHeight="1">
      <c r="A372" s="1"/>
      <c r="B372" s="1"/>
      <c r="C372" s="1"/>
      <c r="D372" s="8"/>
      <c r="E372" s="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"/>
      <c r="S372" s="1"/>
      <c r="T372" s="1"/>
      <c r="U372" s="1"/>
      <c r="V372" s="3"/>
      <c r="W372" s="1"/>
      <c r="X372" s="1"/>
    </row>
    <row r="373" ht="16.5" customHeight="1">
      <c r="A373" s="1"/>
      <c r="B373" s="1"/>
      <c r="C373" s="1"/>
      <c r="D373" s="8"/>
      <c r="E373" s="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"/>
      <c r="S373" s="1"/>
      <c r="T373" s="1"/>
      <c r="U373" s="1"/>
      <c r="V373" s="3"/>
      <c r="W373" s="1"/>
      <c r="X373" s="1"/>
    </row>
    <row r="374" ht="16.5" customHeight="1">
      <c r="A374" s="1"/>
      <c r="B374" s="1"/>
      <c r="C374" s="1"/>
      <c r="D374" s="8"/>
      <c r="E374" s="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"/>
      <c r="S374" s="1"/>
      <c r="T374" s="1"/>
      <c r="U374" s="1"/>
      <c r="V374" s="3"/>
      <c r="W374" s="1"/>
      <c r="X374" s="1"/>
    </row>
    <row r="375" ht="16.5" customHeight="1">
      <c r="A375" s="1"/>
      <c r="B375" s="1"/>
      <c r="C375" s="1"/>
      <c r="D375" s="8"/>
      <c r="E375" s="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"/>
      <c r="S375" s="1"/>
      <c r="T375" s="1"/>
      <c r="U375" s="1"/>
      <c r="V375" s="3"/>
      <c r="W375" s="1"/>
      <c r="X375" s="1"/>
    </row>
    <row r="376" ht="16.5" customHeight="1">
      <c r="A376" s="1"/>
      <c r="B376" s="1"/>
      <c r="C376" s="1"/>
      <c r="D376" s="8"/>
      <c r="E376" s="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"/>
      <c r="S376" s="1"/>
      <c r="T376" s="1"/>
      <c r="U376" s="1"/>
      <c r="V376" s="3"/>
      <c r="W376" s="1"/>
      <c r="X376" s="1"/>
    </row>
    <row r="377" ht="16.5" customHeight="1">
      <c r="A377" s="1"/>
      <c r="B377" s="1"/>
      <c r="C377" s="1"/>
      <c r="D377" s="8"/>
      <c r="E377" s="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"/>
      <c r="S377" s="1"/>
      <c r="T377" s="1"/>
      <c r="U377" s="1"/>
      <c r="V377" s="3"/>
      <c r="W377" s="1"/>
      <c r="X377" s="1"/>
    </row>
    <row r="378" ht="16.5" customHeight="1">
      <c r="A378" s="1"/>
      <c r="B378" s="1"/>
      <c r="C378" s="1"/>
      <c r="D378" s="8"/>
      <c r="E378" s="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"/>
      <c r="S378" s="1"/>
      <c r="T378" s="1"/>
      <c r="U378" s="1"/>
      <c r="V378" s="3"/>
      <c r="W378" s="1"/>
      <c r="X378" s="1"/>
    </row>
    <row r="379" ht="16.5" customHeight="1">
      <c r="A379" s="1"/>
      <c r="B379" s="1"/>
      <c r="C379" s="1"/>
      <c r="D379" s="8"/>
      <c r="E379" s="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"/>
      <c r="S379" s="1"/>
      <c r="T379" s="1"/>
      <c r="U379" s="1"/>
      <c r="V379" s="3"/>
      <c r="W379" s="1"/>
      <c r="X379" s="1"/>
    </row>
    <row r="380" ht="16.5" customHeight="1">
      <c r="A380" s="1"/>
      <c r="B380" s="1"/>
      <c r="C380" s="1"/>
      <c r="D380" s="8"/>
      <c r="E380" s="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"/>
      <c r="S380" s="1"/>
      <c r="T380" s="1"/>
      <c r="U380" s="1"/>
      <c r="V380" s="3"/>
      <c r="W380" s="1"/>
      <c r="X380" s="1"/>
    </row>
    <row r="381" ht="16.5" customHeight="1">
      <c r="A381" s="1"/>
      <c r="B381" s="1"/>
      <c r="C381" s="1"/>
      <c r="D381" s="8"/>
      <c r="E381" s="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"/>
      <c r="S381" s="1"/>
      <c r="T381" s="1"/>
      <c r="U381" s="1"/>
      <c r="V381" s="3"/>
      <c r="W381" s="1"/>
      <c r="X381" s="1"/>
    </row>
    <row r="382" ht="16.5" customHeight="1">
      <c r="A382" s="1"/>
      <c r="B382" s="1"/>
      <c r="C382" s="1"/>
      <c r="D382" s="8"/>
      <c r="E382" s="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"/>
      <c r="S382" s="1"/>
      <c r="T382" s="1"/>
      <c r="U382" s="1"/>
      <c r="V382" s="3"/>
      <c r="W382" s="1"/>
      <c r="X382" s="1"/>
    </row>
    <row r="383" ht="16.5" customHeight="1">
      <c r="A383" s="1"/>
      <c r="B383" s="1"/>
      <c r="C383" s="1"/>
      <c r="D383" s="8"/>
      <c r="E383" s="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"/>
      <c r="S383" s="1"/>
      <c r="T383" s="1"/>
      <c r="U383" s="1"/>
      <c r="V383" s="3"/>
      <c r="W383" s="1"/>
      <c r="X383" s="1"/>
    </row>
    <row r="384" ht="16.5" customHeight="1">
      <c r="A384" s="1"/>
      <c r="B384" s="1"/>
      <c r="C384" s="1"/>
      <c r="D384" s="8"/>
      <c r="E384" s="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"/>
      <c r="S384" s="1"/>
      <c r="T384" s="1"/>
      <c r="U384" s="1"/>
      <c r="V384" s="3"/>
      <c r="W384" s="1"/>
      <c r="X384" s="1"/>
    </row>
    <row r="385" ht="16.5" customHeight="1">
      <c r="A385" s="1"/>
      <c r="B385" s="1"/>
      <c r="C385" s="1"/>
      <c r="D385" s="8"/>
      <c r="E385" s="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"/>
      <c r="S385" s="1"/>
      <c r="T385" s="1"/>
      <c r="U385" s="1"/>
      <c r="V385" s="3"/>
      <c r="W385" s="1"/>
      <c r="X385" s="1"/>
    </row>
    <row r="386" ht="16.5" customHeight="1">
      <c r="A386" s="1"/>
      <c r="B386" s="1"/>
      <c r="C386" s="1"/>
      <c r="D386" s="8"/>
      <c r="E386" s="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"/>
      <c r="S386" s="1"/>
      <c r="T386" s="1"/>
      <c r="U386" s="1"/>
      <c r="V386" s="3"/>
      <c r="W386" s="1"/>
      <c r="X386" s="1"/>
    </row>
    <row r="387" ht="16.5" customHeight="1">
      <c r="A387" s="1"/>
      <c r="B387" s="1"/>
      <c r="C387" s="1"/>
      <c r="D387" s="8"/>
      <c r="E387" s="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"/>
      <c r="S387" s="1"/>
      <c r="T387" s="1"/>
      <c r="U387" s="1"/>
      <c r="V387" s="3"/>
      <c r="W387" s="1"/>
      <c r="X387" s="1"/>
    </row>
    <row r="388" ht="16.5" customHeight="1">
      <c r="A388" s="1"/>
      <c r="B388" s="1"/>
      <c r="C388" s="1"/>
      <c r="D388" s="8"/>
      <c r="E388" s="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"/>
      <c r="S388" s="1"/>
      <c r="T388" s="1"/>
      <c r="U388" s="1"/>
      <c r="V388" s="3"/>
      <c r="W388" s="1"/>
      <c r="X388" s="1"/>
    </row>
    <row r="389" ht="16.5" customHeight="1">
      <c r="A389" s="1"/>
      <c r="B389" s="1"/>
      <c r="C389" s="1"/>
      <c r="D389" s="8"/>
      <c r="E389" s="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"/>
      <c r="S389" s="1"/>
      <c r="T389" s="1"/>
      <c r="U389" s="1"/>
      <c r="V389" s="3"/>
      <c r="W389" s="1"/>
      <c r="X389" s="1"/>
    </row>
    <row r="390" ht="16.5" customHeight="1">
      <c r="A390" s="1"/>
      <c r="B390" s="1"/>
      <c r="C390" s="1"/>
      <c r="D390" s="8"/>
      <c r="E390" s="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"/>
      <c r="S390" s="1"/>
      <c r="T390" s="1"/>
      <c r="U390" s="1"/>
      <c r="V390" s="3"/>
      <c r="W390" s="1"/>
      <c r="X390" s="1"/>
    </row>
    <row r="391" ht="16.5" customHeight="1">
      <c r="A391" s="1"/>
      <c r="B391" s="1"/>
      <c r="C391" s="1"/>
      <c r="D391" s="8"/>
      <c r="E391" s="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"/>
      <c r="S391" s="1"/>
      <c r="T391" s="1"/>
      <c r="U391" s="1"/>
      <c r="V391" s="3"/>
      <c r="W391" s="1"/>
      <c r="X391" s="1"/>
    </row>
    <row r="392" ht="16.5" customHeight="1">
      <c r="A392" s="1"/>
      <c r="B392" s="1"/>
      <c r="C392" s="1"/>
      <c r="D392" s="8"/>
      <c r="E392" s="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"/>
      <c r="S392" s="1"/>
      <c r="T392" s="1"/>
      <c r="U392" s="1"/>
      <c r="V392" s="3"/>
      <c r="W392" s="1"/>
      <c r="X392" s="1"/>
    </row>
    <row r="393" ht="16.5" customHeight="1">
      <c r="A393" s="1"/>
      <c r="B393" s="1"/>
      <c r="C393" s="1"/>
      <c r="D393" s="8"/>
      <c r="E393" s="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"/>
      <c r="S393" s="1"/>
      <c r="T393" s="1"/>
      <c r="U393" s="1"/>
      <c r="V393" s="3"/>
      <c r="W393" s="1"/>
      <c r="X393" s="1"/>
    </row>
    <row r="394" ht="16.5" customHeight="1">
      <c r="A394" s="1"/>
      <c r="B394" s="1"/>
      <c r="C394" s="1"/>
      <c r="D394" s="8"/>
      <c r="E394" s="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"/>
      <c r="S394" s="1"/>
      <c r="T394" s="1"/>
      <c r="U394" s="1"/>
      <c r="V394" s="3"/>
      <c r="W394" s="1"/>
      <c r="X394" s="1"/>
    </row>
    <row r="395" ht="16.5" customHeight="1">
      <c r="A395" s="1"/>
      <c r="B395" s="1"/>
      <c r="C395" s="1"/>
      <c r="D395" s="8"/>
      <c r="E395" s="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"/>
      <c r="S395" s="1"/>
      <c r="T395" s="1"/>
      <c r="U395" s="1"/>
      <c r="V395" s="3"/>
      <c r="W395" s="1"/>
      <c r="X395" s="1"/>
    </row>
    <row r="396" ht="16.5" customHeight="1">
      <c r="A396" s="1"/>
      <c r="B396" s="1"/>
      <c r="C396" s="1"/>
      <c r="D396" s="8"/>
      <c r="E396" s="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"/>
      <c r="S396" s="1"/>
      <c r="T396" s="1"/>
      <c r="U396" s="1"/>
      <c r="V396" s="3"/>
      <c r="W396" s="1"/>
      <c r="X396" s="1"/>
    </row>
    <row r="397" ht="16.5" customHeight="1">
      <c r="A397" s="1"/>
      <c r="B397" s="1"/>
      <c r="C397" s="1"/>
      <c r="D397" s="8"/>
      <c r="E397" s="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"/>
      <c r="S397" s="1"/>
      <c r="T397" s="1"/>
      <c r="U397" s="1"/>
      <c r="V397" s="3"/>
      <c r="W397" s="1"/>
      <c r="X397" s="1"/>
    </row>
    <row r="398" ht="16.5" customHeight="1">
      <c r="A398" s="1"/>
      <c r="B398" s="1"/>
      <c r="C398" s="1"/>
      <c r="D398" s="8"/>
      <c r="E398" s="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"/>
      <c r="S398" s="1"/>
      <c r="T398" s="1"/>
      <c r="U398" s="1"/>
      <c r="V398" s="3"/>
      <c r="W398" s="1"/>
      <c r="X398" s="1"/>
    </row>
    <row r="399" ht="16.5" customHeight="1">
      <c r="A399" s="1"/>
      <c r="B399" s="1"/>
      <c r="C399" s="1"/>
      <c r="D399" s="8"/>
      <c r="E399" s="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"/>
      <c r="S399" s="1"/>
      <c r="T399" s="1"/>
      <c r="U399" s="1"/>
      <c r="V399" s="3"/>
      <c r="W399" s="1"/>
      <c r="X399" s="1"/>
    </row>
    <row r="400" ht="16.5" customHeight="1">
      <c r="A400" s="1"/>
      <c r="B400" s="1"/>
      <c r="C400" s="1"/>
      <c r="D400" s="8"/>
      <c r="E400" s="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"/>
      <c r="S400" s="1"/>
      <c r="T400" s="1"/>
      <c r="U400" s="1"/>
      <c r="V400" s="3"/>
      <c r="W400" s="1"/>
      <c r="X400" s="1"/>
    </row>
    <row r="401" ht="16.5" customHeight="1">
      <c r="A401" s="1"/>
      <c r="B401" s="1"/>
      <c r="C401" s="1"/>
      <c r="D401" s="8"/>
      <c r="E401" s="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"/>
      <c r="S401" s="1"/>
      <c r="T401" s="1"/>
      <c r="U401" s="1"/>
      <c r="V401" s="3"/>
      <c r="W401" s="1"/>
      <c r="X401" s="1"/>
    </row>
    <row r="402" ht="16.5" customHeight="1">
      <c r="A402" s="1"/>
      <c r="B402" s="1"/>
      <c r="C402" s="1"/>
      <c r="D402" s="8"/>
      <c r="E402" s="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"/>
      <c r="S402" s="1"/>
      <c r="T402" s="1"/>
      <c r="U402" s="1"/>
      <c r="V402" s="3"/>
      <c r="W402" s="1"/>
      <c r="X402" s="1"/>
    </row>
    <row r="403" ht="16.5" customHeight="1">
      <c r="A403" s="1"/>
      <c r="B403" s="1"/>
      <c r="C403" s="1"/>
      <c r="D403" s="8"/>
      <c r="E403" s="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"/>
      <c r="S403" s="1"/>
      <c r="T403" s="1"/>
      <c r="U403" s="1"/>
      <c r="V403" s="3"/>
      <c r="W403" s="1"/>
      <c r="X403" s="1"/>
    </row>
    <row r="404" ht="16.5" customHeight="1">
      <c r="A404" s="1"/>
      <c r="B404" s="1"/>
      <c r="C404" s="1"/>
      <c r="D404" s="8"/>
      <c r="E404" s="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"/>
      <c r="S404" s="1"/>
      <c r="T404" s="1"/>
      <c r="U404" s="1"/>
      <c r="V404" s="3"/>
      <c r="W404" s="1"/>
      <c r="X404" s="1"/>
    </row>
    <row r="405" ht="16.5" customHeight="1">
      <c r="A405" s="1"/>
      <c r="B405" s="1"/>
      <c r="C405" s="1"/>
      <c r="D405" s="8"/>
      <c r="E405" s="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"/>
      <c r="S405" s="1"/>
      <c r="T405" s="1"/>
      <c r="U405" s="1"/>
      <c r="V405" s="3"/>
      <c r="W405" s="1"/>
      <c r="X405" s="1"/>
    </row>
    <row r="406" ht="16.5" customHeight="1">
      <c r="A406" s="1"/>
      <c r="B406" s="1"/>
      <c r="C406" s="1"/>
      <c r="D406" s="8"/>
      <c r="E406" s="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"/>
      <c r="S406" s="1"/>
      <c r="T406" s="1"/>
      <c r="U406" s="1"/>
      <c r="V406" s="3"/>
      <c r="W406" s="1"/>
      <c r="X406" s="1"/>
    </row>
    <row r="407" ht="16.5" customHeight="1">
      <c r="A407" s="1"/>
      <c r="B407" s="1"/>
      <c r="C407" s="1"/>
      <c r="D407" s="8"/>
      <c r="E407" s="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"/>
      <c r="S407" s="1"/>
      <c r="T407" s="1"/>
      <c r="U407" s="1"/>
      <c r="V407" s="3"/>
      <c r="W407" s="1"/>
      <c r="X407" s="1"/>
    </row>
    <row r="408" ht="16.5" customHeight="1">
      <c r="A408" s="1"/>
      <c r="B408" s="1"/>
      <c r="C408" s="1"/>
      <c r="D408" s="8"/>
      <c r="E408" s="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"/>
      <c r="S408" s="1"/>
      <c r="T408" s="1"/>
      <c r="U408" s="1"/>
      <c r="V408" s="3"/>
      <c r="W408" s="1"/>
      <c r="X408" s="1"/>
    </row>
    <row r="409" ht="16.5" customHeight="1">
      <c r="A409" s="1"/>
      <c r="B409" s="1"/>
      <c r="C409" s="1"/>
      <c r="D409" s="8"/>
      <c r="E409" s="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"/>
      <c r="S409" s="1"/>
      <c r="T409" s="1"/>
      <c r="U409" s="1"/>
      <c r="V409" s="3"/>
      <c r="W409" s="1"/>
      <c r="X409" s="1"/>
    </row>
    <row r="410" ht="16.5" customHeight="1">
      <c r="A410" s="1"/>
      <c r="B410" s="1"/>
      <c r="C410" s="1"/>
      <c r="D410" s="8"/>
      <c r="E410" s="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"/>
      <c r="S410" s="1"/>
      <c r="T410" s="1"/>
      <c r="U410" s="1"/>
      <c r="V410" s="3"/>
      <c r="W410" s="1"/>
      <c r="X410" s="1"/>
    </row>
    <row r="411" ht="16.5" customHeight="1">
      <c r="A411" s="1"/>
      <c r="B411" s="1"/>
      <c r="C411" s="1"/>
      <c r="D411" s="8"/>
      <c r="E411" s="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"/>
      <c r="S411" s="1"/>
      <c r="T411" s="1"/>
      <c r="U411" s="1"/>
      <c r="V411" s="3"/>
      <c r="W411" s="1"/>
      <c r="X411" s="1"/>
    </row>
    <row r="412" ht="16.5" customHeight="1">
      <c r="A412" s="1"/>
      <c r="B412" s="1"/>
      <c r="C412" s="1"/>
      <c r="D412" s="8"/>
      <c r="E412" s="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"/>
      <c r="S412" s="1"/>
      <c r="T412" s="1"/>
      <c r="U412" s="1"/>
      <c r="V412" s="3"/>
      <c r="W412" s="1"/>
      <c r="X412" s="1"/>
    </row>
    <row r="413" ht="16.5" customHeight="1">
      <c r="A413" s="1"/>
      <c r="B413" s="1"/>
      <c r="C413" s="1"/>
      <c r="D413" s="8"/>
      <c r="E413" s="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"/>
      <c r="S413" s="1"/>
      <c r="T413" s="1"/>
      <c r="U413" s="1"/>
      <c r="V413" s="3"/>
      <c r="W413" s="1"/>
      <c r="X413" s="1"/>
    </row>
    <row r="414" ht="16.5" customHeight="1">
      <c r="A414" s="1"/>
      <c r="B414" s="1"/>
      <c r="C414" s="1"/>
      <c r="D414" s="8"/>
      <c r="E414" s="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"/>
      <c r="S414" s="1"/>
      <c r="T414" s="1"/>
      <c r="U414" s="1"/>
      <c r="V414" s="3"/>
      <c r="W414" s="1"/>
      <c r="X414" s="1"/>
    </row>
    <row r="415" ht="16.5" customHeight="1">
      <c r="A415" s="1"/>
      <c r="B415" s="1"/>
      <c r="C415" s="1"/>
      <c r="D415" s="8"/>
      <c r="E415" s="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"/>
      <c r="S415" s="1"/>
      <c r="T415" s="1"/>
      <c r="U415" s="1"/>
      <c r="V415" s="3"/>
      <c r="W415" s="1"/>
      <c r="X415" s="1"/>
    </row>
    <row r="416" ht="16.5" customHeight="1">
      <c r="A416" s="1"/>
      <c r="B416" s="1"/>
      <c r="C416" s="1"/>
      <c r="D416" s="8"/>
      <c r="E416" s="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"/>
      <c r="S416" s="1"/>
      <c r="T416" s="1"/>
      <c r="U416" s="1"/>
      <c r="V416" s="3"/>
      <c r="W416" s="1"/>
      <c r="X416" s="1"/>
    </row>
    <row r="417" ht="16.5" customHeight="1">
      <c r="A417" s="1"/>
      <c r="B417" s="1"/>
      <c r="C417" s="1"/>
      <c r="D417" s="8"/>
      <c r="E417" s="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"/>
      <c r="S417" s="1"/>
      <c r="T417" s="1"/>
      <c r="U417" s="1"/>
      <c r="V417" s="3"/>
      <c r="W417" s="1"/>
      <c r="X417" s="1"/>
    </row>
    <row r="418" ht="16.5" customHeight="1">
      <c r="A418" s="1"/>
      <c r="B418" s="1"/>
      <c r="C418" s="1"/>
      <c r="D418" s="8"/>
      <c r="E418" s="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"/>
      <c r="S418" s="1"/>
      <c r="T418" s="1"/>
      <c r="U418" s="1"/>
      <c r="V418" s="3"/>
      <c r="W418" s="1"/>
      <c r="X418" s="1"/>
    </row>
    <row r="419" ht="16.5" customHeight="1">
      <c r="A419" s="1"/>
      <c r="B419" s="1"/>
      <c r="C419" s="1"/>
      <c r="D419" s="8"/>
      <c r="E419" s="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"/>
      <c r="S419" s="1"/>
      <c r="T419" s="1"/>
      <c r="U419" s="1"/>
      <c r="V419" s="3"/>
      <c r="W419" s="1"/>
      <c r="X419" s="1"/>
    </row>
    <row r="420" ht="16.5" customHeight="1">
      <c r="A420" s="1"/>
      <c r="B420" s="1"/>
      <c r="C420" s="1"/>
      <c r="D420" s="8"/>
      <c r="E420" s="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"/>
      <c r="S420" s="1"/>
      <c r="T420" s="1"/>
      <c r="U420" s="1"/>
      <c r="V420" s="3"/>
      <c r="W420" s="1"/>
      <c r="X420" s="1"/>
    </row>
    <row r="421" ht="16.5" customHeight="1">
      <c r="A421" s="1"/>
      <c r="B421" s="1"/>
      <c r="C421" s="1"/>
      <c r="D421" s="8"/>
      <c r="E421" s="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"/>
      <c r="S421" s="1"/>
      <c r="T421" s="1"/>
      <c r="U421" s="1"/>
      <c r="V421" s="3"/>
      <c r="W421" s="1"/>
      <c r="X421" s="1"/>
    </row>
    <row r="422" ht="16.5" customHeight="1">
      <c r="A422" s="1"/>
      <c r="B422" s="1"/>
      <c r="C422" s="1"/>
      <c r="D422" s="8"/>
      <c r="E422" s="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"/>
      <c r="S422" s="1"/>
      <c r="T422" s="1"/>
      <c r="U422" s="1"/>
      <c r="V422" s="3"/>
      <c r="W422" s="1"/>
      <c r="X422" s="1"/>
    </row>
    <row r="423" ht="16.5" customHeight="1">
      <c r="A423" s="1"/>
      <c r="B423" s="1"/>
      <c r="C423" s="1"/>
      <c r="D423" s="8"/>
      <c r="E423" s="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"/>
      <c r="S423" s="1"/>
      <c r="T423" s="1"/>
      <c r="U423" s="1"/>
      <c r="V423" s="3"/>
      <c r="W423" s="1"/>
      <c r="X423" s="1"/>
    </row>
    <row r="424" ht="16.5" customHeight="1">
      <c r="A424" s="1"/>
      <c r="B424" s="1"/>
      <c r="C424" s="1"/>
      <c r="D424" s="8"/>
      <c r="E424" s="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"/>
      <c r="S424" s="1"/>
      <c r="T424" s="1"/>
      <c r="U424" s="1"/>
      <c r="V424" s="3"/>
      <c r="W424" s="1"/>
      <c r="X424" s="1"/>
    </row>
    <row r="425" ht="16.5" customHeight="1">
      <c r="A425" s="1"/>
      <c r="B425" s="1"/>
      <c r="C425" s="1"/>
      <c r="D425" s="8"/>
      <c r="E425" s="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"/>
      <c r="S425" s="1"/>
      <c r="T425" s="1"/>
      <c r="U425" s="1"/>
      <c r="V425" s="3"/>
      <c r="W425" s="1"/>
      <c r="X425" s="1"/>
    </row>
    <row r="426" ht="16.5" customHeight="1">
      <c r="A426" s="1"/>
      <c r="B426" s="1"/>
      <c r="C426" s="1"/>
      <c r="D426" s="8"/>
      <c r="E426" s="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"/>
      <c r="S426" s="1"/>
      <c r="T426" s="1"/>
      <c r="U426" s="1"/>
      <c r="V426" s="3"/>
      <c r="W426" s="1"/>
      <c r="X426" s="1"/>
    </row>
    <row r="427" ht="16.5" customHeight="1">
      <c r="A427" s="1"/>
      <c r="B427" s="1"/>
      <c r="C427" s="1"/>
      <c r="D427" s="8"/>
      <c r="E427" s="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"/>
      <c r="S427" s="1"/>
      <c r="T427" s="1"/>
      <c r="U427" s="1"/>
      <c r="V427" s="3"/>
      <c r="W427" s="1"/>
      <c r="X427" s="1"/>
    </row>
    <row r="428" ht="16.5" customHeight="1">
      <c r="A428" s="1"/>
      <c r="B428" s="1"/>
      <c r="C428" s="1"/>
      <c r="D428" s="8"/>
      <c r="E428" s="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"/>
      <c r="S428" s="1"/>
      <c r="T428" s="1"/>
      <c r="U428" s="1"/>
      <c r="V428" s="3"/>
      <c r="W428" s="1"/>
      <c r="X428" s="1"/>
    </row>
    <row r="429" ht="16.5" customHeight="1">
      <c r="A429" s="1"/>
      <c r="B429" s="1"/>
      <c r="C429" s="1"/>
      <c r="D429" s="8"/>
      <c r="E429" s="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"/>
      <c r="S429" s="1"/>
      <c r="T429" s="1"/>
      <c r="U429" s="1"/>
      <c r="V429" s="3"/>
      <c r="W429" s="1"/>
      <c r="X429" s="1"/>
    </row>
    <row r="430" ht="16.5" customHeight="1">
      <c r="A430" s="1"/>
      <c r="B430" s="1"/>
      <c r="C430" s="1"/>
      <c r="D430" s="8"/>
      <c r="E430" s="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"/>
      <c r="S430" s="1"/>
      <c r="T430" s="1"/>
      <c r="U430" s="1"/>
      <c r="V430" s="3"/>
      <c r="W430" s="1"/>
      <c r="X430" s="1"/>
    </row>
    <row r="431" ht="16.5" customHeight="1">
      <c r="A431" s="1"/>
      <c r="B431" s="1"/>
      <c r="C431" s="1"/>
      <c r="D431" s="8"/>
      <c r="E431" s="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"/>
      <c r="S431" s="1"/>
      <c r="T431" s="1"/>
      <c r="U431" s="1"/>
      <c r="V431" s="3"/>
      <c r="W431" s="1"/>
      <c r="X431" s="1"/>
    </row>
    <row r="432" ht="16.5" customHeight="1">
      <c r="A432" s="1"/>
      <c r="B432" s="1"/>
      <c r="C432" s="1"/>
      <c r="D432" s="8"/>
      <c r="E432" s="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"/>
      <c r="S432" s="1"/>
      <c r="T432" s="1"/>
      <c r="U432" s="1"/>
      <c r="V432" s="3"/>
      <c r="W432" s="1"/>
      <c r="X432" s="1"/>
    </row>
    <row r="433" ht="16.5" customHeight="1">
      <c r="A433" s="1"/>
      <c r="B433" s="1"/>
      <c r="C433" s="1"/>
      <c r="D433" s="8"/>
      <c r="E433" s="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"/>
      <c r="S433" s="1"/>
      <c r="T433" s="1"/>
      <c r="U433" s="1"/>
      <c r="V433" s="3"/>
      <c r="W433" s="1"/>
      <c r="X433" s="1"/>
    </row>
    <row r="434" ht="16.5" customHeight="1">
      <c r="A434" s="1"/>
      <c r="B434" s="1"/>
      <c r="C434" s="1"/>
      <c r="D434" s="8"/>
      <c r="E434" s="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"/>
      <c r="S434" s="1"/>
      <c r="T434" s="1"/>
      <c r="U434" s="1"/>
      <c r="V434" s="3"/>
      <c r="W434" s="1"/>
      <c r="X434" s="1"/>
    </row>
    <row r="435" ht="16.5" customHeight="1">
      <c r="A435" s="1"/>
      <c r="B435" s="1"/>
      <c r="C435" s="1"/>
      <c r="D435" s="8"/>
      <c r="E435" s="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"/>
      <c r="S435" s="1"/>
      <c r="T435" s="1"/>
      <c r="U435" s="1"/>
      <c r="V435" s="3"/>
      <c r="W435" s="1"/>
      <c r="X435" s="1"/>
    </row>
    <row r="436" ht="16.5" customHeight="1">
      <c r="A436" s="1"/>
      <c r="B436" s="1"/>
      <c r="C436" s="1"/>
      <c r="D436" s="8"/>
      <c r="E436" s="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"/>
      <c r="S436" s="1"/>
      <c r="T436" s="1"/>
      <c r="U436" s="1"/>
      <c r="V436" s="3"/>
      <c r="W436" s="1"/>
      <c r="X436" s="1"/>
    </row>
    <row r="437" ht="16.5" customHeight="1">
      <c r="A437" s="1"/>
      <c r="B437" s="1"/>
      <c r="C437" s="1"/>
      <c r="D437" s="8"/>
      <c r="E437" s="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"/>
      <c r="S437" s="1"/>
      <c r="T437" s="1"/>
      <c r="U437" s="1"/>
      <c r="V437" s="3"/>
      <c r="W437" s="1"/>
      <c r="X437" s="1"/>
    </row>
    <row r="438" ht="16.5" customHeight="1">
      <c r="A438" s="1"/>
      <c r="B438" s="1"/>
      <c r="C438" s="1"/>
      <c r="D438" s="8"/>
      <c r="E438" s="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"/>
      <c r="S438" s="1"/>
      <c r="T438" s="1"/>
      <c r="U438" s="1"/>
      <c r="V438" s="3"/>
      <c r="W438" s="1"/>
      <c r="X438" s="1"/>
    </row>
    <row r="439" ht="16.5" customHeight="1">
      <c r="A439" s="1"/>
      <c r="B439" s="1"/>
      <c r="C439" s="1"/>
      <c r="D439" s="8"/>
      <c r="E439" s="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"/>
      <c r="S439" s="1"/>
      <c r="T439" s="1"/>
      <c r="U439" s="1"/>
      <c r="V439" s="3"/>
      <c r="W439" s="1"/>
      <c r="X439" s="1"/>
    </row>
    <row r="440" ht="16.5" customHeight="1">
      <c r="A440" s="1"/>
      <c r="B440" s="1"/>
      <c r="C440" s="1"/>
      <c r="D440" s="8"/>
      <c r="E440" s="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"/>
      <c r="S440" s="1"/>
      <c r="T440" s="1"/>
      <c r="U440" s="1"/>
      <c r="V440" s="3"/>
      <c r="W440" s="1"/>
      <c r="X440" s="1"/>
    </row>
    <row r="441" ht="16.5" customHeight="1">
      <c r="A441" s="1"/>
      <c r="B441" s="1"/>
      <c r="C441" s="1"/>
      <c r="D441" s="8"/>
      <c r="E441" s="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"/>
      <c r="S441" s="1"/>
      <c r="T441" s="1"/>
      <c r="U441" s="1"/>
      <c r="V441" s="3"/>
      <c r="W441" s="1"/>
      <c r="X441" s="1"/>
    </row>
    <row r="442" ht="16.5" customHeight="1">
      <c r="A442" s="1"/>
      <c r="B442" s="1"/>
      <c r="C442" s="1"/>
      <c r="D442" s="8"/>
      <c r="E442" s="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"/>
      <c r="S442" s="1"/>
      <c r="T442" s="1"/>
      <c r="U442" s="1"/>
      <c r="V442" s="3"/>
      <c r="W442" s="1"/>
      <c r="X442" s="1"/>
    </row>
    <row r="443" ht="16.5" customHeight="1">
      <c r="A443" s="1"/>
      <c r="B443" s="1"/>
      <c r="C443" s="1"/>
      <c r="D443" s="8"/>
      <c r="E443" s="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"/>
      <c r="S443" s="1"/>
      <c r="T443" s="1"/>
      <c r="U443" s="1"/>
      <c r="V443" s="3"/>
      <c r="W443" s="1"/>
      <c r="X443" s="1"/>
    </row>
    <row r="444" ht="16.5" customHeight="1">
      <c r="A444" s="1"/>
      <c r="B444" s="1"/>
      <c r="C444" s="1"/>
      <c r="D444" s="8"/>
      <c r="E444" s="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"/>
      <c r="S444" s="1"/>
      <c r="T444" s="1"/>
      <c r="U444" s="1"/>
      <c r="V444" s="3"/>
      <c r="W444" s="1"/>
      <c r="X444" s="1"/>
    </row>
    <row r="445" ht="16.5" customHeight="1">
      <c r="A445" s="1"/>
      <c r="B445" s="1"/>
      <c r="C445" s="1"/>
      <c r="D445" s="8"/>
      <c r="E445" s="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"/>
      <c r="S445" s="1"/>
      <c r="T445" s="1"/>
      <c r="U445" s="1"/>
      <c r="V445" s="3"/>
      <c r="W445" s="1"/>
      <c r="X445" s="1"/>
    </row>
    <row r="446" ht="16.5" customHeight="1">
      <c r="A446" s="1"/>
      <c r="B446" s="1"/>
      <c r="C446" s="1"/>
      <c r="D446" s="8"/>
      <c r="E446" s="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"/>
      <c r="S446" s="1"/>
      <c r="T446" s="1"/>
      <c r="U446" s="1"/>
      <c r="V446" s="3"/>
      <c r="W446" s="1"/>
      <c r="X446" s="1"/>
    </row>
    <row r="447" ht="16.5" customHeight="1">
      <c r="A447" s="1"/>
      <c r="B447" s="1"/>
      <c r="C447" s="1"/>
      <c r="D447" s="8"/>
      <c r="E447" s="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"/>
      <c r="S447" s="1"/>
      <c r="T447" s="1"/>
      <c r="U447" s="1"/>
      <c r="V447" s="3"/>
      <c r="W447" s="1"/>
      <c r="X447" s="1"/>
    </row>
    <row r="448" ht="16.5" customHeight="1">
      <c r="A448" s="1"/>
      <c r="B448" s="1"/>
      <c r="C448" s="1"/>
      <c r="D448" s="8"/>
      <c r="E448" s="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"/>
      <c r="S448" s="1"/>
      <c r="T448" s="1"/>
      <c r="U448" s="1"/>
      <c r="V448" s="3"/>
      <c r="W448" s="1"/>
      <c r="X448" s="1"/>
    </row>
    <row r="449" ht="16.5" customHeight="1">
      <c r="A449" s="1"/>
      <c r="B449" s="1"/>
      <c r="C449" s="1"/>
      <c r="D449" s="8"/>
      <c r="E449" s="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"/>
      <c r="S449" s="1"/>
      <c r="T449" s="1"/>
      <c r="U449" s="1"/>
      <c r="V449" s="3"/>
      <c r="W449" s="1"/>
      <c r="X449" s="1"/>
    </row>
    <row r="450" ht="16.5" customHeight="1">
      <c r="A450" s="1"/>
      <c r="B450" s="1"/>
      <c r="C450" s="1"/>
      <c r="D450" s="8"/>
      <c r="E450" s="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"/>
      <c r="S450" s="1"/>
      <c r="T450" s="1"/>
      <c r="U450" s="1"/>
      <c r="V450" s="3"/>
      <c r="W450" s="1"/>
      <c r="X450" s="1"/>
    </row>
    <row r="451" ht="16.5" customHeight="1">
      <c r="A451" s="1"/>
      <c r="B451" s="1"/>
      <c r="C451" s="1"/>
      <c r="D451" s="8"/>
      <c r="E451" s="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"/>
      <c r="S451" s="1"/>
      <c r="T451" s="1"/>
      <c r="U451" s="1"/>
      <c r="V451" s="3"/>
      <c r="W451" s="1"/>
      <c r="X451" s="1"/>
    </row>
    <row r="452" ht="16.5" customHeight="1">
      <c r="A452" s="1"/>
      <c r="B452" s="1"/>
      <c r="C452" s="1"/>
      <c r="D452" s="8"/>
      <c r="E452" s="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"/>
      <c r="S452" s="1"/>
      <c r="T452" s="1"/>
      <c r="U452" s="1"/>
      <c r="V452" s="3"/>
      <c r="W452" s="1"/>
      <c r="X452" s="1"/>
    </row>
    <row r="453" ht="16.5" customHeight="1">
      <c r="A453" s="1"/>
      <c r="B453" s="1"/>
      <c r="C453" s="1"/>
      <c r="D453" s="8"/>
      <c r="E453" s="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"/>
      <c r="S453" s="1"/>
      <c r="T453" s="1"/>
      <c r="U453" s="1"/>
      <c r="V453" s="3"/>
      <c r="W453" s="1"/>
      <c r="X453" s="1"/>
    </row>
    <row r="454" ht="16.5" customHeight="1">
      <c r="A454" s="1"/>
      <c r="B454" s="1"/>
      <c r="C454" s="1"/>
      <c r="D454" s="8"/>
      <c r="E454" s="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"/>
      <c r="S454" s="1"/>
      <c r="T454" s="1"/>
      <c r="U454" s="1"/>
      <c r="V454" s="3"/>
      <c r="W454" s="1"/>
      <c r="X454" s="1"/>
    </row>
    <row r="455" ht="16.5" customHeight="1">
      <c r="A455" s="1"/>
      <c r="B455" s="1"/>
      <c r="C455" s="1"/>
      <c r="D455" s="8"/>
      <c r="E455" s="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"/>
      <c r="S455" s="1"/>
      <c r="T455" s="1"/>
      <c r="U455" s="1"/>
      <c r="V455" s="3"/>
      <c r="W455" s="1"/>
      <c r="X455" s="1"/>
    </row>
    <row r="456" ht="16.5" customHeight="1">
      <c r="A456" s="1"/>
      <c r="B456" s="1"/>
      <c r="C456" s="1"/>
      <c r="D456" s="8"/>
      <c r="E456" s="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"/>
      <c r="S456" s="1"/>
      <c r="T456" s="1"/>
      <c r="U456" s="1"/>
      <c r="V456" s="3"/>
      <c r="W456" s="1"/>
      <c r="X456" s="1"/>
    </row>
    <row r="457" ht="16.5" customHeight="1">
      <c r="A457" s="1"/>
      <c r="B457" s="1"/>
      <c r="C457" s="1"/>
      <c r="D457" s="8"/>
      <c r="E457" s="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"/>
      <c r="S457" s="1"/>
      <c r="T457" s="1"/>
      <c r="U457" s="1"/>
      <c r="V457" s="3"/>
      <c r="W457" s="1"/>
      <c r="X457" s="1"/>
    </row>
    <row r="458" ht="16.5" customHeight="1">
      <c r="A458" s="1"/>
      <c r="B458" s="1"/>
      <c r="C458" s="1"/>
      <c r="D458" s="8"/>
      <c r="E458" s="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"/>
      <c r="S458" s="1"/>
      <c r="T458" s="1"/>
      <c r="U458" s="1"/>
      <c r="V458" s="3"/>
      <c r="W458" s="1"/>
      <c r="X458" s="1"/>
    </row>
    <row r="459" ht="16.5" customHeight="1">
      <c r="A459" s="1"/>
      <c r="B459" s="1"/>
      <c r="C459" s="1"/>
      <c r="D459" s="8"/>
      <c r="E459" s="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"/>
      <c r="S459" s="1"/>
      <c r="T459" s="1"/>
      <c r="U459" s="1"/>
      <c r="V459" s="3"/>
      <c r="W459" s="1"/>
      <c r="X459" s="1"/>
    </row>
    <row r="460" ht="16.5" customHeight="1">
      <c r="A460" s="1"/>
      <c r="B460" s="1"/>
      <c r="C460" s="1"/>
      <c r="D460" s="8"/>
      <c r="E460" s="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"/>
      <c r="S460" s="1"/>
      <c r="T460" s="1"/>
      <c r="U460" s="1"/>
      <c r="V460" s="3"/>
      <c r="W460" s="1"/>
      <c r="X460" s="1"/>
    </row>
    <row r="461" ht="16.5" customHeight="1">
      <c r="A461" s="1"/>
      <c r="B461" s="1"/>
      <c r="C461" s="1"/>
      <c r="D461" s="8"/>
      <c r="E461" s="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"/>
      <c r="S461" s="1"/>
      <c r="T461" s="1"/>
      <c r="U461" s="1"/>
      <c r="V461" s="3"/>
      <c r="W461" s="1"/>
      <c r="X461" s="1"/>
    </row>
    <row r="462" ht="16.5" customHeight="1">
      <c r="A462" s="1"/>
      <c r="B462" s="1"/>
      <c r="C462" s="1"/>
      <c r="D462" s="8"/>
      <c r="E462" s="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"/>
      <c r="S462" s="1"/>
      <c r="T462" s="1"/>
      <c r="U462" s="1"/>
      <c r="V462" s="3"/>
      <c r="W462" s="1"/>
      <c r="X462" s="1"/>
    </row>
    <row r="463" ht="16.5" customHeight="1">
      <c r="A463" s="1"/>
      <c r="B463" s="1"/>
      <c r="C463" s="1"/>
      <c r="D463" s="8"/>
      <c r="E463" s="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"/>
      <c r="S463" s="1"/>
      <c r="T463" s="1"/>
      <c r="U463" s="1"/>
      <c r="V463" s="3"/>
      <c r="W463" s="1"/>
      <c r="X463" s="1"/>
    </row>
    <row r="464" ht="16.5" customHeight="1">
      <c r="A464" s="1"/>
      <c r="B464" s="1"/>
      <c r="C464" s="1"/>
      <c r="D464" s="8"/>
      <c r="E464" s="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"/>
      <c r="S464" s="1"/>
      <c r="T464" s="1"/>
      <c r="U464" s="1"/>
      <c r="V464" s="3"/>
      <c r="W464" s="1"/>
      <c r="X464" s="1"/>
    </row>
    <row r="465" ht="16.5" customHeight="1">
      <c r="A465" s="1"/>
      <c r="B465" s="1"/>
      <c r="C465" s="1"/>
      <c r="D465" s="8"/>
      <c r="E465" s="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"/>
      <c r="S465" s="1"/>
      <c r="T465" s="1"/>
      <c r="U465" s="1"/>
      <c r="V465" s="3"/>
      <c r="W465" s="1"/>
      <c r="X465" s="1"/>
    </row>
    <row r="466" ht="16.5" customHeight="1">
      <c r="A466" s="1"/>
      <c r="B466" s="1"/>
      <c r="C466" s="1"/>
      <c r="D466" s="8"/>
      <c r="E466" s="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"/>
      <c r="S466" s="1"/>
      <c r="T466" s="1"/>
      <c r="U466" s="1"/>
      <c r="V466" s="3"/>
      <c r="W466" s="1"/>
      <c r="X466" s="1"/>
    </row>
    <row r="467" ht="16.5" customHeight="1">
      <c r="A467" s="1"/>
      <c r="B467" s="1"/>
      <c r="C467" s="1"/>
      <c r="D467" s="8"/>
      <c r="E467" s="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"/>
      <c r="S467" s="1"/>
      <c r="T467" s="1"/>
      <c r="U467" s="1"/>
      <c r="V467" s="3"/>
      <c r="W467" s="1"/>
      <c r="X467" s="1"/>
    </row>
    <row r="468" ht="16.5" customHeight="1">
      <c r="A468" s="1"/>
      <c r="B468" s="1"/>
      <c r="C468" s="1"/>
      <c r="D468" s="8"/>
      <c r="E468" s="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"/>
      <c r="S468" s="1"/>
      <c r="T468" s="1"/>
      <c r="U468" s="1"/>
      <c r="V468" s="3"/>
      <c r="W468" s="1"/>
      <c r="X468" s="1"/>
    </row>
    <row r="469" ht="16.5" customHeight="1">
      <c r="A469" s="1"/>
      <c r="B469" s="1"/>
      <c r="C469" s="1"/>
      <c r="D469" s="8"/>
      <c r="E469" s="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"/>
      <c r="S469" s="1"/>
      <c r="T469" s="1"/>
      <c r="U469" s="1"/>
      <c r="V469" s="3"/>
      <c r="W469" s="1"/>
      <c r="X469" s="1"/>
    </row>
    <row r="470" ht="16.5" customHeight="1">
      <c r="A470" s="1"/>
      <c r="B470" s="1"/>
      <c r="C470" s="1"/>
      <c r="D470" s="8"/>
      <c r="E470" s="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"/>
      <c r="S470" s="1"/>
      <c r="T470" s="1"/>
      <c r="U470" s="1"/>
      <c r="V470" s="3"/>
      <c r="W470" s="1"/>
      <c r="X470" s="1"/>
    </row>
    <row r="471" ht="16.5" customHeight="1">
      <c r="A471" s="1"/>
      <c r="B471" s="1"/>
      <c r="C471" s="1"/>
      <c r="D471" s="8"/>
      <c r="E471" s="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"/>
      <c r="S471" s="1"/>
      <c r="T471" s="1"/>
      <c r="U471" s="1"/>
      <c r="V471" s="3"/>
      <c r="W471" s="1"/>
      <c r="X471" s="1"/>
    </row>
    <row r="472" ht="16.5" customHeight="1">
      <c r="A472" s="1"/>
      <c r="B472" s="1"/>
      <c r="C472" s="1"/>
      <c r="D472" s="8"/>
      <c r="E472" s="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"/>
      <c r="S472" s="1"/>
      <c r="T472" s="1"/>
      <c r="U472" s="1"/>
      <c r="V472" s="3"/>
      <c r="W472" s="1"/>
      <c r="X472" s="1"/>
    </row>
    <row r="473" ht="16.5" customHeight="1">
      <c r="A473" s="1"/>
      <c r="B473" s="1"/>
      <c r="C473" s="1"/>
      <c r="D473" s="8"/>
      <c r="E473" s="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"/>
      <c r="S473" s="1"/>
      <c r="T473" s="1"/>
      <c r="U473" s="1"/>
      <c r="V473" s="3"/>
      <c r="W473" s="1"/>
      <c r="X473" s="1"/>
    </row>
    <row r="474" ht="16.5" customHeight="1">
      <c r="A474" s="1"/>
      <c r="B474" s="1"/>
      <c r="C474" s="1"/>
      <c r="D474" s="8"/>
      <c r="E474" s="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"/>
      <c r="S474" s="1"/>
      <c r="T474" s="1"/>
      <c r="U474" s="1"/>
      <c r="V474" s="3"/>
      <c r="W474" s="1"/>
      <c r="X474" s="1"/>
    </row>
    <row r="475" ht="16.5" customHeight="1">
      <c r="A475" s="1"/>
      <c r="B475" s="1"/>
      <c r="C475" s="1"/>
      <c r="D475" s="8"/>
      <c r="E475" s="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"/>
      <c r="S475" s="1"/>
      <c r="T475" s="1"/>
      <c r="U475" s="1"/>
      <c r="V475" s="3"/>
      <c r="W475" s="1"/>
      <c r="X475" s="1"/>
    </row>
    <row r="476" ht="16.5" customHeight="1">
      <c r="A476" s="1"/>
      <c r="B476" s="1"/>
      <c r="C476" s="1"/>
      <c r="D476" s="8"/>
      <c r="E476" s="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"/>
      <c r="S476" s="1"/>
      <c r="T476" s="1"/>
      <c r="U476" s="1"/>
      <c r="V476" s="3"/>
      <c r="W476" s="1"/>
      <c r="X476" s="1"/>
    </row>
    <row r="477" ht="16.5" customHeight="1">
      <c r="A477" s="1"/>
      <c r="B477" s="1"/>
      <c r="C477" s="1"/>
      <c r="D477" s="8"/>
      <c r="E477" s="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"/>
      <c r="S477" s="1"/>
      <c r="T477" s="1"/>
      <c r="U477" s="1"/>
      <c r="V477" s="3"/>
      <c r="W477" s="1"/>
      <c r="X477" s="1"/>
    </row>
    <row r="478" ht="16.5" customHeight="1">
      <c r="A478" s="1"/>
      <c r="B478" s="1"/>
      <c r="C478" s="1"/>
      <c r="D478" s="8"/>
      <c r="E478" s="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"/>
      <c r="S478" s="1"/>
      <c r="T478" s="1"/>
      <c r="U478" s="1"/>
      <c r="V478" s="3"/>
      <c r="W478" s="1"/>
      <c r="X478" s="1"/>
    </row>
    <row r="479" ht="16.5" customHeight="1">
      <c r="A479" s="1"/>
      <c r="B479" s="1"/>
      <c r="C479" s="1"/>
      <c r="D479" s="8"/>
      <c r="E479" s="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"/>
      <c r="S479" s="1"/>
      <c r="T479" s="1"/>
      <c r="U479" s="1"/>
      <c r="V479" s="3"/>
      <c r="W479" s="1"/>
      <c r="X479" s="1"/>
    </row>
    <row r="480" ht="16.5" customHeight="1">
      <c r="A480" s="1"/>
      <c r="B480" s="1"/>
      <c r="C480" s="1"/>
      <c r="D480" s="8"/>
      <c r="E480" s="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"/>
      <c r="S480" s="1"/>
      <c r="T480" s="1"/>
      <c r="U480" s="1"/>
      <c r="V480" s="3"/>
      <c r="W480" s="1"/>
      <c r="X480" s="1"/>
    </row>
    <row r="481" ht="16.5" customHeight="1">
      <c r="A481" s="1"/>
      <c r="B481" s="1"/>
      <c r="C481" s="1"/>
      <c r="D481" s="8"/>
      <c r="E481" s="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"/>
      <c r="S481" s="1"/>
      <c r="T481" s="1"/>
      <c r="U481" s="1"/>
      <c r="V481" s="3"/>
      <c r="W481" s="1"/>
      <c r="X481" s="1"/>
    </row>
    <row r="482" ht="16.5" customHeight="1">
      <c r="A482" s="1"/>
      <c r="B482" s="1"/>
      <c r="C482" s="1"/>
      <c r="D482" s="8"/>
      <c r="E482" s="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"/>
      <c r="S482" s="1"/>
      <c r="T482" s="1"/>
      <c r="U482" s="1"/>
      <c r="V482" s="3"/>
      <c r="W482" s="1"/>
      <c r="X482" s="1"/>
    </row>
    <row r="483" ht="16.5" customHeight="1">
      <c r="A483" s="1"/>
      <c r="B483" s="1"/>
      <c r="C483" s="1"/>
      <c r="D483" s="8"/>
      <c r="E483" s="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"/>
      <c r="S483" s="1"/>
      <c r="T483" s="1"/>
      <c r="U483" s="1"/>
      <c r="V483" s="3"/>
      <c r="W483" s="1"/>
      <c r="X483" s="1"/>
    </row>
    <row r="484" ht="16.5" customHeight="1">
      <c r="A484" s="1"/>
      <c r="B484" s="1"/>
      <c r="C484" s="1"/>
      <c r="D484" s="8"/>
      <c r="E484" s="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"/>
      <c r="S484" s="1"/>
      <c r="T484" s="1"/>
      <c r="U484" s="1"/>
      <c r="V484" s="3"/>
      <c r="W484" s="1"/>
      <c r="X484" s="1"/>
    </row>
    <row r="485" ht="16.5" customHeight="1">
      <c r="A485" s="1"/>
      <c r="B485" s="1"/>
      <c r="C485" s="1"/>
      <c r="D485" s="8"/>
      <c r="E485" s="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"/>
      <c r="S485" s="1"/>
      <c r="T485" s="1"/>
      <c r="U485" s="1"/>
      <c r="V485" s="3"/>
      <c r="W485" s="1"/>
      <c r="X485" s="1"/>
    </row>
    <row r="486" ht="16.5" customHeight="1">
      <c r="A486" s="1"/>
      <c r="B486" s="1"/>
      <c r="C486" s="1"/>
      <c r="D486" s="8"/>
      <c r="E486" s="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"/>
      <c r="S486" s="1"/>
      <c r="T486" s="1"/>
      <c r="U486" s="1"/>
      <c r="V486" s="3"/>
      <c r="W486" s="1"/>
      <c r="X486" s="1"/>
    </row>
    <row r="487" ht="16.5" customHeight="1">
      <c r="A487" s="1"/>
      <c r="B487" s="1"/>
      <c r="C487" s="1"/>
      <c r="D487" s="8"/>
      <c r="E487" s="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"/>
      <c r="S487" s="1"/>
      <c r="T487" s="1"/>
      <c r="U487" s="1"/>
      <c r="V487" s="3"/>
      <c r="W487" s="1"/>
      <c r="X487" s="1"/>
    </row>
    <row r="488" ht="16.5" customHeight="1">
      <c r="A488" s="1"/>
      <c r="B488" s="1"/>
      <c r="C488" s="1"/>
      <c r="D488" s="8"/>
      <c r="E488" s="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"/>
      <c r="S488" s="1"/>
      <c r="T488" s="1"/>
      <c r="U488" s="1"/>
      <c r="V488" s="3"/>
      <c r="W488" s="1"/>
      <c r="X488" s="1"/>
    </row>
    <row r="489" ht="16.5" customHeight="1">
      <c r="A489" s="1"/>
      <c r="B489" s="1"/>
      <c r="C489" s="1"/>
      <c r="D489" s="8"/>
      <c r="E489" s="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"/>
      <c r="S489" s="1"/>
      <c r="T489" s="1"/>
      <c r="U489" s="1"/>
      <c r="V489" s="3"/>
      <c r="W489" s="1"/>
      <c r="X489" s="1"/>
    </row>
    <row r="490" ht="16.5" customHeight="1">
      <c r="A490" s="1"/>
      <c r="B490" s="1"/>
      <c r="C490" s="1"/>
      <c r="D490" s="8"/>
      <c r="E490" s="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"/>
      <c r="S490" s="1"/>
      <c r="T490" s="1"/>
      <c r="U490" s="1"/>
      <c r="V490" s="3"/>
      <c r="W490" s="1"/>
      <c r="X490" s="1"/>
    </row>
    <row r="491" ht="16.5" customHeight="1">
      <c r="A491" s="1"/>
      <c r="B491" s="1"/>
      <c r="C491" s="1"/>
      <c r="D491" s="8"/>
      <c r="E491" s="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"/>
      <c r="S491" s="1"/>
      <c r="T491" s="1"/>
      <c r="U491" s="1"/>
      <c r="V491" s="3"/>
      <c r="W491" s="1"/>
      <c r="X491" s="1"/>
    </row>
    <row r="492" ht="16.5" customHeight="1">
      <c r="A492" s="1"/>
      <c r="B492" s="1"/>
      <c r="C492" s="1"/>
      <c r="D492" s="8"/>
      <c r="E492" s="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"/>
      <c r="S492" s="1"/>
      <c r="T492" s="1"/>
      <c r="U492" s="1"/>
      <c r="V492" s="3"/>
      <c r="W492" s="1"/>
      <c r="X492" s="1"/>
    </row>
    <row r="493" ht="16.5" customHeight="1">
      <c r="A493" s="1"/>
      <c r="B493" s="1"/>
      <c r="C493" s="1"/>
      <c r="D493" s="8"/>
      <c r="E493" s="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"/>
      <c r="S493" s="1"/>
      <c r="T493" s="1"/>
      <c r="U493" s="1"/>
      <c r="V493" s="3"/>
      <c r="W493" s="1"/>
      <c r="X493" s="1"/>
    </row>
    <row r="494" ht="16.5" customHeight="1">
      <c r="A494" s="1"/>
      <c r="B494" s="1"/>
      <c r="C494" s="1"/>
      <c r="D494" s="8"/>
      <c r="E494" s="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"/>
      <c r="S494" s="1"/>
      <c r="T494" s="1"/>
      <c r="U494" s="1"/>
      <c r="V494" s="3"/>
      <c r="W494" s="1"/>
      <c r="X494" s="1"/>
    </row>
    <row r="495" ht="16.5" customHeight="1">
      <c r="A495" s="1"/>
      <c r="B495" s="1"/>
      <c r="C495" s="1"/>
      <c r="D495" s="8"/>
      <c r="E495" s="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"/>
      <c r="S495" s="1"/>
      <c r="T495" s="1"/>
      <c r="U495" s="1"/>
      <c r="V495" s="3"/>
      <c r="W495" s="1"/>
      <c r="X495" s="1"/>
    </row>
    <row r="496" ht="16.5" customHeight="1">
      <c r="A496" s="1"/>
      <c r="B496" s="1"/>
      <c r="C496" s="1"/>
      <c r="D496" s="8"/>
      <c r="E496" s="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"/>
      <c r="S496" s="1"/>
      <c r="T496" s="1"/>
      <c r="U496" s="1"/>
      <c r="V496" s="3"/>
      <c r="W496" s="1"/>
      <c r="X496" s="1"/>
    </row>
    <row r="497" ht="16.5" customHeight="1">
      <c r="A497" s="1"/>
      <c r="B497" s="1"/>
      <c r="C497" s="1"/>
      <c r="D497" s="8"/>
      <c r="E497" s="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"/>
      <c r="S497" s="1"/>
      <c r="T497" s="1"/>
      <c r="U497" s="1"/>
      <c r="V497" s="3"/>
      <c r="W497" s="1"/>
      <c r="X497" s="1"/>
    </row>
    <row r="498" ht="16.5" customHeight="1">
      <c r="A498" s="1"/>
      <c r="B498" s="1"/>
      <c r="C498" s="1"/>
      <c r="D498" s="8"/>
      <c r="E498" s="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"/>
      <c r="S498" s="1"/>
      <c r="T498" s="1"/>
      <c r="U498" s="1"/>
      <c r="V498" s="3"/>
      <c r="W498" s="1"/>
      <c r="X498" s="1"/>
    </row>
    <row r="499" ht="16.5" customHeight="1">
      <c r="A499" s="1"/>
      <c r="B499" s="1"/>
      <c r="C499" s="1"/>
      <c r="D499" s="8"/>
      <c r="E499" s="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"/>
      <c r="S499" s="1"/>
      <c r="T499" s="1"/>
      <c r="U499" s="1"/>
      <c r="V499" s="3"/>
      <c r="W499" s="1"/>
      <c r="X499" s="1"/>
    </row>
    <row r="500" ht="16.5" customHeight="1">
      <c r="A500" s="1"/>
      <c r="B500" s="1"/>
      <c r="C500" s="1"/>
      <c r="D500" s="8"/>
      <c r="E500" s="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"/>
      <c r="S500" s="1"/>
      <c r="T500" s="1"/>
      <c r="U500" s="1"/>
      <c r="V500" s="3"/>
      <c r="W500" s="1"/>
      <c r="X500" s="1"/>
    </row>
    <row r="501" ht="16.5" customHeight="1">
      <c r="A501" s="1"/>
      <c r="B501" s="1"/>
      <c r="C501" s="1"/>
      <c r="D501" s="8"/>
      <c r="E501" s="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"/>
      <c r="S501" s="1"/>
      <c r="T501" s="1"/>
      <c r="U501" s="1"/>
      <c r="V501" s="3"/>
      <c r="W501" s="1"/>
      <c r="X501" s="1"/>
    </row>
    <row r="502" ht="16.5" customHeight="1">
      <c r="A502" s="1"/>
      <c r="B502" s="1"/>
      <c r="C502" s="1"/>
      <c r="D502" s="8"/>
      <c r="E502" s="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"/>
      <c r="S502" s="1"/>
      <c r="T502" s="1"/>
      <c r="U502" s="1"/>
      <c r="V502" s="3"/>
      <c r="W502" s="1"/>
      <c r="X502" s="1"/>
    </row>
    <row r="503" ht="16.5" customHeight="1">
      <c r="A503" s="1"/>
      <c r="B503" s="1"/>
      <c r="C503" s="1"/>
      <c r="D503" s="8"/>
      <c r="E503" s="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"/>
      <c r="S503" s="1"/>
      <c r="T503" s="1"/>
      <c r="U503" s="1"/>
      <c r="V503" s="3"/>
      <c r="W503" s="1"/>
      <c r="X503" s="1"/>
    </row>
    <row r="504" ht="16.5" customHeight="1">
      <c r="A504" s="1"/>
      <c r="B504" s="1"/>
      <c r="C504" s="1"/>
      <c r="D504" s="8"/>
      <c r="E504" s="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"/>
      <c r="S504" s="1"/>
      <c r="T504" s="1"/>
      <c r="U504" s="1"/>
      <c r="V504" s="3"/>
      <c r="W504" s="1"/>
      <c r="X504" s="1"/>
    </row>
    <row r="505" ht="16.5" customHeight="1">
      <c r="A505" s="1"/>
      <c r="B505" s="1"/>
      <c r="C505" s="1"/>
      <c r="D505" s="8"/>
      <c r="E505" s="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"/>
      <c r="S505" s="1"/>
      <c r="T505" s="1"/>
      <c r="U505" s="1"/>
      <c r="V505" s="3"/>
      <c r="W505" s="1"/>
      <c r="X505" s="1"/>
    </row>
    <row r="506" ht="16.5" customHeight="1">
      <c r="A506" s="1"/>
      <c r="B506" s="1"/>
      <c r="C506" s="1"/>
      <c r="D506" s="8"/>
      <c r="E506" s="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"/>
      <c r="S506" s="1"/>
      <c r="T506" s="1"/>
      <c r="U506" s="1"/>
      <c r="V506" s="3"/>
      <c r="W506" s="1"/>
      <c r="X506" s="1"/>
    </row>
    <row r="507" ht="16.5" customHeight="1">
      <c r="A507" s="1"/>
      <c r="B507" s="1"/>
      <c r="C507" s="1"/>
      <c r="D507" s="8"/>
      <c r="E507" s="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"/>
      <c r="S507" s="1"/>
      <c r="T507" s="1"/>
      <c r="U507" s="1"/>
      <c r="V507" s="3"/>
      <c r="W507" s="1"/>
      <c r="X507" s="1"/>
    </row>
    <row r="508" ht="16.5" customHeight="1">
      <c r="A508" s="1"/>
      <c r="B508" s="1"/>
      <c r="C508" s="1"/>
      <c r="D508" s="8"/>
      <c r="E508" s="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"/>
      <c r="S508" s="1"/>
      <c r="T508" s="1"/>
      <c r="U508" s="1"/>
      <c r="V508" s="3"/>
      <c r="W508" s="1"/>
      <c r="X508" s="1"/>
    </row>
    <row r="509" ht="16.5" customHeight="1">
      <c r="A509" s="1"/>
      <c r="B509" s="1"/>
      <c r="C509" s="1"/>
      <c r="D509" s="8"/>
      <c r="E509" s="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"/>
      <c r="S509" s="1"/>
      <c r="T509" s="1"/>
      <c r="U509" s="1"/>
      <c r="V509" s="3"/>
      <c r="W509" s="1"/>
      <c r="X509" s="1"/>
    </row>
    <row r="510" ht="16.5" customHeight="1">
      <c r="A510" s="1"/>
      <c r="B510" s="1"/>
      <c r="C510" s="1"/>
      <c r="D510" s="8"/>
      <c r="E510" s="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"/>
      <c r="S510" s="1"/>
      <c r="T510" s="1"/>
      <c r="U510" s="1"/>
      <c r="V510" s="3"/>
      <c r="W510" s="1"/>
      <c r="X510" s="1"/>
    </row>
    <row r="511" ht="16.5" customHeight="1">
      <c r="A511" s="1"/>
      <c r="B511" s="1"/>
      <c r="C511" s="1"/>
      <c r="D511" s="8"/>
      <c r="E511" s="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"/>
      <c r="S511" s="1"/>
      <c r="T511" s="1"/>
      <c r="U511" s="1"/>
      <c r="V511" s="3"/>
      <c r="W511" s="1"/>
      <c r="X511" s="1"/>
    </row>
    <row r="512" ht="16.5" customHeight="1">
      <c r="A512" s="1"/>
      <c r="B512" s="1"/>
      <c r="C512" s="1"/>
      <c r="D512" s="8"/>
      <c r="E512" s="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"/>
      <c r="S512" s="1"/>
      <c r="T512" s="1"/>
      <c r="U512" s="1"/>
      <c r="V512" s="3"/>
      <c r="W512" s="1"/>
      <c r="X512" s="1"/>
    </row>
    <row r="513" ht="16.5" customHeight="1">
      <c r="A513" s="1"/>
      <c r="B513" s="1"/>
      <c r="C513" s="1"/>
      <c r="D513" s="8"/>
      <c r="E513" s="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"/>
      <c r="S513" s="1"/>
      <c r="T513" s="1"/>
      <c r="U513" s="1"/>
      <c r="V513" s="3"/>
      <c r="W513" s="1"/>
      <c r="X513" s="1"/>
    </row>
    <row r="514" ht="16.5" customHeight="1">
      <c r="A514" s="1"/>
      <c r="B514" s="1"/>
      <c r="C514" s="1"/>
      <c r="D514" s="8"/>
      <c r="E514" s="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"/>
      <c r="S514" s="1"/>
      <c r="T514" s="1"/>
      <c r="U514" s="1"/>
      <c r="V514" s="3"/>
      <c r="W514" s="1"/>
      <c r="X514" s="1"/>
    </row>
    <row r="515" ht="16.5" customHeight="1">
      <c r="A515" s="1"/>
      <c r="B515" s="1"/>
      <c r="C515" s="1"/>
      <c r="D515" s="8"/>
      <c r="E515" s="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"/>
      <c r="S515" s="1"/>
      <c r="T515" s="1"/>
      <c r="U515" s="1"/>
      <c r="V515" s="3"/>
      <c r="W515" s="1"/>
      <c r="X515" s="1"/>
    </row>
    <row r="516" ht="16.5" customHeight="1">
      <c r="A516" s="1"/>
      <c r="B516" s="1"/>
      <c r="C516" s="1"/>
      <c r="D516" s="8"/>
      <c r="E516" s="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"/>
      <c r="S516" s="1"/>
      <c r="T516" s="1"/>
      <c r="U516" s="1"/>
      <c r="V516" s="3"/>
      <c r="W516" s="1"/>
      <c r="X516" s="1"/>
    </row>
    <row r="517" ht="16.5" customHeight="1">
      <c r="A517" s="1"/>
      <c r="B517" s="1"/>
      <c r="C517" s="1"/>
      <c r="D517" s="8"/>
      <c r="E517" s="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"/>
      <c r="S517" s="1"/>
      <c r="T517" s="1"/>
      <c r="U517" s="1"/>
      <c r="V517" s="3"/>
      <c r="W517" s="1"/>
      <c r="X517" s="1"/>
    </row>
    <row r="518" ht="16.5" customHeight="1">
      <c r="A518" s="1"/>
      <c r="B518" s="1"/>
      <c r="C518" s="1"/>
      <c r="D518" s="8"/>
      <c r="E518" s="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"/>
      <c r="S518" s="1"/>
      <c r="T518" s="1"/>
      <c r="U518" s="1"/>
      <c r="V518" s="3"/>
      <c r="W518" s="1"/>
      <c r="X518" s="1"/>
    </row>
    <row r="519" ht="16.5" customHeight="1">
      <c r="A519" s="1"/>
      <c r="B519" s="1"/>
      <c r="C519" s="1"/>
      <c r="D519" s="8"/>
      <c r="E519" s="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"/>
      <c r="S519" s="1"/>
      <c r="T519" s="1"/>
      <c r="U519" s="1"/>
      <c r="V519" s="3"/>
      <c r="W519" s="1"/>
      <c r="X519" s="1"/>
    </row>
    <row r="520" ht="16.5" customHeight="1">
      <c r="A520" s="1"/>
      <c r="B520" s="1"/>
      <c r="C520" s="1"/>
      <c r="D520" s="8"/>
      <c r="E520" s="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"/>
      <c r="S520" s="1"/>
      <c r="T520" s="1"/>
      <c r="U520" s="1"/>
      <c r="V520" s="3"/>
      <c r="W520" s="1"/>
      <c r="X520" s="1"/>
    </row>
    <row r="521" ht="16.5" customHeight="1">
      <c r="A521" s="1"/>
      <c r="B521" s="1"/>
      <c r="C521" s="1"/>
      <c r="D521" s="8"/>
      <c r="E521" s="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"/>
      <c r="S521" s="1"/>
      <c r="T521" s="1"/>
      <c r="U521" s="1"/>
      <c r="V521" s="3"/>
      <c r="W521" s="1"/>
      <c r="X521" s="1"/>
    </row>
    <row r="522" ht="16.5" customHeight="1">
      <c r="A522" s="1"/>
      <c r="B522" s="1"/>
      <c r="C522" s="1"/>
      <c r="D522" s="8"/>
      <c r="E522" s="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"/>
      <c r="S522" s="1"/>
      <c r="T522" s="1"/>
      <c r="U522" s="1"/>
      <c r="V522" s="3"/>
      <c r="W522" s="1"/>
      <c r="X522" s="1"/>
    </row>
    <row r="523" ht="16.5" customHeight="1">
      <c r="A523" s="1"/>
      <c r="B523" s="1"/>
      <c r="C523" s="1"/>
      <c r="D523" s="8"/>
      <c r="E523" s="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"/>
      <c r="S523" s="1"/>
      <c r="T523" s="1"/>
      <c r="U523" s="1"/>
      <c r="V523" s="3"/>
      <c r="W523" s="1"/>
      <c r="X523" s="1"/>
    </row>
    <row r="524" ht="16.5" customHeight="1">
      <c r="A524" s="1"/>
      <c r="B524" s="1"/>
      <c r="C524" s="1"/>
      <c r="D524" s="8"/>
      <c r="E524" s="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"/>
      <c r="S524" s="1"/>
      <c r="T524" s="1"/>
      <c r="U524" s="1"/>
      <c r="V524" s="3"/>
      <c r="W524" s="1"/>
      <c r="X524" s="1"/>
    </row>
    <row r="525" ht="16.5" customHeight="1">
      <c r="A525" s="1"/>
      <c r="B525" s="1"/>
      <c r="C525" s="1"/>
      <c r="D525" s="8"/>
      <c r="E525" s="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"/>
      <c r="S525" s="1"/>
      <c r="T525" s="1"/>
      <c r="U525" s="1"/>
      <c r="V525" s="3"/>
      <c r="W525" s="1"/>
      <c r="X525" s="1"/>
    </row>
    <row r="526" ht="16.5" customHeight="1">
      <c r="A526" s="1"/>
      <c r="B526" s="1"/>
      <c r="C526" s="1"/>
      <c r="D526" s="8"/>
      <c r="E526" s="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"/>
      <c r="S526" s="1"/>
      <c r="T526" s="1"/>
      <c r="U526" s="1"/>
      <c r="V526" s="3"/>
      <c r="W526" s="1"/>
      <c r="X526" s="1"/>
    </row>
    <row r="527" ht="16.5" customHeight="1">
      <c r="A527" s="1"/>
      <c r="B527" s="1"/>
      <c r="C527" s="1"/>
      <c r="D527" s="8"/>
      <c r="E527" s="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"/>
      <c r="S527" s="1"/>
      <c r="T527" s="1"/>
      <c r="U527" s="1"/>
      <c r="V527" s="3"/>
      <c r="W527" s="1"/>
      <c r="X527" s="1"/>
    </row>
    <row r="528" ht="16.5" customHeight="1">
      <c r="A528" s="1"/>
      <c r="B528" s="1"/>
      <c r="C528" s="1"/>
      <c r="D528" s="8"/>
      <c r="E528" s="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"/>
      <c r="S528" s="1"/>
      <c r="T528" s="1"/>
      <c r="U528" s="1"/>
      <c r="V528" s="3"/>
      <c r="W528" s="1"/>
      <c r="X528" s="1"/>
    </row>
    <row r="529" ht="16.5" customHeight="1">
      <c r="A529" s="1"/>
      <c r="B529" s="1"/>
      <c r="C529" s="1"/>
      <c r="D529" s="8"/>
      <c r="E529" s="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"/>
      <c r="S529" s="1"/>
      <c r="T529" s="1"/>
      <c r="U529" s="1"/>
      <c r="V529" s="3"/>
      <c r="W529" s="1"/>
      <c r="X529" s="1"/>
    </row>
    <row r="530" ht="16.5" customHeight="1">
      <c r="A530" s="1"/>
      <c r="B530" s="1"/>
      <c r="C530" s="1"/>
      <c r="D530" s="8"/>
      <c r="E530" s="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"/>
      <c r="S530" s="1"/>
      <c r="T530" s="1"/>
      <c r="U530" s="1"/>
      <c r="V530" s="3"/>
      <c r="W530" s="1"/>
      <c r="X530" s="1"/>
    </row>
    <row r="531" ht="16.5" customHeight="1">
      <c r="A531" s="1"/>
      <c r="B531" s="1"/>
      <c r="C531" s="1"/>
      <c r="D531" s="8"/>
      <c r="E531" s="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"/>
      <c r="S531" s="1"/>
      <c r="T531" s="1"/>
      <c r="U531" s="1"/>
      <c r="V531" s="3"/>
      <c r="W531" s="1"/>
      <c r="X531" s="1"/>
    </row>
    <row r="532" ht="16.5" customHeight="1">
      <c r="A532" s="1"/>
      <c r="B532" s="1"/>
      <c r="C532" s="1"/>
      <c r="D532" s="8"/>
      <c r="E532" s="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"/>
      <c r="S532" s="1"/>
      <c r="T532" s="1"/>
      <c r="U532" s="1"/>
      <c r="V532" s="3"/>
      <c r="W532" s="1"/>
      <c r="X532" s="1"/>
    </row>
    <row r="533" ht="16.5" customHeight="1">
      <c r="A533" s="1"/>
      <c r="B533" s="1"/>
      <c r="C533" s="1"/>
      <c r="D533" s="8"/>
      <c r="E533" s="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"/>
      <c r="S533" s="1"/>
      <c r="T533" s="1"/>
      <c r="U533" s="1"/>
      <c r="V533" s="3"/>
      <c r="W533" s="1"/>
      <c r="X533" s="1"/>
    </row>
    <row r="534" ht="16.5" customHeight="1">
      <c r="A534" s="1"/>
      <c r="B534" s="1"/>
      <c r="C534" s="1"/>
      <c r="D534" s="8"/>
      <c r="E534" s="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"/>
      <c r="S534" s="1"/>
      <c r="T534" s="1"/>
      <c r="U534" s="1"/>
      <c r="V534" s="3"/>
      <c r="W534" s="1"/>
      <c r="X534" s="1"/>
    </row>
    <row r="535" ht="16.5" customHeight="1">
      <c r="A535" s="1"/>
      <c r="B535" s="1"/>
      <c r="C535" s="1"/>
      <c r="D535" s="8"/>
      <c r="E535" s="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"/>
      <c r="S535" s="1"/>
      <c r="T535" s="1"/>
      <c r="U535" s="1"/>
      <c r="V535" s="3"/>
      <c r="W535" s="1"/>
      <c r="X535" s="1"/>
    </row>
    <row r="536" ht="16.5" customHeight="1">
      <c r="A536" s="1"/>
      <c r="B536" s="1"/>
      <c r="C536" s="1"/>
      <c r="D536" s="8"/>
      <c r="E536" s="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"/>
      <c r="S536" s="1"/>
      <c r="T536" s="1"/>
      <c r="U536" s="1"/>
      <c r="V536" s="3"/>
      <c r="W536" s="1"/>
      <c r="X536" s="1"/>
    </row>
    <row r="537" ht="16.5" customHeight="1">
      <c r="A537" s="1"/>
      <c r="B537" s="1"/>
      <c r="C537" s="1"/>
      <c r="D537" s="8"/>
      <c r="E537" s="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"/>
      <c r="S537" s="1"/>
      <c r="T537" s="1"/>
      <c r="U537" s="1"/>
      <c r="V537" s="3"/>
      <c r="W537" s="1"/>
      <c r="X537" s="1"/>
    </row>
    <row r="538" ht="16.5" customHeight="1">
      <c r="A538" s="1"/>
      <c r="B538" s="1"/>
      <c r="C538" s="1"/>
      <c r="D538" s="8"/>
      <c r="E538" s="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"/>
      <c r="S538" s="1"/>
      <c r="T538" s="1"/>
      <c r="U538" s="1"/>
      <c r="V538" s="3"/>
      <c r="W538" s="1"/>
      <c r="X538" s="1"/>
    </row>
    <row r="539" ht="16.5" customHeight="1">
      <c r="A539" s="1"/>
      <c r="B539" s="1"/>
      <c r="C539" s="1"/>
      <c r="D539" s="8"/>
      <c r="E539" s="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"/>
      <c r="S539" s="1"/>
      <c r="T539" s="1"/>
      <c r="U539" s="1"/>
      <c r="V539" s="3"/>
      <c r="W539" s="1"/>
      <c r="X539" s="1"/>
    </row>
    <row r="540" ht="16.5" customHeight="1">
      <c r="A540" s="1"/>
      <c r="B540" s="1"/>
      <c r="C540" s="1"/>
      <c r="D540" s="8"/>
      <c r="E540" s="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"/>
      <c r="S540" s="1"/>
      <c r="T540" s="1"/>
      <c r="U540" s="1"/>
      <c r="V540" s="3"/>
      <c r="W540" s="1"/>
      <c r="X540" s="1"/>
    </row>
    <row r="541" ht="16.5" customHeight="1">
      <c r="A541" s="1"/>
      <c r="B541" s="1"/>
      <c r="C541" s="1"/>
      <c r="D541" s="8"/>
      <c r="E541" s="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"/>
      <c r="S541" s="1"/>
      <c r="T541" s="1"/>
      <c r="U541" s="1"/>
      <c r="V541" s="3"/>
      <c r="W541" s="1"/>
      <c r="X541" s="1"/>
    </row>
    <row r="542" ht="16.5" customHeight="1">
      <c r="A542" s="1"/>
      <c r="B542" s="1"/>
      <c r="C542" s="1"/>
      <c r="D542" s="8"/>
      <c r="E542" s="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"/>
      <c r="S542" s="1"/>
      <c r="T542" s="1"/>
      <c r="U542" s="1"/>
      <c r="V542" s="3"/>
      <c r="W542" s="1"/>
      <c r="X542" s="1"/>
    </row>
    <row r="543" ht="16.5" customHeight="1">
      <c r="A543" s="1"/>
      <c r="B543" s="1"/>
      <c r="C543" s="1"/>
      <c r="D543" s="8"/>
      <c r="E543" s="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"/>
      <c r="S543" s="1"/>
      <c r="T543" s="1"/>
      <c r="U543" s="1"/>
      <c r="V543" s="3"/>
      <c r="W543" s="1"/>
      <c r="X543" s="1"/>
    </row>
    <row r="544" ht="16.5" customHeight="1">
      <c r="A544" s="1"/>
      <c r="B544" s="1"/>
      <c r="C544" s="1"/>
      <c r="D544" s="8"/>
      <c r="E544" s="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"/>
      <c r="S544" s="1"/>
      <c r="T544" s="1"/>
      <c r="U544" s="1"/>
      <c r="V544" s="3"/>
      <c r="W544" s="1"/>
      <c r="X544" s="1"/>
    </row>
    <row r="545" ht="16.5" customHeight="1">
      <c r="A545" s="1"/>
      <c r="B545" s="1"/>
      <c r="C545" s="1"/>
      <c r="D545" s="8"/>
      <c r="E545" s="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"/>
      <c r="S545" s="1"/>
      <c r="T545" s="1"/>
      <c r="U545" s="1"/>
      <c r="V545" s="3"/>
      <c r="W545" s="1"/>
      <c r="X545" s="1"/>
    </row>
    <row r="546" ht="16.5" customHeight="1">
      <c r="A546" s="1"/>
      <c r="B546" s="1"/>
      <c r="C546" s="1"/>
      <c r="D546" s="8"/>
      <c r="E546" s="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"/>
      <c r="S546" s="1"/>
      <c r="T546" s="1"/>
      <c r="U546" s="1"/>
      <c r="V546" s="3"/>
      <c r="W546" s="1"/>
      <c r="X546" s="1"/>
    </row>
    <row r="547" ht="16.5" customHeight="1">
      <c r="A547" s="1"/>
      <c r="B547" s="1"/>
      <c r="C547" s="1"/>
      <c r="D547" s="8"/>
      <c r="E547" s="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"/>
      <c r="S547" s="1"/>
      <c r="T547" s="1"/>
      <c r="U547" s="1"/>
      <c r="V547" s="3"/>
      <c r="W547" s="1"/>
      <c r="X547" s="1"/>
    </row>
    <row r="548" ht="16.5" customHeight="1">
      <c r="A548" s="1"/>
      <c r="B548" s="1"/>
      <c r="C548" s="1"/>
      <c r="D548" s="8"/>
      <c r="E548" s="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"/>
      <c r="S548" s="1"/>
      <c r="T548" s="1"/>
      <c r="U548" s="1"/>
      <c r="V548" s="3"/>
      <c r="W548" s="1"/>
      <c r="X548" s="1"/>
    </row>
    <row r="549" ht="16.5" customHeight="1">
      <c r="A549" s="1"/>
      <c r="B549" s="1"/>
      <c r="C549" s="1"/>
      <c r="D549" s="8"/>
      <c r="E549" s="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"/>
      <c r="S549" s="1"/>
      <c r="T549" s="1"/>
      <c r="U549" s="1"/>
      <c r="V549" s="3"/>
      <c r="W549" s="1"/>
      <c r="X549" s="1"/>
    </row>
    <row r="550" ht="16.5" customHeight="1">
      <c r="A550" s="1"/>
      <c r="B550" s="1"/>
      <c r="C550" s="1"/>
      <c r="D550" s="8"/>
      <c r="E550" s="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"/>
      <c r="S550" s="1"/>
      <c r="T550" s="1"/>
      <c r="U550" s="1"/>
      <c r="V550" s="3"/>
      <c r="W550" s="1"/>
      <c r="X550" s="1"/>
    </row>
    <row r="551" ht="16.5" customHeight="1">
      <c r="A551" s="1"/>
      <c r="B551" s="1"/>
      <c r="C551" s="1"/>
      <c r="D551" s="8"/>
      <c r="E551" s="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"/>
      <c r="S551" s="1"/>
      <c r="T551" s="1"/>
      <c r="U551" s="1"/>
      <c r="V551" s="3"/>
      <c r="W551" s="1"/>
      <c r="X551" s="1"/>
    </row>
    <row r="552" ht="16.5" customHeight="1">
      <c r="A552" s="1"/>
      <c r="B552" s="1"/>
      <c r="C552" s="1"/>
      <c r="D552" s="8"/>
      <c r="E552" s="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"/>
      <c r="S552" s="1"/>
      <c r="T552" s="1"/>
      <c r="U552" s="1"/>
      <c r="V552" s="3"/>
      <c r="W552" s="1"/>
      <c r="X552" s="1"/>
    </row>
    <row r="553" ht="16.5" customHeight="1">
      <c r="A553" s="1"/>
      <c r="B553" s="1"/>
      <c r="C553" s="1"/>
      <c r="D553" s="8"/>
      <c r="E553" s="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"/>
      <c r="S553" s="1"/>
      <c r="T553" s="1"/>
      <c r="U553" s="1"/>
      <c r="V553" s="3"/>
      <c r="W553" s="1"/>
      <c r="X553" s="1"/>
    </row>
    <row r="554" ht="16.5" customHeight="1">
      <c r="A554" s="1"/>
      <c r="B554" s="1"/>
      <c r="C554" s="1"/>
      <c r="D554" s="8"/>
      <c r="E554" s="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"/>
      <c r="S554" s="1"/>
      <c r="T554" s="1"/>
      <c r="U554" s="1"/>
      <c r="V554" s="3"/>
      <c r="W554" s="1"/>
      <c r="X554" s="1"/>
    </row>
    <row r="555" ht="16.5" customHeight="1">
      <c r="A555" s="1"/>
      <c r="B555" s="1"/>
      <c r="C555" s="1"/>
      <c r="D555" s="8"/>
      <c r="E555" s="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"/>
      <c r="S555" s="1"/>
      <c r="T555" s="1"/>
      <c r="U555" s="1"/>
      <c r="V555" s="3"/>
      <c r="W555" s="1"/>
      <c r="X555" s="1"/>
    </row>
    <row r="556" ht="16.5" customHeight="1">
      <c r="A556" s="1"/>
      <c r="B556" s="1"/>
      <c r="C556" s="1"/>
      <c r="D556" s="8"/>
      <c r="E556" s="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"/>
      <c r="S556" s="1"/>
      <c r="T556" s="1"/>
      <c r="U556" s="1"/>
      <c r="V556" s="3"/>
      <c r="W556" s="1"/>
      <c r="X556" s="1"/>
    </row>
    <row r="557" ht="16.5" customHeight="1">
      <c r="A557" s="1"/>
      <c r="B557" s="1"/>
      <c r="C557" s="1"/>
      <c r="D557" s="8"/>
      <c r="E557" s="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"/>
      <c r="S557" s="1"/>
      <c r="T557" s="1"/>
      <c r="U557" s="1"/>
      <c r="V557" s="3"/>
      <c r="W557" s="1"/>
      <c r="X557" s="1"/>
    </row>
    <row r="558" ht="16.5" customHeight="1">
      <c r="A558" s="1"/>
      <c r="B558" s="1"/>
      <c r="C558" s="1"/>
      <c r="D558" s="8"/>
      <c r="E558" s="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"/>
      <c r="S558" s="1"/>
      <c r="T558" s="1"/>
      <c r="U558" s="1"/>
      <c r="V558" s="3"/>
      <c r="W558" s="1"/>
      <c r="X558" s="1"/>
    </row>
    <row r="559" ht="16.5" customHeight="1">
      <c r="A559" s="1"/>
      <c r="B559" s="1"/>
      <c r="C559" s="1"/>
      <c r="D559" s="8"/>
      <c r="E559" s="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"/>
      <c r="S559" s="1"/>
      <c r="T559" s="1"/>
      <c r="U559" s="1"/>
      <c r="V559" s="3"/>
      <c r="W559" s="1"/>
      <c r="X559" s="1"/>
    </row>
    <row r="560" ht="16.5" customHeight="1">
      <c r="A560" s="1"/>
      <c r="B560" s="1"/>
      <c r="C560" s="1"/>
      <c r="D560" s="8"/>
      <c r="E560" s="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"/>
      <c r="S560" s="1"/>
      <c r="T560" s="1"/>
      <c r="U560" s="1"/>
      <c r="V560" s="3"/>
      <c r="W560" s="1"/>
      <c r="X560" s="1"/>
    </row>
    <row r="561" ht="16.5" customHeight="1">
      <c r="A561" s="1"/>
      <c r="B561" s="1"/>
      <c r="C561" s="1"/>
      <c r="D561" s="8"/>
      <c r="E561" s="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"/>
      <c r="S561" s="1"/>
      <c r="T561" s="1"/>
      <c r="U561" s="1"/>
      <c r="V561" s="3"/>
      <c r="W561" s="1"/>
      <c r="X561" s="1"/>
    </row>
    <row r="562" ht="16.5" customHeight="1">
      <c r="A562" s="1"/>
      <c r="B562" s="1"/>
      <c r="C562" s="1"/>
      <c r="D562" s="8"/>
      <c r="E562" s="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"/>
      <c r="S562" s="1"/>
      <c r="T562" s="1"/>
      <c r="U562" s="1"/>
      <c r="V562" s="3"/>
      <c r="W562" s="1"/>
      <c r="X562" s="1"/>
    </row>
    <row r="563" ht="16.5" customHeight="1">
      <c r="A563" s="1"/>
      <c r="B563" s="1"/>
      <c r="C563" s="1"/>
      <c r="D563" s="8"/>
      <c r="E563" s="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"/>
      <c r="S563" s="1"/>
      <c r="T563" s="1"/>
      <c r="U563" s="1"/>
      <c r="V563" s="3"/>
      <c r="W563" s="1"/>
      <c r="X563" s="1"/>
    </row>
    <row r="564" ht="16.5" customHeight="1">
      <c r="A564" s="1"/>
      <c r="B564" s="1"/>
      <c r="C564" s="1"/>
      <c r="D564" s="8"/>
      <c r="E564" s="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"/>
      <c r="S564" s="1"/>
      <c r="T564" s="1"/>
      <c r="U564" s="1"/>
      <c r="V564" s="3"/>
      <c r="W564" s="1"/>
      <c r="X564" s="1"/>
    </row>
    <row r="565" ht="16.5" customHeight="1">
      <c r="A565" s="1"/>
      <c r="B565" s="1"/>
      <c r="C565" s="1"/>
      <c r="D565" s="8"/>
      <c r="E565" s="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"/>
      <c r="S565" s="1"/>
      <c r="T565" s="1"/>
      <c r="U565" s="1"/>
      <c r="V565" s="3"/>
      <c r="W565" s="1"/>
      <c r="X565" s="1"/>
    </row>
    <row r="566" ht="16.5" customHeight="1">
      <c r="A566" s="1"/>
      <c r="B566" s="1"/>
      <c r="C566" s="1"/>
      <c r="D566" s="8"/>
      <c r="E566" s="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"/>
      <c r="S566" s="1"/>
      <c r="T566" s="1"/>
      <c r="U566" s="1"/>
      <c r="V566" s="3"/>
      <c r="W566" s="1"/>
      <c r="X566" s="1"/>
    </row>
    <row r="567" ht="16.5" customHeight="1">
      <c r="A567" s="1"/>
      <c r="B567" s="1"/>
      <c r="C567" s="1"/>
      <c r="D567" s="8"/>
      <c r="E567" s="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"/>
      <c r="S567" s="1"/>
      <c r="T567" s="1"/>
      <c r="U567" s="1"/>
      <c r="V567" s="3"/>
      <c r="W567" s="1"/>
      <c r="X567" s="1"/>
    </row>
    <row r="568" ht="16.5" customHeight="1">
      <c r="A568" s="1"/>
      <c r="B568" s="1"/>
      <c r="C568" s="1"/>
      <c r="D568" s="8"/>
      <c r="E568" s="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"/>
      <c r="S568" s="1"/>
      <c r="T568" s="1"/>
      <c r="U568" s="1"/>
      <c r="V568" s="3"/>
      <c r="W568" s="1"/>
      <c r="X568" s="1"/>
    </row>
    <row r="569" ht="16.5" customHeight="1">
      <c r="A569" s="1"/>
      <c r="B569" s="1"/>
      <c r="C569" s="1"/>
      <c r="D569" s="8"/>
      <c r="E569" s="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"/>
      <c r="S569" s="1"/>
      <c r="T569" s="1"/>
      <c r="U569" s="1"/>
      <c r="V569" s="3"/>
      <c r="W569" s="1"/>
      <c r="X569" s="1"/>
    </row>
    <row r="570" ht="16.5" customHeight="1">
      <c r="A570" s="1"/>
      <c r="B570" s="1"/>
      <c r="C570" s="1"/>
      <c r="D570" s="8"/>
      <c r="E570" s="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"/>
      <c r="S570" s="1"/>
      <c r="T570" s="1"/>
      <c r="U570" s="1"/>
      <c r="V570" s="3"/>
      <c r="W570" s="1"/>
      <c r="X570" s="1"/>
    </row>
    <row r="571" ht="16.5" customHeight="1">
      <c r="A571" s="1"/>
      <c r="B571" s="1"/>
      <c r="C571" s="1"/>
      <c r="D571" s="8"/>
      <c r="E571" s="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"/>
      <c r="S571" s="1"/>
      <c r="T571" s="1"/>
      <c r="U571" s="1"/>
      <c r="V571" s="3"/>
      <c r="W571" s="1"/>
      <c r="X571" s="1"/>
    </row>
    <row r="572" ht="16.5" customHeight="1">
      <c r="A572" s="1"/>
      <c r="B572" s="1"/>
      <c r="C572" s="1"/>
      <c r="D572" s="8"/>
      <c r="E572" s="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"/>
      <c r="S572" s="1"/>
      <c r="T572" s="1"/>
      <c r="U572" s="1"/>
      <c r="V572" s="3"/>
      <c r="W572" s="1"/>
      <c r="X572" s="1"/>
    </row>
    <row r="573" ht="16.5" customHeight="1">
      <c r="A573" s="1"/>
      <c r="B573" s="1"/>
      <c r="C573" s="1"/>
      <c r="D573" s="8"/>
      <c r="E573" s="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"/>
      <c r="S573" s="1"/>
      <c r="T573" s="1"/>
      <c r="U573" s="1"/>
      <c r="V573" s="3"/>
      <c r="W573" s="1"/>
      <c r="X573" s="1"/>
    </row>
    <row r="574" ht="16.5" customHeight="1">
      <c r="A574" s="1"/>
      <c r="B574" s="1"/>
      <c r="C574" s="1"/>
      <c r="D574" s="8"/>
      <c r="E574" s="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"/>
      <c r="S574" s="1"/>
      <c r="T574" s="1"/>
      <c r="U574" s="1"/>
      <c r="V574" s="3"/>
      <c r="W574" s="1"/>
      <c r="X574" s="1"/>
    </row>
    <row r="575" ht="16.5" customHeight="1">
      <c r="A575" s="1"/>
      <c r="B575" s="1"/>
      <c r="C575" s="1"/>
      <c r="D575" s="8"/>
      <c r="E575" s="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"/>
      <c r="S575" s="1"/>
      <c r="T575" s="1"/>
      <c r="U575" s="1"/>
      <c r="V575" s="3"/>
      <c r="W575" s="1"/>
      <c r="X575" s="1"/>
    </row>
    <row r="576" ht="16.5" customHeight="1">
      <c r="A576" s="1"/>
      <c r="B576" s="1"/>
      <c r="C576" s="1"/>
      <c r="D576" s="8"/>
      <c r="E576" s="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"/>
      <c r="S576" s="1"/>
      <c r="T576" s="1"/>
      <c r="U576" s="1"/>
      <c r="V576" s="3"/>
      <c r="W576" s="1"/>
      <c r="X576" s="1"/>
    </row>
    <row r="577" ht="16.5" customHeight="1">
      <c r="A577" s="1"/>
      <c r="B577" s="1"/>
      <c r="C577" s="1"/>
      <c r="D577" s="8"/>
      <c r="E577" s="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"/>
      <c r="S577" s="1"/>
      <c r="T577" s="1"/>
      <c r="U577" s="1"/>
      <c r="V577" s="3"/>
      <c r="W577" s="1"/>
      <c r="X577" s="1"/>
    </row>
    <row r="578" ht="16.5" customHeight="1">
      <c r="A578" s="1"/>
      <c r="B578" s="1"/>
      <c r="C578" s="1"/>
      <c r="D578" s="8"/>
      <c r="E578" s="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"/>
      <c r="S578" s="1"/>
      <c r="T578" s="1"/>
      <c r="U578" s="1"/>
      <c r="V578" s="3"/>
      <c r="W578" s="1"/>
      <c r="X578" s="1"/>
    </row>
    <row r="579" ht="16.5" customHeight="1">
      <c r="A579" s="1"/>
      <c r="B579" s="1"/>
      <c r="C579" s="1"/>
      <c r="D579" s="8"/>
      <c r="E579" s="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"/>
      <c r="S579" s="1"/>
      <c r="T579" s="1"/>
      <c r="U579" s="1"/>
      <c r="V579" s="3"/>
      <c r="W579" s="1"/>
      <c r="X579" s="1"/>
    </row>
    <row r="580" ht="16.5" customHeight="1">
      <c r="A580" s="1"/>
      <c r="B580" s="1"/>
      <c r="C580" s="1"/>
      <c r="D580" s="8"/>
      <c r="E580" s="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"/>
      <c r="S580" s="1"/>
      <c r="T580" s="1"/>
      <c r="U580" s="1"/>
      <c r="V580" s="3"/>
      <c r="W580" s="1"/>
      <c r="X580" s="1"/>
    </row>
    <row r="581" ht="16.5" customHeight="1">
      <c r="A581" s="1"/>
      <c r="B581" s="1"/>
      <c r="C581" s="1"/>
      <c r="D581" s="8"/>
      <c r="E581" s="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"/>
      <c r="S581" s="1"/>
      <c r="T581" s="1"/>
      <c r="U581" s="1"/>
      <c r="V581" s="3"/>
      <c r="W581" s="1"/>
      <c r="X581" s="1"/>
    </row>
    <row r="582" ht="16.5" customHeight="1">
      <c r="A582" s="1"/>
      <c r="B582" s="1"/>
      <c r="C582" s="1"/>
      <c r="D582" s="8"/>
      <c r="E582" s="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"/>
      <c r="S582" s="1"/>
      <c r="T582" s="1"/>
      <c r="U582" s="1"/>
      <c r="V582" s="3"/>
      <c r="W582" s="1"/>
      <c r="X582" s="1"/>
    </row>
    <row r="583" ht="16.5" customHeight="1">
      <c r="A583" s="1"/>
      <c r="B583" s="1"/>
      <c r="C583" s="1"/>
      <c r="D583" s="8"/>
      <c r="E583" s="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"/>
      <c r="S583" s="1"/>
      <c r="T583" s="1"/>
      <c r="U583" s="1"/>
      <c r="V583" s="3"/>
      <c r="W583" s="1"/>
      <c r="X583" s="1"/>
    </row>
    <row r="584" ht="16.5" customHeight="1">
      <c r="A584" s="1"/>
      <c r="B584" s="1"/>
      <c r="C584" s="1"/>
      <c r="D584" s="8"/>
      <c r="E584" s="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"/>
      <c r="S584" s="1"/>
      <c r="T584" s="1"/>
      <c r="U584" s="1"/>
      <c r="V584" s="3"/>
      <c r="W584" s="1"/>
      <c r="X584" s="1"/>
    </row>
    <row r="585" ht="16.5" customHeight="1">
      <c r="A585" s="1"/>
      <c r="B585" s="1"/>
      <c r="C585" s="1"/>
      <c r="D585" s="8"/>
      <c r="E585" s="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"/>
      <c r="S585" s="1"/>
      <c r="T585" s="1"/>
      <c r="U585" s="1"/>
      <c r="V585" s="3"/>
      <c r="W585" s="1"/>
      <c r="X585" s="1"/>
    </row>
    <row r="586" ht="16.5" customHeight="1">
      <c r="A586" s="1"/>
      <c r="B586" s="1"/>
      <c r="C586" s="1"/>
      <c r="D586" s="8"/>
      <c r="E586" s="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"/>
      <c r="S586" s="1"/>
      <c r="T586" s="1"/>
      <c r="U586" s="1"/>
      <c r="V586" s="3"/>
      <c r="W586" s="1"/>
      <c r="X586" s="1"/>
    </row>
    <row r="587" ht="16.5" customHeight="1">
      <c r="A587" s="1"/>
      <c r="B587" s="1"/>
      <c r="C587" s="1"/>
      <c r="D587" s="8"/>
      <c r="E587" s="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"/>
      <c r="S587" s="1"/>
      <c r="T587" s="1"/>
      <c r="U587" s="1"/>
      <c r="V587" s="3"/>
      <c r="W587" s="1"/>
      <c r="X587" s="1"/>
    </row>
    <row r="588" ht="16.5" customHeight="1">
      <c r="A588" s="1"/>
      <c r="B588" s="1"/>
      <c r="C588" s="1"/>
      <c r="D588" s="8"/>
      <c r="E588" s="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"/>
      <c r="S588" s="1"/>
      <c r="T588" s="1"/>
      <c r="U588" s="1"/>
      <c r="V588" s="3"/>
      <c r="W588" s="1"/>
      <c r="X588" s="1"/>
    </row>
    <row r="589" ht="16.5" customHeight="1">
      <c r="A589" s="1"/>
      <c r="B589" s="1"/>
      <c r="C589" s="1"/>
      <c r="D589" s="8"/>
      <c r="E589" s="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"/>
      <c r="S589" s="1"/>
      <c r="T589" s="1"/>
      <c r="U589" s="1"/>
      <c r="V589" s="3"/>
      <c r="W589" s="1"/>
      <c r="X589" s="1"/>
    </row>
    <row r="590" ht="16.5" customHeight="1">
      <c r="A590" s="1"/>
      <c r="B590" s="1"/>
      <c r="C590" s="1"/>
      <c r="D590" s="8"/>
      <c r="E590" s="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"/>
      <c r="S590" s="1"/>
      <c r="T590" s="1"/>
      <c r="U590" s="1"/>
      <c r="V590" s="3"/>
      <c r="W590" s="1"/>
      <c r="X590" s="1"/>
    </row>
    <row r="591" ht="16.5" customHeight="1">
      <c r="A591" s="1"/>
      <c r="B591" s="1"/>
      <c r="C591" s="1"/>
      <c r="D591" s="8"/>
      <c r="E591" s="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"/>
      <c r="S591" s="1"/>
      <c r="T591" s="1"/>
      <c r="U591" s="1"/>
      <c r="V591" s="3"/>
      <c r="W591" s="1"/>
      <c r="X591" s="1"/>
    </row>
    <row r="592" ht="16.5" customHeight="1">
      <c r="A592" s="1"/>
      <c r="B592" s="1"/>
      <c r="C592" s="1"/>
      <c r="D592" s="8"/>
      <c r="E592" s="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"/>
      <c r="S592" s="1"/>
      <c r="T592" s="1"/>
      <c r="U592" s="1"/>
      <c r="V592" s="3"/>
      <c r="W592" s="1"/>
      <c r="X592" s="1"/>
    </row>
    <row r="593" ht="16.5" customHeight="1">
      <c r="A593" s="1"/>
      <c r="B593" s="1"/>
      <c r="C593" s="1"/>
      <c r="D593" s="8"/>
      <c r="E593" s="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"/>
      <c r="S593" s="1"/>
      <c r="T593" s="1"/>
      <c r="U593" s="1"/>
      <c r="V593" s="3"/>
      <c r="W593" s="1"/>
      <c r="X593" s="1"/>
    </row>
    <row r="594" ht="16.5" customHeight="1">
      <c r="A594" s="1"/>
      <c r="B594" s="1"/>
      <c r="C594" s="1"/>
      <c r="D594" s="8"/>
      <c r="E594" s="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"/>
      <c r="S594" s="1"/>
      <c r="T594" s="1"/>
      <c r="U594" s="1"/>
      <c r="V594" s="3"/>
      <c r="W594" s="1"/>
      <c r="X594" s="1"/>
    </row>
    <row r="595" ht="16.5" customHeight="1">
      <c r="A595" s="1"/>
      <c r="B595" s="1"/>
      <c r="C595" s="1"/>
      <c r="D595" s="8"/>
      <c r="E595" s="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"/>
      <c r="S595" s="1"/>
      <c r="T595" s="1"/>
      <c r="U595" s="1"/>
      <c r="V595" s="3"/>
      <c r="W595" s="1"/>
      <c r="X595" s="1"/>
    </row>
    <row r="596" ht="16.5" customHeight="1">
      <c r="A596" s="1"/>
      <c r="B596" s="1"/>
      <c r="C596" s="1"/>
      <c r="D596" s="8"/>
      <c r="E596" s="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"/>
      <c r="S596" s="1"/>
      <c r="T596" s="1"/>
      <c r="U596" s="1"/>
      <c r="V596" s="3"/>
      <c r="W596" s="1"/>
      <c r="X596" s="1"/>
    </row>
    <row r="597" ht="16.5" customHeight="1">
      <c r="A597" s="1"/>
      <c r="B597" s="1"/>
      <c r="C597" s="1"/>
      <c r="D597" s="8"/>
      <c r="E597" s="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"/>
      <c r="S597" s="1"/>
      <c r="T597" s="1"/>
      <c r="U597" s="1"/>
      <c r="V597" s="3"/>
      <c r="W597" s="1"/>
      <c r="X597" s="1"/>
    </row>
    <row r="598" ht="16.5" customHeight="1">
      <c r="A598" s="1"/>
      <c r="B598" s="1"/>
      <c r="C598" s="1"/>
      <c r="D598" s="8"/>
      <c r="E598" s="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"/>
      <c r="S598" s="1"/>
      <c r="T598" s="1"/>
      <c r="U598" s="1"/>
      <c r="V598" s="3"/>
      <c r="W598" s="1"/>
      <c r="X598" s="1"/>
    </row>
    <row r="599" ht="16.5" customHeight="1">
      <c r="A599" s="1"/>
      <c r="B599" s="1"/>
      <c r="C599" s="1"/>
      <c r="D599" s="8"/>
      <c r="E599" s="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"/>
      <c r="S599" s="1"/>
      <c r="T599" s="1"/>
      <c r="U599" s="1"/>
      <c r="V599" s="3"/>
      <c r="W599" s="1"/>
      <c r="X599" s="1"/>
    </row>
    <row r="600" ht="16.5" customHeight="1">
      <c r="A600" s="1"/>
      <c r="B600" s="1"/>
      <c r="C600" s="1"/>
      <c r="D600" s="8"/>
      <c r="E600" s="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"/>
      <c r="S600" s="1"/>
      <c r="T600" s="1"/>
      <c r="U600" s="1"/>
      <c r="V600" s="3"/>
      <c r="W600" s="1"/>
      <c r="X600" s="1"/>
    </row>
    <row r="601" ht="16.5" customHeight="1">
      <c r="A601" s="1"/>
      <c r="B601" s="1"/>
      <c r="C601" s="1"/>
      <c r="D601" s="8"/>
      <c r="E601" s="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"/>
      <c r="S601" s="1"/>
      <c r="T601" s="1"/>
      <c r="U601" s="1"/>
      <c r="V601" s="3"/>
      <c r="W601" s="1"/>
      <c r="X601" s="1"/>
    </row>
    <row r="602" ht="16.5" customHeight="1">
      <c r="A602" s="1"/>
      <c r="B602" s="1"/>
      <c r="C602" s="1"/>
      <c r="D602" s="8"/>
      <c r="E602" s="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"/>
      <c r="S602" s="1"/>
      <c r="T602" s="1"/>
      <c r="U602" s="1"/>
      <c r="V602" s="3"/>
      <c r="W602" s="1"/>
      <c r="X602" s="1"/>
    </row>
    <row r="603" ht="16.5" customHeight="1">
      <c r="A603" s="1"/>
      <c r="B603" s="1"/>
      <c r="C603" s="1"/>
      <c r="D603" s="8"/>
      <c r="E603" s="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"/>
      <c r="S603" s="1"/>
      <c r="T603" s="1"/>
      <c r="U603" s="1"/>
      <c r="V603" s="3"/>
      <c r="W603" s="1"/>
      <c r="X603" s="1"/>
    </row>
    <row r="604" ht="16.5" customHeight="1">
      <c r="A604" s="1"/>
      <c r="B604" s="1"/>
      <c r="C604" s="1"/>
      <c r="D604" s="8"/>
      <c r="E604" s="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"/>
      <c r="S604" s="1"/>
      <c r="T604" s="1"/>
      <c r="U604" s="1"/>
      <c r="V604" s="3"/>
      <c r="W604" s="1"/>
      <c r="X604" s="1"/>
    </row>
    <row r="605" ht="16.5" customHeight="1">
      <c r="A605" s="1"/>
      <c r="B605" s="1"/>
      <c r="C605" s="1"/>
      <c r="D605" s="8"/>
      <c r="E605" s="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"/>
      <c r="S605" s="1"/>
      <c r="T605" s="1"/>
      <c r="U605" s="1"/>
      <c r="V605" s="3"/>
      <c r="W605" s="1"/>
      <c r="X605" s="1"/>
    </row>
    <row r="606" ht="16.5" customHeight="1">
      <c r="A606" s="1"/>
      <c r="B606" s="1"/>
      <c r="C606" s="1"/>
      <c r="D606" s="8"/>
      <c r="E606" s="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"/>
      <c r="S606" s="1"/>
      <c r="T606" s="1"/>
      <c r="U606" s="1"/>
      <c r="V606" s="3"/>
      <c r="W606" s="1"/>
      <c r="X606" s="1"/>
    </row>
    <row r="607" ht="16.5" customHeight="1">
      <c r="A607" s="1"/>
      <c r="B607" s="1"/>
      <c r="C607" s="1"/>
      <c r="D607" s="8"/>
      <c r="E607" s="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"/>
      <c r="S607" s="1"/>
      <c r="T607" s="1"/>
      <c r="U607" s="1"/>
      <c r="V607" s="3"/>
      <c r="W607" s="1"/>
      <c r="X607" s="1"/>
    </row>
    <row r="608" ht="16.5" customHeight="1">
      <c r="A608" s="1"/>
      <c r="B608" s="1"/>
      <c r="C608" s="1"/>
      <c r="D608" s="8"/>
      <c r="E608" s="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"/>
      <c r="S608" s="1"/>
      <c r="T608" s="1"/>
      <c r="U608" s="1"/>
      <c r="V608" s="3"/>
      <c r="W608" s="1"/>
      <c r="X608" s="1"/>
    </row>
    <row r="609" ht="16.5" customHeight="1">
      <c r="A609" s="1"/>
      <c r="B609" s="1"/>
      <c r="C609" s="1"/>
      <c r="D609" s="8"/>
      <c r="E609" s="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"/>
      <c r="S609" s="1"/>
      <c r="T609" s="1"/>
      <c r="U609" s="1"/>
      <c r="V609" s="3"/>
      <c r="W609" s="1"/>
      <c r="X609" s="1"/>
    </row>
    <row r="610" ht="16.5" customHeight="1">
      <c r="A610" s="1"/>
      <c r="B610" s="1"/>
      <c r="C610" s="1"/>
      <c r="D610" s="8"/>
      <c r="E610" s="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"/>
      <c r="S610" s="1"/>
      <c r="T610" s="1"/>
      <c r="U610" s="1"/>
      <c r="V610" s="3"/>
      <c r="W610" s="1"/>
      <c r="X610" s="1"/>
    </row>
    <row r="611" ht="16.5" customHeight="1">
      <c r="A611" s="1"/>
      <c r="B611" s="1"/>
      <c r="C611" s="1"/>
      <c r="D611" s="8"/>
      <c r="E611" s="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"/>
      <c r="S611" s="1"/>
      <c r="T611" s="1"/>
      <c r="U611" s="1"/>
      <c r="V611" s="3"/>
      <c r="W611" s="1"/>
      <c r="X611" s="1"/>
    </row>
    <row r="612" ht="16.5" customHeight="1">
      <c r="A612" s="1"/>
      <c r="B612" s="1"/>
      <c r="C612" s="1"/>
      <c r="D612" s="8"/>
      <c r="E612" s="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"/>
      <c r="S612" s="1"/>
      <c r="T612" s="1"/>
      <c r="U612" s="1"/>
      <c r="V612" s="3"/>
      <c r="W612" s="1"/>
      <c r="X612" s="1"/>
    </row>
    <row r="613" ht="16.5" customHeight="1">
      <c r="A613" s="1"/>
      <c r="B613" s="1"/>
      <c r="C613" s="1"/>
      <c r="D613" s="8"/>
      <c r="E613" s="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"/>
      <c r="S613" s="1"/>
      <c r="T613" s="1"/>
      <c r="U613" s="1"/>
      <c r="V613" s="3"/>
      <c r="W613" s="1"/>
      <c r="X613" s="1"/>
    </row>
    <row r="614" ht="16.5" customHeight="1">
      <c r="A614" s="1"/>
      <c r="B614" s="1"/>
      <c r="C614" s="1"/>
      <c r="D614" s="8"/>
      <c r="E614" s="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"/>
      <c r="S614" s="1"/>
      <c r="T614" s="1"/>
      <c r="U614" s="1"/>
      <c r="V614" s="3"/>
      <c r="W614" s="1"/>
      <c r="X614" s="1"/>
    </row>
    <row r="615" ht="16.5" customHeight="1">
      <c r="A615" s="1"/>
      <c r="B615" s="1"/>
      <c r="C615" s="1"/>
      <c r="D615" s="8"/>
      <c r="E615" s="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"/>
      <c r="S615" s="1"/>
      <c r="T615" s="1"/>
      <c r="U615" s="1"/>
      <c r="V615" s="3"/>
      <c r="W615" s="1"/>
      <c r="X615" s="1"/>
    </row>
    <row r="616" ht="16.5" customHeight="1">
      <c r="A616" s="1"/>
      <c r="B616" s="1"/>
      <c r="C616" s="1"/>
      <c r="D616" s="8"/>
      <c r="E616" s="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"/>
      <c r="S616" s="1"/>
      <c r="T616" s="1"/>
      <c r="U616" s="1"/>
      <c r="V616" s="3"/>
      <c r="W616" s="1"/>
      <c r="X616" s="1"/>
    </row>
    <row r="617" ht="16.5" customHeight="1">
      <c r="A617" s="1"/>
      <c r="B617" s="1"/>
      <c r="C617" s="1"/>
      <c r="D617" s="8"/>
      <c r="E617" s="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"/>
      <c r="S617" s="1"/>
      <c r="T617" s="1"/>
      <c r="U617" s="1"/>
      <c r="V617" s="3"/>
      <c r="W617" s="1"/>
      <c r="X617" s="1"/>
    </row>
    <row r="618" ht="16.5" customHeight="1">
      <c r="A618" s="1"/>
      <c r="B618" s="1"/>
      <c r="C618" s="1"/>
      <c r="D618" s="8"/>
      <c r="E618" s="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"/>
      <c r="S618" s="1"/>
      <c r="T618" s="1"/>
      <c r="U618" s="1"/>
      <c r="V618" s="3"/>
      <c r="W618" s="1"/>
      <c r="X618" s="1"/>
    </row>
    <row r="619" ht="16.5" customHeight="1">
      <c r="A619" s="1"/>
      <c r="B619" s="1"/>
      <c r="C619" s="1"/>
      <c r="D619" s="8"/>
      <c r="E619" s="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"/>
      <c r="S619" s="1"/>
      <c r="T619" s="1"/>
      <c r="U619" s="1"/>
      <c r="V619" s="3"/>
      <c r="W619" s="1"/>
      <c r="X619" s="1"/>
    </row>
    <row r="620" ht="16.5" customHeight="1">
      <c r="A620" s="1"/>
      <c r="B620" s="1"/>
      <c r="C620" s="1"/>
      <c r="D620" s="8"/>
      <c r="E620" s="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"/>
      <c r="S620" s="1"/>
      <c r="T620" s="1"/>
      <c r="U620" s="1"/>
      <c r="V620" s="3"/>
      <c r="W620" s="1"/>
      <c r="X620" s="1"/>
    </row>
    <row r="621" ht="16.5" customHeight="1">
      <c r="A621" s="1"/>
      <c r="B621" s="1"/>
      <c r="C621" s="1"/>
      <c r="D621" s="8"/>
      <c r="E621" s="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"/>
      <c r="S621" s="1"/>
      <c r="T621" s="1"/>
      <c r="U621" s="1"/>
      <c r="V621" s="3"/>
      <c r="W621" s="1"/>
      <c r="X621" s="1"/>
    </row>
    <row r="622" ht="16.5" customHeight="1">
      <c r="A622" s="1"/>
      <c r="B622" s="1"/>
      <c r="C622" s="1"/>
      <c r="D622" s="8"/>
      <c r="E622" s="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"/>
      <c r="S622" s="1"/>
      <c r="T622" s="1"/>
      <c r="U622" s="1"/>
      <c r="V622" s="3"/>
      <c r="W622" s="1"/>
      <c r="X622" s="1"/>
    </row>
    <row r="623" ht="16.5" customHeight="1">
      <c r="A623" s="1"/>
      <c r="B623" s="1"/>
      <c r="C623" s="1"/>
      <c r="D623" s="8"/>
      <c r="E623" s="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"/>
      <c r="S623" s="1"/>
      <c r="T623" s="1"/>
      <c r="U623" s="1"/>
      <c r="V623" s="3"/>
      <c r="W623" s="1"/>
      <c r="X623" s="1"/>
    </row>
    <row r="624" ht="16.5" customHeight="1">
      <c r="A624" s="1"/>
      <c r="B624" s="1"/>
      <c r="C624" s="1"/>
      <c r="D624" s="8"/>
      <c r="E624" s="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"/>
      <c r="S624" s="1"/>
      <c r="T624" s="1"/>
      <c r="U624" s="1"/>
      <c r="V624" s="3"/>
      <c r="W624" s="1"/>
      <c r="X624" s="1"/>
    </row>
    <row r="625" ht="16.5" customHeight="1">
      <c r="A625" s="1"/>
      <c r="B625" s="1"/>
      <c r="C625" s="1"/>
      <c r="D625" s="8"/>
      <c r="E625" s="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"/>
      <c r="S625" s="1"/>
      <c r="T625" s="1"/>
      <c r="U625" s="1"/>
      <c r="V625" s="3"/>
      <c r="W625" s="1"/>
      <c r="X625" s="1"/>
    </row>
    <row r="626" ht="16.5" customHeight="1">
      <c r="A626" s="1"/>
      <c r="B626" s="1"/>
      <c r="C626" s="1"/>
      <c r="D626" s="8"/>
      <c r="E626" s="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"/>
      <c r="S626" s="1"/>
      <c r="T626" s="1"/>
      <c r="U626" s="1"/>
      <c r="V626" s="3"/>
      <c r="W626" s="1"/>
      <c r="X626" s="1"/>
    </row>
    <row r="627" ht="16.5" customHeight="1">
      <c r="A627" s="1"/>
      <c r="B627" s="1"/>
      <c r="C627" s="1"/>
      <c r="D627" s="8"/>
      <c r="E627" s="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"/>
      <c r="S627" s="1"/>
      <c r="T627" s="1"/>
      <c r="U627" s="1"/>
      <c r="V627" s="3"/>
      <c r="W627" s="1"/>
      <c r="X627" s="1"/>
    </row>
    <row r="628" ht="16.5" customHeight="1">
      <c r="A628" s="1"/>
      <c r="B628" s="1"/>
      <c r="C628" s="1"/>
      <c r="D628" s="8"/>
      <c r="E628" s="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"/>
      <c r="S628" s="1"/>
      <c r="T628" s="1"/>
      <c r="U628" s="1"/>
      <c r="V628" s="3"/>
      <c r="W628" s="1"/>
      <c r="X628" s="1"/>
    </row>
    <row r="629" ht="16.5" customHeight="1">
      <c r="A629" s="1"/>
      <c r="B629" s="1"/>
      <c r="C629" s="1"/>
      <c r="D629" s="8"/>
      <c r="E629" s="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"/>
      <c r="S629" s="1"/>
      <c r="T629" s="1"/>
      <c r="U629" s="1"/>
      <c r="V629" s="3"/>
      <c r="W629" s="1"/>
      <c r="X629" s="1"/>
    </row>
    <row r="630" ht="16.5" customHeight="1">
      <c r="A630" s="1"/>
      <c r="B630" s="1"/>
      <c r="C630" s="1"/>
      <c r="D630" s="8"/>
      <c r="E630" s="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"/>
      <c r="S630" s="1"/>
      <c r="T630" s="1"/>
      <c r="U630" s="1"/>
      <c r="V630" s="3"/>
      <c r="W630" s="1"/>
      <c r="X630" s="1"/>
    </row>
    <row r="631" ht="16.5" customHeight="1">
      <c r="A631" s="1"/>
      <c r="B631" s="1"/>
      <c r="C631" s="1"/>
      <c r="D631" s="8"/>
      <c r="E631" s="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"/>
      <c r="S631" s="1"/>
      <c r="T631" s="1"/>
      <c r="U631" s="1"/>
      <c r="V631" s="3"/>
      <c r="W631" s="1"/>
      <c r="X631" s="1"/>
    </row>
    <row r="632" ht="16.5" customHeight="1">
      <c r="A632" s="1"/>
      <c r="B632" s="1"/>
      <c r="C632" s="1"/>
      <c r="D632" s="8"/>
      <c r="E632" s="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"/>
      <c r="S632" s="1"/>
      <c r="T632" s="1"/>
      <c r="U632" s="1"/>
      <c r="V632" s="3"/>
      <c r="W632" s="1"/>
      <c r="X632" s="1"/>
    </row>
    <row r="633" ht="16.5" customHeight="1">
      <c r="A633" s="1"/>
      <c r="B633" s="1"/>
      <c r="C633" s="1"/>
      <c r="D633" s="8"/>
      <c r="E633" s="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"/>
      <c r="S633" s="1"/>
      <c r="T633" s="1"/>
      <c r="U633" s="1"/>
      <c r="V633" s="3"/>
      <c r="W633" s="1"/>
      <c r="X633" s="1"/>
    </row>
    <row r="634" ht="16.5" customHeight="1">
      <c r="A634" s="1"/>
      <c r="B634" s="1"/>
      <c r="C634" s="1"/>
      <c r="D634" s="8"/>
      <c r="E634" s="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"/>
      <c r="S634" s="1"/>
      <c r="T634" s="1"/>
      <c r="U634" s="1"/>
      <c r="V634" s="3"/>
      <c r="W634" s="1"/>
      <c r="X634" s="1"/>
    </row>
    <row r="635" ht="16.5" customHeight="1">
      <c r="A635" s="1"/>
      <c r="B635" s="1"/>
      <c r="C635" s="1"/>
      <c r="D635" s="8"/>
      <c r="E635" s="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"/>
      <c r="S635" s="1"/>
      <c r="T635" s="1"/>
      <c r="U635" s="1"/>
      <c r="V635" s="3"/>
      <c r="W635" s="1"/>
      <c r="X635" s="1"/>
    </row>
    <row r="636" ht="16.5" customHeight="1">
      <c r="A636" s="1"/>
      <c r="B636" s="1"/>
      <c r="C636" s="1"/>
      <c r="D636" s="8"/>
      <c r="E636" s="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"/>
      <c r="S636" s="1"/>
      <c r="T636" s="1"/>
      <c r="U636" s="1"/>
      <c r="V636" s="3"/>
      <c r="W636" s="1"/>
      <c r="X636" s="1"/>
    </row>
    <row r="637" ht="16.5" customHeight="1">
      <c r="A637" s="1"/>
      <c r="B637" s="1"/>
      <c r="C637" s="1"/>
      <c r="D637" s="8"/>
      <c r="E637" s="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"/>
      <c r="S637" s="1"/>
      <c r="T637" s="1"/>
      <c r="U637" s="1"/>
      <c r="V637" s="3"/>
      <c r="W637" s="1"/>
      <c r="X637" s="1"/>
    </row>
    <row r="638" ht="16.5" customHeight="1">
      <c r="A638" s="1"/>
      <c r="B638" s="1"/>
      <c r="C638" s="1"/>
      <c r="D638" s="8"/>
      <c r="E638" s="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"/>
      <c r="S638" s="1"/>
      <c r="T638" s="1"/>
      <c r="U638" s="1"/>
      <c r="V638" s="3"/>
      <c r="W638" s="1"/>
      <c r="X638" s="1"/>
    </row>
    <row r="639" ht="16.5" customHeight="1">
      <c r="A639" s="1"/>
      <c r="B639" s="1"/>
      <c r="C639" s="1"/>
      <c r="D639" s="8"/>
      <c r="E639" s="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"/>
      <c r="S639" s="1"/>
      <c r="T639" s="1"/>
      <c r="U639" s="1"/>
      <c r="V639" s="3"/>
      <c r="W639" s="1"/>
      <c r="X639" s="1"/>
    </row>
    <row r="640" ht="16.5" customHeight="1">
      <c r="A640" s="1"/>
      <c r="B640" s="1"/>
      <c r="C640" s="1"/>
      <c r="D640" s="8"/>
      <c r="E640" s="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"/>
      <c r="S640" s="1"/>
      <c r="T640" s="1"/>
      <c r="U640" s="1"/>
      <c r="V640" s="3"/>
      <c r="W640" s="1"/>
      <c r="X640" s="1"/>
    </row>
    <row r="641" ht="16.5" customHeight="1">
      <c r="A641" s="1"/>
      <c r="B641" s="1"/>
      <c r="C641" s="1"/>
      <c r="D641" s="8"/>
      <c r="E641" s="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"/>
      <c r="S641" s="1"/>
      <c r="T641" s="1"/>
      <c r="U641" s="1"/>
      <c r="V641" s="3"/>
      <c r="W641" s="1"/>
      <c r="X641" s="1"/>
    </row>
    <row r="642" ht="16.5" customHeight="1">
      <c r="A642" s="1"/>
      <c r="B642" s="1"/>
      <c r="C642" s="1"/>
      <c r="D642" s="8"/>
      <c r="E642" s="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"/>
      <c r="S642" s="1"/>
      <c r="T642" s="1"/>
      <c r="U642" s="1"/>
      <c r="V642" s="3"/>
      <c r="W642" s="1"/>
      <c r="X642" s="1"/>
    </row>
    <row r="643" ht="16.5" customHeight="1">
      <c r="A643" s="1"/>
      <c r="B643" s="1"/>
      <c r="C643" s="1"/>
      <c r="D643" s="8"/>
      <c r="E643" s="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"/>
      <c r="S643" s="1"/>
      <c r="T643" s="1"/>
      <c r="U643" s="1"/>
      <c r="V643" s="3"/>
      <c r="W643" s="1"/>
      <c r="X643" s="1"/>
    </row>
    <row r="644" ht="16.5" customHeight="1">
      <c r="A644" s="1"/>
      <c r="B644" s="1"/>
      <c r="C644" s="1"/>
      <c r="D644" s="8"/>
      <c r="E644" s="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"/>
      <c r="S644" s="1"/>
      <c r="T644" s="1"/>
      <c r="U644" s="1"/>
      <c r="V644" s="3"/>
      <c r="W644" s="1"/>
      <c r="X644" s="1"/>
    </row>
    <row r="645" ht="16.5" customHeight="1">
      <c r="A645" s="1"/>
      <c r="B645" s="1"/>
      <c r="C645" s="1"/>
      <c r="D645" s="8"/>
      <c r="E645" s="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"/>
      <c r="S645" s="1"/>
      <c r="T645" s="1"/>
      <c r="U645" s="1"/>
      <c r="V645" s="3"/>
      <c r="W645" s="1"/>
      <c r="X645" s="1"/>
    </row>
    <row r="646" ht="16.5" customHeight="1">
      <c r="A646" s="1"/>
      <c r="B646" s="1"/>
      <c r="C646" s="1"/>
      <c r="D646" s="8"/>
      <c r="E646" s="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"/>
      <c r="S646" s="1"/>
      <c r="T646" s="1"/>
      <c r="U646" s="1"/>
      <c r="V646" s="3"/>
      <c r="W646" s="1"/>
      <c r="X646" s="1"/>
    </row>
    <row r="647" ht="16.5" customHeight="1">
      <c r="A647" s="1"/>
      <c r="B647" s="1"/>
      <c r="C647" s="1"/>
      <c r="D647" s="8"/>
      <c r="E647" s="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"/>
      <c r="S647" s="1"/>
      <c r="T647" s="1"/>
      <c r="U647" s="1"/>
      <c r="V647" s="3"/>
      <c r="W647" s="1"/>
      <c r="X647" s="1"/>
    </row>
    <row r="648" ht="16.5" customHeight="1">
      <c r="A648" s="1"/>
      <c r="B648" s="1"/>
      <c r="C648" s="1"/>
      <c r="D648" s="8"/>
      <c r="E648" s="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"/>
      <c r="S648" s="1"/>
      <c r="T648" s="1"/>
      <c r="U648" s="1"/>
      <c r="V648" s="3"/>
      <c r="W648" s="1"/>
      <c r="X648" s="1"/>
    </row>
    <row r="649" ht="16.5" customHeight="1">
      <c r="A649" s="1"/>
      <c r="B649" s="1"/>
      <c r="C649" s="1"/>
      <c r="D649" s="8"/>
      <c r="E649" s="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"/>
      <c r="S649" s="1"/>
      <c r="T649" s="1"/>
      <c r="U649" s="1"/>
      <c r="V649" s="3"/>
      <c r="W649" s="1"/>
      <c r="X649" s="1"/>
    </row>
    <row r="650" ht="16.5" customHeight="1">
      <c r="A650" s="1"/>
      <c r="B650" s="1"/>
      <c r="C650" s="1"/>
      <c r="D650" s="8"/>
      <c r="E650" s="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"/>
      <c r="S650" s="1"/>
      <c r="T650" s="1"/>
      <c r="U650" s="1"/>
      <c r="V650" s="3"/>
      <c r="W650" s="1"/>
      <c r="X650" s="1"/>
    </row>
    <row r="651" ht="16.5" customHeight="1">
      <c r="A651" s="1"/>
      <c r="B651" s="1"/>
      <c r="C651" s="1"/>
      <c r="D651" s="8"/>
      <c r="E651" s="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"/>
      <c r="S651" s="1"/>
      <c r="T651" s="1"/>
      <c r="U651" s="1"/>
      <c r="V651" s="3"/>
      <c r="W651" s="1"/>
      <c r="X651" s="1"/>
    </row>
    <row r="652" ht="16.5" customHeight="1">
      <c r="A652" s="1"/>
      <c r="B652" s="1"/>
      <c r="C652" s="1"/>
      <c r="D652" s="8"/>
      <c r="E652" s="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"/>
      <c r="S652" s="1"/>
      <c r="T652" s="1"/>
      <c r="U652" s="1"/>
      <c r="V652" s="3"/>
      <c r="W652" s="1"/>
      <c r="X652" s="1"/>
    </row>
    <row r="653" ht="16.5" customHeight="1">
      <c r="A653" s="1"/>
      <c r="B653" s="1"/>
      <c r="C653" s="1"/>
      <c r="D653" s="8"/>
      <c r="E653" s="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"/>
      <c r="S653" s="1"/>
      <c r="T653" s="1"/>
      <c r="U653" s="1"/>
      <c r="V653" s="3"/>
      <c r="W653" s="1"/>
      <c r="X653" s="1"/>
    </row>
    <row r="654" ht="16.5" customHeight="1">
      <c r="A654" s="1"/>
      <c r="B654" s="1"/>
      <c r="C654" s="1"/>
      <c r="D654" s="8"/>
      <c r="E654" s="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"/>
      <c r="S654" s="1"/>
      <c r="T654" s="1"/>
      <c r="U654" s="1"/>
      <c r="V654" s="3"/>
      <c r="W654" s="1"/>
      <c r="X654" s="1"/>
    </row>
    <row r="655" ht="16.5" customHeight="1">
      <c r="A655" s="1"/>
      <c r="B655" s="1"/>
      <c r="C655" s="1"/>
      <c r="D655" s="8"/>
      <c r="E655" s="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"/>
      <c r="S655" s="1"/>
      <c r="T655" s="1"/>
      <c r="U655" s="1"/>
      <c r="V655" s="3"/>
      <c r="W655" s="1"/>
      <c r="X655" s="1"/>
    </row>
    <row r="656" ht="16.5" customHeight="1">
      <c r="A656" s="1"/>
      <c r="B656" s="1"/>
      <c r="C656" s="1"/>
      <c r="D656" s="8"/>
      <c r="E656" s="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"/>
      <c r="S656" s="1"/>
      <c r="T656" s="1"/>
      <c r="U656" s="1"/>
      <c r="V656" s="3"/>
      <c r="W656" s="1"/>
      <c r="X656" s="1"/>
    </row>
    <row r="657" ht="16.5" customHeight="1">
      <c r="A657" s="1"/>
      <c r="B657" s="1"/>
      <c r="C657" s="1"/>
      <c r="D657" s="8"/>
      <c r="E657" s="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"/>
      <c r="S657" s="1"/>
      <c r="T657" s="1"/>
      <c r="U657" s="1"/>
      <c r="V657" s="3"/>
      <c r="W657" s="1"/>
      <c r="X657" s="1"/>
    </row>
    <row r="658" ht="16.5" customHeight="1">
      <c r="A658" s="1"/>
      <c r="B658" s="1"/>
      <c r="C658" s="1"/>
      <c r="D658" s="8"/>
      <c r="E658" s="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"/>
      <c r="S658" s="1"/>
      <c r="T658" s="1"/>
      <c r="U658" s="1"/>
      <c r="V658" s="3"/>
      <c r="W658" s="1"/>
      <c r="X658" s="1"/>
    </row>
    <row r="659" ht="16.5" customHeight="1">
      <c r="A659" s="1"/>
      <c r="B659" s="1"/>
      <c r="C659" s="1"/>
      <c r="D659" s="8"/>
      <c r="E659" s="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"/>
      <c r="S659" s="1"/>
      <c r="T659" s="1"/>
      <c r="U659" s="1"/>
      <c r="V659" s="3"/>
      <c r="W659" s="1"/>
      <c r="X659" s="1"/>
    </row>
    <row r="660" ht="16.5" customHeight="1">
      <c r="A660" s="1"/>
      <c r="B660" s="1"/>
      <c r="C660" s="1"/>
      <c r="D660" s="8"/>
      <c r="E660" s="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"/>
      <c r="S660" s="1"/>
      <c r="T660" s="1"/>
      <c r="U660" s="1"/>
      <c r="V660" s="3"/>
      <c r="W660" s="1"/>
      <c r="X660" s="1"/>
    </row>
    <row r="661" ht="16.5" customHeight="1">
      <c r="A661" s="1"/>
      <c r="B661" s="1"/>
      <c r="C661" s="1"/>
      <c r="D661" s="8"/>
      <c r="E661" s="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"/>
      <c r="S661" s="1"/>
      <c r="T661" s="1"/>
      <c r="U661" s="1"/>
      <c r="V661" s="3"/>
      <c r="W661" s="1"/>
      <c r="X661" s="1"/>
    </row>
    <row r="662" ht="16.5" customHeight="1">
      <c r="A662" s="1"/>
      <c r="B662" s="1"/>
      <c r="C662" s="1"/>
      <c r="D662" s="8"/>
      <c r="E662" s="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"/>
      <c r="S662" s="1"/>
      <c r="T662" s="1"/>
      <c r="U662" s="1"/>
      <c r="V662" s="3"/>
      <c r="W662" s="1"/>
      <c r="X662" s="1"/>
    </row>
    <row r="663" ht="16.5" customHeight="1">
      <c r="A663" s="1"/>
      <c r="B663" s="1"/>
      <c r="C663" s="1"/>
      <c r="D663" s="8"/>
      <c r="E663" s="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"/>
      <c r="S663" s="1"/>
      <c r="T663" s="1"/>
      <c r="U663" s="1"/>
      <c r="V663" s="3"/>
      <c r="W663" s="1"/>
      <c r="X663" s="1"/>
    </row>
    <row r="664" ht="16.5" customHeight="1">
      <c r="A664" s="1"/>
      <c r="B664" s="1"/>
      <c r="C664" s="1"/>
      <c r="D664" s="8"/>
      <c r="E664" s="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"/>
      <c r="S664" s="1"/>
      <c r="T664" s="1"/>
      <c r="U664" s="1"/>
      <c r="V664" s="3"/>
      <c r="W664" s="1"/>
      <c r="X664" s="1"/>
    </row>
    <row r="665" ht="16.5" customHeight="1">
      <c r="A665" s="1"/>
      <c r="B665" s="1"/>
      <c r="C665" s="1"/>
      <c r="D665" s="8"/>
      <c r="E665" s="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"/>
      <c r="S665" s="1"/>
      <c r="T665" s="1"/>
      <c r="U665" s="1"/>
      <c r="V665" s="3"/>
      <c r="W665" s="1"/>
      <c r="X665" s="1"/>
    </row>
    <row r="666" ht="16.5" customHeight="1">
      <c r="A666" s="1"/>
      <c r="B666" s="1"/>
      <c r="C666" s="1"/>
      <c r="D666" s="8"/>
      <c r="E666" s="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"/>
      <c r="S666" s="1"/>
      <c r="T666" s="1"/>
      <c r="U666" s="1"/>
      <c r="V666" s="3"/>
      <c r="W666" s="1"/>
      <c r="X666" s="1"/>
    </row>
    <row r="667" ht="16.5" customHeight="1">
      <c r="A667" s="1"/>
      <c r="B667" s="1"/>
      <c r="C667" s="1"/>
      <c r="D667" s="8"/>
      <c r="E667" s="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"/>
      <c r="S667" s="1"/>
      <c r="T667" s="1"/>
      <c r="U667" s="1"/>
      <c r="V667" s="3"/>
      <c r="W667" s="1"/>
      <c r="X667" s="1"/>
    </row>
    <row r="668" ht="16.5" customHeight="1">
      <c r="A668" s="1"/>
      <c r="B668" s="1"/>
      <c r="C668" s="1"/>
      <c r="D668" s="8"/>
      <c r="E668" s="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"/>
      <c r="S668" s="1"/>
      <c r="T668" s="1"/>
      <c r="U668" s="1"/>
      <c r="V668" s="3"/>
      <c r="W668" s="1"/>
      <c r="X668" s="1"/>
    </row>
    <row r="669" ht="16.5" customHeight="1">
      <c r="A669" s="1"/>
      <c r="B669" s="1"/>
      <c r="C669" s="1"/>
      <c r="D669" s="8"/>
      <c r="E669" s="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"/>
      <c r="S669" s="1"/>
      <c r="T669" s="1"/>
      <c r="U669" s="1"/>
      <c r="V669" s="3"/>
      <c r="W669" s="1"/>
      <c r="X669" s="1"/>
    </row>
    <row r="670" ht="16.5" customHeight="1">
      <c r="A670" s="1"/>
      <c r="B670" s="1"/>
      <c r="C670" s="1"/>
      <c r="D670" s="8"/>
      <c r="E670" s="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"/>
      <c r="S670" s="1"/>
      <c r="T670" s="1"/>
      <c r="U670" s="1"/>
      <c r="V670" s="3"/>
      <c r="W670" s="1"/>
      <c r="X670" s="1"/>
    </row>
    <row r="671" ht="16.5" customHeight="1">
      <c r="A671" s="1"/>
      <c r="B671" s="1"/>
      <c r="C671" s="1"/>
      <c r="D671" s="8"/>
      <c r="E671" s="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"/>
      <c r="S671" s="1"/>
      <c r="T671" s="1"/>
      <c r="U671" s="1"/>
      <c r="V671" s="3"/>
      <c r="W671" s="1"/>
      <c r="X671" s="1"/>
    </row>
    <row r="672" ht="16.5" customHeight="1">
      <c r="A672" s="1"/>
      <c r="B672" s="1"/>
      <c r="C672" s="1"/>
      <c r="D672" s="8"/>
      <c r="E672" s="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"/>
      <c r="S672" s="1"/>
      <c r="T672" s="1"/>
      <c r="U672" s="1"/>
      <c r="V672" s="3"/>
      <c r="W672" s="1"/>
      <c r="X672" s="1"/>
    </row>
    <row r="673" ht="16.5" customHeight="1">
      <c r="A673" s="1"/>
      <c r="B673" s="1"/>
      <c r="C673" s="1"/>
      <c r="D673" s="8"/>
      <c r="E673" s="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"/>
      <c r="S673" s="1"/>
      <c r="T673" s="1"/>
      <c r="U673" s="1"/>
      <c r="V673" s="3"/>
      <c r="W673" s="1"/>
      <c r="X673" s="1"/>
    </row>
    <row r="674" ht="16.5" customHeight="1">
      <c r="A674" s="1"/>
      <c r="B674" s="1"/>
      <c r="C674" s="1"/>
      <c r="D674" s="8"/>
      <c r="E674" s="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"/>
      <c r="S674" s="1"/>
      <c r="T674" s="1"/>
      <c r="U674" s="1"/>
      <c r="V674" s="3"/>
      <c r="W674" s="1"/>
      <c r="X674" s="1"/>
    </row>
    <row r="675" ht="16.5" customHeight="1">
      <c r="A675" s="1"/>
      <c r="B675" s="1"/>
      <c r="C675" s="1"/>
      <c r="D675" s="8"/>
      <c r="E675" s="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"/>
      <c r="S675" s="1"/>
      <c r="T675" s="1"/>
      <c r="U675" s="1"/>
      <c r="V675" s="3"/>
      <c r="W675" s="1"/>
      <c r="X675" s="1"/>
    </row>
    <row r="676" ht="16.5" customHeight="1">
      <c r="A676" s="1"/>
      <c r="B676" s="1"/>
      <c r="C676" s="1"/>
      <c r="D676" s="8"/>
      <c r="E676" s="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"/>
      <c r="S676" s="1"/>
      <c r="T676" s="1"/>
      <c r="U676" s="1"/>
      <c r="V676" s="3"/>
      <c r="W676" s="1"/>
      <c r="X676" s="1"/>
    </row>
    <row r="677" ht="16.5" customHeight="1">
      <c r="A677" s="1"/>
      <c r="B677" s="1"/>
      <c r="C677" s="1"/>
      <c r="D677" s="8"/>
      <c r="E677" s="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"/>
      <c r="S677" s="1"/>
      <c r="T677" s="1"/>
      <c r="U677" s="1"/>
      <c r="V677" s="3"/>
      <c r="W677" s="1"/>
      <c r="X677" s="1"/>
    </row>
    <row r="678" ht="16.5" customHeight="1">
      <c r="A678" s="1"/>
      <c r="B678" s="1"/>
      <c r="C678" s="1"/>
      <c r="D678" s="8"/>
      <c r="E678" s="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"/>
      <c r="S678" s="1"/>
      <c r="T678" s="1"/>
      <c r="U678" s="1"/>
      <c r="V678" s="3"/>
      <c r="W678" s="1"/>
      <c r="X678" s="1"/>
    </row>
    <row r="679" ht="16.5" customHeight="1">
      <c r="A679" s="1"/>
      <c r="B679" s="1"/>
      <c r="C679" s="1"/>
      <c r="D679" s="8"/>
      <c r="E679" s="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"/>
      <c r="S679" s="1"/>
      <c r="T679" s="1"/>
      <c r="U679" s="1"/>
      <c r="V679" s="3"/>
      <c r="W679" s="1"/>
      <c r="X679" s="1"/>
    </row>
    <row r="680" ht="16.5" customHeight="1">
      <c r="A680" s="1"/>
      <c r="B680" s="1"/>
      <c r="C680" s="1"/>
      <c r="D680" s="8"/>
      <c r="E680" s="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"/>
      <c r="S680" s="1"/>
      <c r="T680" s="1"/>
      <c r="U680" s="1"/>
      <c r="V680" s="3"/>
      <c r="W680" s="1"/>
      <c r="X680" s="1"/>
    </row>
    <row r="681" ht="16.5" customHeight="1">
      <c r="A681" s="1"/>
      <c r="B681" s="1"/>
      <c r="C681" s="1"/>
      <c r="D681" s="8"/>
      <c r="E681" s="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"/>
      <c r="S681" s="1"/>
      <c r="T681" s="1"/>
      <c r="U681" s="1"/>
      <c r="V681" s="3"/>
      <c r="W681" s="1"/>
      <c r="X681" s="1"/>
    </row>
    <row r="682" ht="16.5" customHeight="1">
      <c r="A682" s="1"/>
      <c r="B682" s="1"/>
      <c r="C682" s="1"/>
      <c r="D682" s="8"/>
      <c r="E682" s="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"/>
      <c r="S682" s="1"/>
      <c r="T682" s="1"/>
      <c r="U682" s="1"/>
      <c r="V682" s="3"/>
      <c r="W682" s="1"/>
      <c r="X682" s="1"/>
    </row>
    <row r="683" ht="16.5" customHeight="1">
      <c r="A683" s="1"/>
      <c r="B683" s="1"/>
      <c r="C683" s="1"/>
      <c r="D683" s="8"/>
      <c r="E683" s="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"/>
      <c r="S683" s="1"/>
      <c r="T683" s="1"/>
      <c r="U683" s="1"/>
      <c r="V683" s="3"/>
      <c r="W683" s="1"/>
      <c r="X683" s="1"/>
    </row>
    <row r="684" ht="16.5" customHeight="1">
      <c r="A684" s="1"/>
      <c r="B684" s="1"/>
      <c r="C684" s="1"/>
      <c r="D684" s="8"/>
      <c r="E684" s="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"/>
      <c r="S684" s="1"/>
      <c r="T684" s="1"/>
      <c r="U684" s="1"/>
      <c r="V684" s="3"/>
      <c r="W684" s="1"/>
      <c r="X684" s="1"/>
    </row>
    <row r="685" ht="16.5" customHeight="1">
      <c r="A685" s="1"/>
      <c r="B685" s="1"/>
      <c r="C685" s="1"/>
      <c r="D685" s="8"/>
      <c r="E685" s="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"/>
      <c r="S685" s="1"/>
      <c r="T685" s="1"/>
      <c r="U685" s="1"/>
      <c r="V685" s="3"/>
      <c r="W685" s="1"/>
      <c r="X685" s="1"/>
    </row>
    <row r="686" ht="16.5" customHeight="1">
      <c r="A686" s="1"/>
      <c r="B686" s="1"/>
      <c r="C686" s="1"/>
      <c r="D686" s="8"/>
      <c r="E686" s="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"/>
      <c r="S686" s="1"/>
      <c r="T686" s="1"/>
      <c r="U686" s="1"/>
      <c r="V686" s="3"/>
      <c r="W686" s="1"/>
      <c r="X686" s="1"/>
    </row>
    <row r="687" ht="16.5" customHeight="1">
      <c r="A687" s="1"/>
      <c r="B687" s="1"/>
      <c r="C687" s="1"/>
      <c r="D687" s="8"/>
      <c r="E687" s="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"/>
      <c r="S687" s="1"/>
      <c r="T687" s="1"/>
      <c r="U687" s="1"/>
      <c r="V687" s="3"/>
      <c r="W687" s="1"/>
      <c r="X687" s="1"/>
    </row>
    <row r="688" ht="16.5" customHeight="1">
      <c r="A688" s="1"/>
      <c r="B688" s="1"/>
      <c r="C688" s="1"/>
      <c r="D688" s="8"/>
      <c r="E688" s="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"/>
      <c r="S688" s="1"/>
      <c r="T688" s="1"/>
      <c r="U688" s="1"/>
      <c r="V688" s="3"/>
      <c r="W688" s="1"/>
      <c r="X688" s="1"/>
    </row>
    <row r="689" ht="16.5" customHeight="1">
      <c r="A689" s="1"/>
      <c r="B689" s="1"/>
      <c r="C689" s="1"/>
      <c r="D689" s="8"/>
      <c r="E689" s="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"/>
      <c r="S689" s="1"/>
      <c r="T689" s="1"/>
      <c r="U689" s="1"/>
      <c r="V689" s="3"/>
      <c r="W689" s="1"/>
      <c r="X689" s="1"/>
    </row>
    <row r="690" ht="16.5" customHeight="1">
      <c r="A690" s="1"/>
      <c r="B690" s="1"/>
      <c r="C690" s="1"/>
      <c r="D690" s="8"/>
      <c r="E690" s="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"/>
      <c r="S690" s="1"/>
      <c r="T690" s="1"/>
      <c r="U690" s="1"/>
      <c r="V690" s="3"/>
      <c r="W690" s="1"/>
      <c r="X690" s="1"/>
    </row>
    <row r="691" ht="16.5" customHeight="1">
      <c r="A691" s="1"/>
      <c r="B691" s="1"/>
      <c r="C691" s="1"/>
      <c r="D691" s="8"/>
      <c r="E691" s="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"/>
      <c r="S691" s="1"/>
      <c r="T691" s="1"/>
      <c r="U691" s="1"/>
      <c r="V691" s="3"/>
      <c r="W691" s="1"/>
      <c r="X691" s="1"/>
    </row>
    <row r="692" ht="16.5" customHeight="1">
      <c r="A692" s="1"/>
      <c r="B692" s="1"/>
      <c r="C692" s="1"/>
      <c r="D692" s="8"/>
      <c r="E692" s="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"/>
      <c r="S692" s="1"/>
      <c r="T692" s="1"/>
      <c r="U692" s="1"/>
      <c r="V692" s="3"/>
      <c r="W692" s="1"/>
      <c r="X692" s="1"/>
    </row>
    <row r="693" ht="16.5" customHeight="1">
      <c r="A693" s="1"/>
      <c r="B693" s="1"/>
      <c r="C693" s="1"/>
      <c r="D693" s="8"/>
      <c r="E693" s="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"/>
      <c r="S693" s="1"/>
      <c r="T693" s="1"/>
      <c r="U693" s="1"/>
      <c r="V693" s="3"/>
      <c r="W693" s="1"/>
      <c r="X693" s="1"/>
    </row>
    <row r="694" ht="16.5" customHeight="1">
      <c r="A694" s="1"/>
      <c r="B694" s="1"/>
      <c r="C694" s="1"/>
      <c r="D694" s="8"/>
      <c r="E694" s="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"/>
      <c r="S694" s="1"/>
      <c r="T694" s="1"/>
      <c r="U694" s="1"/>
      <c r="V694" s="3"/>
      <c r="W694" s="1"/>
      <c r="X694" s="1"/>
    </row>
    <row r="695" ht="16.5" customHeight="1">
      <c r="A695" s="1"/>
      <c r="B695" s="1"/>
      <c r="C695" s="1"/>
      <c r="D695" s="8"/>
      <c r="E695" s="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"/>
      <c r="S695" s="1"/>
      <c r="T695" s="1"/>
      <c r="U695" s="1"/>
      <c r="V695" s="3"/>
      <c r="W695" s="1"/>
      <c r="X695" s="1"/>
    </row>
    <row r="696" ht="16.5" customHeight="1">
      <c r="A696" s="1"/>
      <c r="B696" s="1"/>
      <c r="C696" s="1"/>
      <c r="D696" s="8"/>
      <c r="E696" s="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"/>
      <c r="S696" s="1"/>
      <c r="T696" s="1"/>
      <c r="U696" s="1"/>
      <c r="V696" s="3"/>
      <c r="W696" s="1"/>
      <c r="X696" s="1"/>
    </row>
    <row r="697" ht="16.5" customHeight="1">
      <c r="A697" s="1"/>
      <c r="B697" s="1"/>
      <c r="C697" s="1"/>
      <c r="D697" s="8"/>
      <c r="E697" s="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"/>
      <c r="S697" s="1"/>
      <c r="T697" s="1"/>
      <c r="U697" s="1"/>
      <c r="V697" s="3"/>
      <c r="W697" s="1"/>
      <c r="X697" s="1"/>
    </row>
    <row r="698" ht="16.5" customHeight="1">
      <c r="A698" s="1"/>
      <c r="B698" s="1"/>
      <c r="C698" s="1"/>
      <c r="D698" s="8"/>
      <c r="E698" s="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"/>
      <c r="S698" s="1"/>
      <c r="T698" s="1"/>
      <c r="U698" s="1"/>
      <c r="V698" s="3"/>
      <c r="W698" s="1"/>
      <c r="X698" s="1"/>
    </row>
    <row r="699" ht="16.5" customHeight="1">
      <c r="A699" s="1"/>
      <c r="B699" s="1"/>
      <c r="C699" s="1"/>
      <c r="D699" s="8"/>
      <c r="E699" s="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"/>
      <c r="S699" s="1"/>
      <c r="T699" s="1"/>
      <c r="U699" s="1"/>
      <c r="V699" s="3"/>
      <c r="W699" s="1"/>
      <c r="X699" s="1"/>
    </row>
    <row r="700" ht="16.5" customHeight="1">
      <c r="A700" s="1"/>
      <c r="B700" s="1"/>
      <c r="C700" s="1"/>
      <c r="D700" s="8"/>
      <c r="E700" s="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"/>
      <c r="S700" s="1"/>
      <c r="T700" s="1"/>
      <c r="U700" s="1"/>
      <c r="V700" s="3"/>
      <c r="W700" s="1"/>
      <c r="X700" s="1"/>
    </row>
    <row r="701" ht="16.5" customHeight="1">
      <c r="A701" s="1"/>
      <c r="B701" s="1"/>
      <c r="C701" s="1"/>
      <c r="D701" s="8"/>
      <c r="E701" s="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"/>
      <c r="S701" s="1"/>
      <c r="T701" s="1"/>
      <c r="U701" s="1"/>
      <c r="V701" s="3"/>
      <c r="W701" s="1"/>
      <c r="X701" s="1"/>
    </row>
    <row r="702" ht="16.5" customHeight="1">
      <c r="A702" s="1"/>
      <c r="B702" s="1"/>
      <c r="C702" s="1"/>
      <c r="D702" s="8"/>
      <c r="E702" s="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"/>
      <c r="S702" s="1"/>
      <c r="T702" s="1"/>
      <c r="U702" s="1"/>
      <c r="V702" s="3"/>
      <c r="W702" s="1"/>
      <c r="X702" s="1"/>
    </row>
    <row r="703" ht="16.5" customHeight="1">
      <c r="A703" s="1"/>
      <c r="B703" s="1"/>
      <c r="C703" s="1"/>
      <c r="D703" s="8"/>
      <c r="E703" s="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"/>
      <c r="S703" s="1"/>
      <c r="T703" s="1"/>
      <c r="U703" s="1"/>
      <c r="V703" s="3"/>
      <c r="W703" s="1"/>
      <c r="X703" s="1"/>
    </row>
    <row r="704" ht="16.5" customHeight="1">
      <c r="A704" s="1"/>
      <c r="B704" s="1"/>
      <c r="C704" s="1"/>
      <c r="D704" s="8"/>
      <c r="E704" s="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"/>
      <c r="S704" s="1"/>
      <c r="T704" s="1"/>
      <c r="U704" s="1"/>
      <c r="V704" s="3"/>
      <c r="W704" s="1"/>
      <c r="X704" s="1"/>
    </row>
    <row r="705" ht="16.5" customHeight="1">
      <c r="A705" s="1"/>
      <c r="B705" s="1"/>
      <c r="C705" s="1"/>
      <c r="D705" s="8"/>
      <c r="E705" s="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"/>
      <c r="S705" s="1"/>
      <c r="T705" s="1"/>
      <c r="U705" s="1"/>
      <c r="V705" s="3"/>
      <c r="W705" s="1"/>
      <c r="X705" s="1"/>
    </row>
    <row r="706" ht="16.5" customHeight="1">
      <c r="A706" s="1"/>
      <c r="B706" s="1"/>
      <c r="C706" s="1"/>
      <c r="D706" s="8"/>
      <c r="E706" s="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"/>
      <c r="S706" s="1"/>
      <c r="T706" s="1"/>
      <c r="U706" s="1"/>
      <c r="V706" s="3"/>
      <c r="W706" s="1"/>
      <c r="X706" s="1"/>
    </row>
    <row r="707" ht="16.5" customHeight="1">
      <c r="A707" s="1"/>
      <c r="B707" s="1"/>
      <c r="C707" s="1"/>
      <c r="D707" s="8"/>
      <c r="E707" s="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"/>
      <c r="S707" s="1"/>
      <c r="T707" s="1"/>
      <c r="U707" s="1"/>
      <c r="V707" s="3"/>
      <c r="W707" s="1"/>
      <c r="X707" s="1"/>
    </row>
    <row r="708" ht="16.5" customHeight="1">
      <c r="A708" s="1"/>
      <c r="B708" s="1"/>
      <c r="C708" s="1"/>
      <c r="D708" s="8"/>
      <c r="E708" s="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"/>
      <c r="S708" s="1"/>
      <c r="T708" s="1"/>
      <c r="U708" s="1"/>
      <c r="V708" s="3"/>
      <c r="W708" s="1"/>
      <c r="X708" s="1"/>
    </row>
    <row r="709" ht="16.5" customHeight="1">
      <c r="A709" s="1"/>
      <c r="B709" s="1"/>
      <c r="C709" s="1"/>
      <c r="D709" s="8"/>
      <c r="E709" s="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"/>
      <c r="S709" s="1"/>
      <c r="T709" s="1"/>
      <c r="U709" s="1"/>
      <c r="V709" s="3"/>
      <c r="W709" s="1"/>
      <c r="X709" s="1"/>
    </row>
    <row r="710" ht="16.5" customHeight="1">
      <c r="A710" s="1"/>
      <c r="B710" s="1"/>
      <c r="C710" s="1"/>
      <c r="D710" s="8"/>
      <c r="E710" s="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"/>
      <c r="S710" s="1"/>
      <c r="T710" s="1"/>
      <c r="U710" s="1"/>
      <c r="V710" s="3"/>
      <c r="W710" s="1"/>
      <c r="X710" s="1"/>
    </row>
    <row r="711" ht="16.5" customHeight="1">
      <c r="A711" s="1"/>
      <c r="B711" s="1"/>
      <c r="C711" s="1"/>
      <c r="D711" s="8"/>
      <c r="E711" s="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"/>
      <c r="S711" s="1"/>
      <c r="T711" s="1"/>
      <c r="U711" s="1"/>
      <c r="V711" s="3"/>
      <c r="W711" s="1"/>
      <c r="X711" s="1"/>
    </row>
    <row r="712" ht="16.5" customHeight="1">
      <c r="A712" s="1"/>
      <c r="B712" s="1"/>
      <c r="C712" s="1"/>
      <c r="D712" s="8"/>
      <c r="E712" s="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"/>
      <c r="S712" s="1"/>
      <c r="T712" s="1"/>
      <c r="U712" s="1"/>
      <c r="V712" s="3"/>
      <c r="W712" s="1"/>
      <c r="X712" s="1"/>
    </row>
    <row r="713" ht="16.5" customHeight="1">
      <c r="A713" s="1"/>
      <c r="B713" s="1"/>
      <c r="C713" s="1"/>
      <c r="D713" s="8"/>
      <c r="E713" s="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"/>
      <c r="S713" s="1"/>
      <c r="T713" s="1"/>
      <c r="U713" s="1"/>
      <c r="V713" s="3"/>
      <c r="W713" s="1"/>
      <c r="X713" s="1"/>
    </row>
    <row r="714" ht="16.5" customHeight="1">
      <c r="A714" s="1"/>
      <c r="B714" s="1"/>
      <c r="C714" s="1"/>
      <c r="D714" s="8"/>
      <c r="E714" s="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"/>
      <c r="S714" s="1"/>
      <c r="T714" s="1"/>
      <c r="U714" s="1"/>
      <c r="V714" s="3"/>
      <c r="W714" s="1"/>
      <c r="X714" s="1"/>
    </row>
    <row r="715" ht="16.5" customHeight="1">
      <c r="A715" s="1"/>
      <c r="B715" s="1"/>
      <c r="C715" s="1"/>
      <c r="D715" s="8"/>
      <c r="E715" s="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"/>
      <c r="S715" s="1"/>
      <c r="T715" s="1"/>
      <c r="U715" s="1"/>
      <c r="V715" s="3"/>
      <c r="W715" s="1"/>
      <c r="X715" s="1"/>
    </row>
    <row r="716" ht="16.5" customHeight="1">
      <c r="A716" s="1"/>
      <c r="B716" s="1"/>
      <c r="C716" s="1"/>
      <c r="D716" s="8"/>
      <c r="E716" s="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"/>
      <c r="S716" s="1"/>
      <c r="T716" s="1"/>
      <c r="U716" s="1"/>
      <c r="V716" s="3"/>
      <c r="W716" s="1"/>
      <c r="X716" s="1"/>
    </row>
    <row r="717" ht="16.5" customHeight="1">
      <c r="A717" s="1"/>
      <c r="B717" s="1"/>
      <c r="C717" s="1"/>
      <c r="D717" s="8"/>
      <c r="E717" s="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"/>
      <c r="S717" s="1"/>
      <c r="T717" s="1"/>
      <c r="U717" s="1"/>
      <c r="V717" s="3"/>
      <c r="W717" s="1"/>
      <c r="X717" s="1"/>
    </row>
    <row r="718" ht="16.5" customHeight="1">
      <c r="A718" s="1"/>
      <c r="B718" s="1"/>
      <c r="C718" s="1"/>
      <c r="D718" s="8"/>
      <c r="E718" s="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"/>
      <c r="S718" s="1"/>
      <c r="T718" s="1"/>
      <c r="U718" s="1"/>
      <c r="V718" s="3"/>
      <c r="W718" s="1"/>
      <c r="X718" s="1"/>
    </row>
    <row r="719" ht="16.5" customHeight="1">
      <c r="A719" s="1"/>
      <c r="B719" s="1"/>
      <c r="C719" s="1"/>
      <c r="D719" s="8"/>
      <c r="E719" s="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"/>
      <c r="S719" s="1"/>
      <c r="T719" s="1"/>
      <c r="U719" s="1"/>
      <c r="V719" s="3"/>
      <c r="W719" s="1"/>
      <c r="X719" s="1"/>
    </row>
    <row r="720" ht="16.5" customHeight="1">
      <c r="A720" s="1"/>
      <c r="B720" s="1"/>
      <c r="C720" s="1"/>
      <c r="D720" s="8"/>
      <c r="E720" s="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"/>
      <c r="S720" s="1"/>
      <c r="T720" s="1"/>
      <c r="U720" s="1"/>
      <c r="V720" s="3"/>
      <c r="W720" s="1"/>
      <c r="X720" s="1"/>
    </row>
    <row r="721" ht="16.5" customHeight="1">
      <c r="A721" s="1"/>
      <c r="B721" s="1"/>
      <c r="C721" s="1"/>
      <c r="D721" s="8"/>
      <c r="E721" s="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"/>
      <c r="S721" s="1"/>
      <c r="T721" s="1"/>
      <c r="U721" s="1"/>
      <c r="V721" s="3"/>
      <c r="W721" s="1"/>
      <c r="X721" s="1"/>
    </row>
    <row r="722" ht="16.5" customHeight="1">
      <c r="A722" s="1"/>
      <c r="B722" s="1"/>
      <c r="C722" s="1"/>
      <c r="D722" s="8"/>
      <c r="E722" s="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"/>
      <c r="S722" s="1"/>
      <c r="T722" s="1"/>
      <c r="U722" s="1"/>
      <c r="V722" s="3"/>
      <c r="W722" s="1"/>
      <c r="X722" s="1"/>
    </row>
    <row r="723" ht="16.5" customHeight="1">
      <c r="A723" s="1"/>
      <c r="B723" s="1"/>
      <c r="C723" s="1"/>
      <c r="D723" s="8"/>
      <c r="E723" s="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"/>
      <c r="S723" s="1"/>
      <c r="T723" s="1"/>
      <c r="U723" s="1"/>
      <c r="V723" s="3"/>
      <c r="W723" s="1"/>
      <c r="X723" s="1"/>
    </row>
    <row r="724" ht="16.5" customHeight="1">
      <c r="A724" s="1"/>
      <c r="B724" s="1"/>
      <c r="C724" s="1"/>
      <c r="D724" s="8"/>
      <c r="E724" s="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"/>
      <c r="S724" s="1"/>
      <c r="T724" s="1"/>
      <c r="U724" s="1"/>
      <c r="V724" s="3"/>
      <c r="W724" s="1"/>
      <c r="X724" s="1"/>
    </row>
    <row r="725" ht="16.5" customHeight="1">
      <c r="A725" s="1"/>
      <c r="B725" s="1"/>
      <c r="C725" s="1"/>
      <c r="D725" s="8"/>
      <c r="E725" s="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"/>
      <c r="S725" s="1"/>
      <c r="T725" s="1"/>
      <c r="U725" s="1"/>
      <c r="V725" s="3"/>
      <c r="W725" s="1"/>
      <c r="X725" s="1"/>
    </row>
    <row r="726" ht="16.5" customHeight="1">
      <c r="A726" s="1"/>
      <c r="B726" s="1"/>
      <c r="C726" s="1"/>
      <c r="D726" s="8"/>
      <c r="E726" s="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"/>
      <c r="S726" s="1"/>
      <c r="T726" s="1"/>
      <c r="U726" s="1"/>
      <c r="V726" s="3"/>
      <c r="W726" s="1"/>
      <c r="X726" s="1"/>
    </row>
    <row r="727" ht="16.5" customHeight="1">
      <c r="A727" s="1"/>
      <c r="B727" s="1"/>
      <c r="C727" s="1"/>
      <c r="D727" s="8"/>
      <c r="E727" s="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"/>
      <c r="S727" s="1"/>
      <c r="T727" s="1"/>
      <c r="U727" s="1"/>
      <c r="V727" s="3"/>
      <c r="W727" s="1"/>
      <c r="X727" s="1"/>
    </row>
    <row r="728" ht="16.5" customHeight="1">
      <c r="A728" s="1"/>
      <c r="B728" s="1"/>
      <c r="C728" s="1"/>
      <c r="D728" s="8"/>
      <c r="E728" s="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"/>
      <c r="S728" s="1"/>
      <c r="T728" s="1"/>
      <c r="U728" s="1"/>
      <c r="V728" s="3"/>
      <c r="W728" s="1"/>
      <c r="X728" s="1"/>
    </row>
    <row r="729" ht="16.5" customHeight="1">
      <c r="A729" s="1"/>
      <c r="B729" s="1"/>
      <c r="C729" s="1"/>
      <c r="D729" s="8"/>
      <c r="E729" s="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"/>
      <c r="S729" s="1"/>
      <c r="T729" s="1"/>
      <c r="U729" s="1"/>
      <c r="V729" s="3"/>
      <c r="W729" s="1"/>
      <c r="X729" s="1"/>
    </row>
    <row r="730" ht="16.5" customHeight="1">
      <c r="A730" s="1"/>
      <c r="B730" s="1"/>
      <c r="C730" s="1"/>
      <c r="D730" s="8"/>
      <c r="E730" s="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"/>
      <c r="S730" s="1"/>
      <c r="T730" s="1"/>
      <c r="U730" s="1"/>
      <c r="V730" s="3"/>
      <c r="W730" s="1"/>
      <c r="X730" s="1"/>
    </row>
    <row r="731" ht="16.5" customHeight="1">
      <c r="A731" s="1"/>
      <c r="B731" s="1"/>
      <c r="C731" s="1"/>
      <c r="D731" s="8"/>
      <c r="E731" s="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"/>
      <c r="S731" s="1"/>
      <c r="T731" s="1"/>
      <c r="U731" s="1"/>
      <c r="V731" s="3"/>
      <c r="W731" s="1"/>
      <c r="X731" s="1"/>
    </row>
    <row r="732" ht="16.5" customHeight="1">
      <c r="A732" s="1"/>
      <c r="B732" s="1"/>
      <c r="C732" s="1"/>
      <c r="D732" s="8"/>
      <c r="E732" s="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"/>
      <c r="S732" s="1"/>
      <c r="T732" s="1"/>
      <c r="U732" s="1"/>
      <c r="V732" s="3"/>
      <c r="W732" s="1"/>
      <c r="X732" s="1"/>
    </row>
    <row r="733" ht="16.5" customHeight="1">
      <c r="A733" s="1"/>
      <c r="B733" s="1"/>
      <c r="C733" s="1"/>
      <c r="D733" s="8"/>
      <c r="E733" s="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"/>
      <c r="S733" s="1"/>
      <c r="T733" s="1"/>
      <c r="U733" s="1"/>
      <c r="V733" s="3"/>
      <c r="W733" s="1"/>
      <c r="X733" s="1"/>
    </row>
    <row r="734" ht="16.5" customHeight="1">
      <c r="A734" s="1"/>
      <c r="B734" s="1"/>
      <c r="C734" s="1"/>
      <c r="D734" s="8"/>
      <c r="E734" s="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"/>
      <c r="S734" s="1"/>
      <c r="T734" s="1"/>
      <c r="U734" s="1"/>
      <c r="V734" s="3"/>
      <c r="W734" s="1"/>
      <c r="X734" s="1"/>
    </row>
    <row r="735" ht="16.5" customHeight="1">
      <c r="A735" s="1"/>
      <c r="B735" s="1"/>
      <c r="C735" s="1"/>
      <c r="D735" s="8"/>
      <c r="E735" s="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"/>
      <c r="S735" s="1"/>
      <c r="T735" s="1"/>
      <c r="U735" s="1"/>
      <c r="V735" s="3"/>
      <c r="W735" s="1"/>
      <c r="X735" s="1"/>
    </row>
    <row r="736" ht="16.5" customHeight="1">
      <c r="A736" s="1"/>
      <c r="B736" s="1"/>
      <c r="C736" s="1"/>
      <c r="D736" s="8"/>
      <c r="E736" s="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"/>
      <c r="S736" s="1"/>
      <c r="T736" s="1"/>
      <c r="U736" s="1"/>
      <c r="V736" s="3"/>
      <c r="W736" s="1"/>
      <c r="X736" s="1"/>
    </row>
    <row r="737" ht="16.5" customHeight="1">
      <c r="A737" s="1"/>
      <c r="B737" s="1"/>
      <c r="C737" s="1"/>
      <c r="D737" s="8"/>
      <c r="E737" s="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"/>
      <c r="S737" s="1"/>
      <c r="T737" s="1"/>
      <c r="U737" s="1"/>
      <c r="V737" s="3"/>
      <c r="W737" s="1"/>
      <c r="X737" s="1"/>
    </row>
    <row r="738" ht="16.5" customHeight="1">
      <c r="A738" s="1"/>
      <c r="B738" s="1"/>
      <c r="C738" s="1"/>
      <c r="D738" s="8"/>
      <c r="E738" s="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"/>
      <c r="S738" s="1"/>
      <c r="T738" s="1"/>
      <c r="U738" s="1"/>
      <c r="V738" s="3"/>
      <c r="W738" s="1"/>
      <c r="X738" s="1"/>
    </row>
    <row r="739" ht="16.5" customHeight="1">
      <c r="A739" s="1"/>
      <c r="B739" s="1"/>
      <c r="C739" s="1"/>
      <c r="D739" s="8"/>
      <c r="E739" s="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"/>
      <c r="S739" s="1"/>
      <c r="T739" s="1"/>
      <c r="U739" s="1"/>
      <c r="V739" s="3"/>
      <c r="W739" s="1"/>
      <c r="X739" s="1"/>
    </row>
    <row r="740" ht="16.5" customHeight="1">
      <c r="A740" s="1"/>
      <c r="B740" s="1"/>
      <c r="C740" s="1"/>
      <c r="D740" s="8"/>
      <c r="E740" s="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"/>
      <c r="S740" s="1"/>
      <c r="T740" s="1"/>
      <c r="U740" s="1"/>
      <c r="V740" s="3"/>
      <c r="W740" s="1"/>
      <c r="X740" s="1"/>
    </row>
    <row r="741" ht="16.5" customHeight="1">
      <c r="A741" s="1"/>
      <c r="B741" s="1"/>
      <c r="C741" s="1"/>
      <c r="D741" s="8"/>
      <c r="E741" s="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"/>
      <c r="S741" s="1"/>
      <c r="T741" s="1"/>
      <c r="U741" s="1"/>
      <c r="V741" s="3"/>
      <c r="W741" s="1"/>
      <c r="X741" s="1"/>
    </row>
    <row r="742" ht="16.5" customHeight="1">
      <c r="A742" s="1"/>
      <c r="B742" s="1"/>
      <c r="C742" s="1"/>
      <c r="D742" s="8"/>
      <c r="E742" s="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"/>
      <c r="S742" s="1"/>
      <c r="T742" s="1"/>
      <c r="U742" s="1"/>
      <c r="V742" s="3"/>
      <c r="W742" s="1"/>
      <c r="X742" s="1"/>
    </row>
    <row r="743" ht="16.5" customHeight="1">
      <c r="A743" s="1"/>
      <c r="B743" s="1"/>
      <c r="C743" s="1"/>
      <c r="D743" s="8"/>
      <c r="E743" s="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"/>
      <c r="S743" s="1"/>
      <c r="T743" s="1"/>
      <c r="U743" s="1"/>
      <c r="V743" s="3"/>
      <c r="W743" s="1"/>
      <c r="X743" s="1"/>
    </row>
    <row r="744" ht="16.5" customHeight="1">
      <c r="A744" s="1"/>
      <c r="B744" s="1"/>
      <c r="C744" s="1"/>
      <c r="D744" s="8"/>
      <c r="E744" s="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"/>
      <c r="S744" s="1"/>
      <c r="T744" s="1"/>
      <c r="U744" s="1"/>
      <c r="V744" s="3"/>
      <c r="W744" s="1"/>
      <c r="X744" s="1"/>
    </row>
    <row r="745" ht="16.5" customHeight="1">
      <c r="A745" s="1"/>
      <c r="B745" s="1"/>
      <c r="C745" s="1"/>
      <c r="D745" s="8"/>
      <c r="E745" s="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"/>
      <c r="S745" s="1"/>
      <c r="T745" s="1"/>
      <c r="U745" s="1"/>
      <c r="V745" s="3"/>
      <c r="W745" s="1"/>
      <c r="X745" s="1"/>
    </row>
    <row r="746" ht="16.5" customHeight="1">
      <c r="A746" s="1"/>
      <c r="B746" s="1"/>
      <c r="C746" s="1"/>
      <c r="D746" s="8"/>
      <c r="E746" s="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"/>
      <c r="S746" s="1"/>
      <c r="T746" s="1"/>
      <c r="U746" s="1"/>
      <c r="V746" s="3"/>
      <c r="W746" s="1"/>
      <c r="X746" s="1"/>
    </row>
    <row r="747" ht="16.5" customHeight="1">
      <c r="A747" s="1"/>
      <c r="B747" s="1"/>
      <c r="C747" s="1"/>
      <c r="D747" s="8"/>
      <c r="E747" s="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"/>
      <c r="S747" s="1"/>
      <c r="T747" s="1"/>
      <c r="U747" s="1"/>
      <c r="V747" s="3"/>
      <c r="W747" s="1"/>
      <c r="X747" s="1"/>
    </row>
    <row r="748" ht="16.5" customHeight="1">
      <c r="A748" s="1"/>
      <c r="B748" s="1"/>
      <c r="C748" s="1"/>
      <c r="D748" s="8"/>
      <c r="E748" s="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"/>
      <c r="S748" s="1"/>
      <c r="T748" s="1"/>
      <c r="U748" s="1"/>
      <c r="V748" s="3"/>
      <c r="W748" s="1"/>
      <c r="X748" s="1"/>
    </row>
    <row r="749" ht="16.5" customHeight="1">
      <c r="A749" s="1"/>
      <c r="B749" s="1"/>
      <c r="C749" s="1"/>
      <c r="D749" s="8"/>
      <c r="E749" s="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"/>
      <c r="S749" s="1"/>
      <c r="T749" s="1"/>
      <c r="U749" s="1"/>
      <c r="V749" s="3"/>
      <c r="W749" s="1"/>
      <c r="X749" s="1"/>
    </row>
    <row r="750" ht="16.5" customHeight="1">
      <c r="A750" s="1"/>
      <c r="B750" s="1"/>
      <c r="C750" s="1"/>
      <c r="D750" s="8"/>
      <c r="E750" s="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"/>
      <c r="S750" s="1"/>
      <c r="T750" s="1"/>
      <c r="U750" s="1"/>
      <c r="V750" s="3"/>
      <c r="W750" s="1"/>
      <c r="X750" s="1"/>
    </row>
    <row r="751" ht="16.5" customHeight="1">
      <c r="A751" s="1"/>
      <c r="B751" s="1"/>
      <c r="C751" s="1"/>
      <c r="D751" s="8"/>
      <c r="E751" s="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"/>
      <c r="S751" s="1"/>
      <c r="T751" s="1"/>
      <c r="U751" s="1"/>
      <c r="V751" s="3"/>
      <c r="W751" s="1"/>
      <c r="X751" s="1"/>
    </row>
    <row r="752" ht="16.5" customHeight="1">
      <c r="A752" s="1"/>
      <c r="B752" s="1"/>
      <c r="C752" s="1"/>
      <c r="D752" s="8"/>
      <c r="E752" s="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"/>
      <c r="S752" s="1"/>
      <c r="T752" s="1"/>
      <c r="U752" s="1"/>
      <c r="V752" s="3"/>
      <c r="W752" s="1"/>
      <c r="X752" s="1"/>
    </row>
    <row r="753" ht="16.5" customHeight="1">
      <c r="A753" s="1"/>
      <c r="B753" s="1"/>
      <c r="C753" s="1"/>
      <c r="D753" s="8"/>
      <c r="E753" s="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"/>
      <c r="S753" s="1"/>
      <c r="T753" s="1"/>
      <c r="U753" s="1"/>
      <c r="V753" s="3"/>
      <c r="W753" s="1"/>
      <c r="X753" s="1"/>
    </row>
    <row r="754" ht="16.5" customHeight="1">
      <c r="A754" s="1"/>
      <c r="B754" s="1"/>
      <c r="C754" s="1"/>
      <c r="D754" s="8"/>
      <c r="E754" s="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"/>
      <c r="S754" s="1"/>
      <c r="T754" s="1"/>
      <c r="U754" s="1"/>
      <c r="V754" s="3"/>
      <c r="W754" s="1"/>
      <c r="X754" s="1"/>
    </row>
    <row r="755" ht="16.5" customHeight="1">
      <c r="A755" s="1"/>
      <c r="B755" s="1"/>
      <c r="C755" s="1"/>
      <c r="D755" s="8"/>
      <c r="E755" s="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"/>
      <c r="S755" s="1"/>
      <c r="T755" s="1"/>
      <c r="U755" s="1"/>
      <c r="V755" s="3"/>
      <c r="W755" s="1"/>
      <c r="X755" s="1"/>
    </row>
    <row r="756" ht="16.5" customHeight="1">
      <c r="A756" s="1"/>
      <c r="B756" s="1"/>
      <c r="C756" s="1"/>
      <c r="D756" s="8"/>
      <c r="E756" s="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"/>
      <c r="S756" s="1"/>
      <c r="T756" s="1"/>
      <c r="U756" s="1"/>
      <c r="V756" s="3"/>
      <c r="W756" s="1"/>
      <c r="X756" s="1"/>
    </row>
    <row r="757" ht="16.5" customHeight="1">
      <c r="A757" s="1"/>
      <c r="B757" s="1"/>
      <c r="C757" s="1"/>
      <c r="D757" s="8"/>
      <c r="E757" s="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"/>
      <c r="S757" s="1"/>
      <c r="T757" s="1"/>
      <c r="U757" s="1"/>
      <c r="V757" s="3"/>
      <c r="W757" s="1"/>
      <c r="X757" s="1"/>
    </row>
    <row r="758" ht="16.5" customHeight="1">
      <c r="A758" s="1"/>
      <c r="B758" s="1"/>
      <c r="C758" s="1"/>
      <c r="D758" s="8"/>
      <c r="E758" s="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"/>
      <c r="S758" s="1"/>
      <c r="T758" s="1"/>
      <c r="U758" s="1"/>
      <c r="V758" s="3"/>
      <c r="W758" s="1"/>
      <c r="X758" s="1"/>
    </row>
    <row r="759" ht="16.5" customHeight="1">
      <c r="A759" s="1"/>
      <c r="B759" s="1"/>
      <c r="C759" s="1"/>
      <c r="D759" s="8"/>
      <c r="E759" s="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"/>
      <c r="S759" s="1"/>
      <c r="T759" s="1"/>
      <c r="U759" s="1"/>
      <c r="V759" s="3"/>
      <c r="W759" s="1"/>
      <c r="X759" s="1"/>
    </row>
    <row r="760" ht="16.5" customHeight="1">
      <c r="A760" s="1"/>
      <c r="B760" s="1"/>
      <c r="C760" s="1"/>
      <c r="D760" s="8"/>
      <c r="E760" s="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"/>
      <c r="S760" s="1"/>
      <c r="T760" s="1"/>
      <c r="U760" s="1"/>
      <c r="V760" s="3"/>
      <c r="W760" s="1"/>
      <c r="X760" s="1"/>
    </row>
    <row r="761" ht="16.5" customHeight="1">
      <c r="A761" s="1"/>
      <c r="B761" s="1"/>
      <c r="C761" s="1"/>
      <c r="D761" s="8"/>
      <c r="E761" s="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"/>
      <c r="S761" s="1"/>
      <c r="T761" s="1"/>
      <c r="U761" s="1"/>
      <c r="V761" s="3"/>
      <c r="W761" s="1"/>
      <c r="X761" s="1"/>
    </row>
    <row r="762" ht="16.5" customHeight="1">
      <c r="A762" s="1"/>
      <c r="B762" s="1"/>
      <c r="C762" s="1"/>
      <c r="D762" s="8"/>
      <c r="E762" s="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"/>
      <c r="S762" s="1"/>
      <c r="T762" s="1"/>
      <c r="U762" s="1"/>
      <c r="V762" s="3"/>
      <c r="W762" s="1"/>
      <c r="X762" s="1"/>
    </row>
    <row r="763" ht="16.5" customHeight="1">
      <c r="A763" s="1"/>
      <c r="B763" s="1"/>
      <c r="C763" s="1"/>
      <c r="D763" s="8"/>
      <c r="E763" s="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"/>
      <c r="S763" s="1"/>
      <c r="T763" s="1"/>
      <c r="U763" s="1"/>
      <c r="V763" s="3"/>
      <c r="W763" s="1"/>
      <c r="X763" s="1"/>
    </row>
    <row r="764" ht="16.5" customHeight="1">
      <c r="A764" s="1"/>
      <c r="B764" s="1"/>
      <c r="C764" s="1"/>
      <c r="D764" s="8"/>
      <c r="E764" s="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"/>
      <c r="S764" s="1"/>
      <c r="T764" s="1"/>
      <c r="U764" s="1"/>
      <c r="V764" s="3"/>
      <c r="W764" s="1"/>
      <c r="X764" s="1"/>
    </row>
    <row r="765" ht="16.5" customHeight="1">
      <c r="A765" s="1"/>
      <c r="B765" s="1"/>
      <c r="C765" s="1"/>
      <c r="D765" s="8"/>
      <c r="E765" s="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"/>
      <c r="S765" s="1"/>
      <c r="T765" s="1"/>
      <c r="U765" s="1"/>
      <c r="V765" s="3"/>
      <c r="W765" s="1"/>
      <c r="X765" s="1"/>
    </row>
    <row r="766" ht="16.5" customHeight="1">
      <c r="A766" s="1"/>
      <c r="B766" s="1"/>
      <c r="C766" s="1"/>
      <c r="D766" s="8"/>
      <c r="E766" s="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"/>
      <c r="S766" s="1"/>
      <c r="T766" s="1"/>
      <c r="U766" s="1"/>
      <c r="V766" s="3"/>
      <c r="W766" s="1"/>
      <c r="X766" s="1"/>
    </row>
    <row r="767" ht="16.5" customHeight="1">
      <c r="A767" s="1"/>
      <c r="B767" s="1"/>
      <c r="C767" s="1"/>
      <c r="D767" s="8"/>
      <c r="E767" s="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"/>
      <c r="S767" s="1"/>
      <c r="T767" s="1"/>
      <c r="U767" s="1"/>
      <c r="V767" s="3"/>
      <c r="W767" s="1"/>
      <c r="X767" s="1"/>
    </row>
    <row r="768" ht="16.5" customHeight="1">
      <c r="A768" s="1"/>
      <c r="B768" s="1"/>
      <c r="C768" s="1"/>
      <c r="D768" s="8"/>
      <c r="E768" s="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"/>
      <c r="S768" s="1"/>
      <c r="T768" s="1"/>
      <c r="U768" s="1"/>
      <c r="V768" s="3"/>
      <c r="W768" s="1"/>
      <c r="X768" s="1"/>
    </row>
    <row r="769" ht="16.5" customHeight="1">
      <c r="A769" s="1"/>
      <c r="B769" s="1"/>
      <c r="C769" s="1"/>
      <c r="D769" s="8"/>
      <c r="E769" s="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"/>
      <c r="S769" s="1"/>
      <c r="T769" s="1"/>
      <c r="U769" s="1"/>
      <c r="V769" s="3"/>
      <c r="W769" s="1"/>
      <c r="X769" s="1"/>
    </row>
    <row r="770" ht="16.5" customHeight="1">
      <c r="A770" s="1"/>
      <c r="B770" s="1"/>
      <c r="C770" s="1"/>
      <c r="D770" s="8"/>
      <c r="E770" s="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"/>
      <c r="S770" s="1"/>
      <c r="T770" s="1"/>
      <c r="U770" s="1"/>
      <c r="V770" s="3"/>
      <c r="W770" s="1"/>
      <c r="X770" s="1"/>
    </row>
    <row r="771" ht="16.5" customHeight="1">
      <c r="A771" s="1"/>
      <c r="B771" s="1"/>
      <c r="C771" s="1"/>
      <c r="D771" s="8"/>
      <c r="E771" s="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"/>
      <c r="S771" s="1"/>
      <c r="T771" s="1"/>
      <c r="U771" s="1"/>
      <c r="V771" s="3"/>
      <c r="W771" s="1"/>
      <c r="X771" s="1"/>
    </row>
    <row r="772" ht="16.5" customHeight="1">
      <c r="A772" s="1"/>
      <c r="B772" s="1"/>
      <c r="C772" s="1"/>
      <c r="D772" s="8"/>
      <c r="E772" s="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"/>
      <c r="S772" s="1"/>
      <c r="T772" s="1"/>
      <c r="U772" s="1"/>
      <c r="V772" s="3"/>
      <c r="W772" s="1"/>
      <c r="X772" s="1"/>
    </row>
    <row r="773" ht="16.5" customHeight="1">
      <c r="A773" s="1"/>
      <c r="B773" s="1"/>
      <c r="C773" s="1"/>
      <c r="D773" s="8"/>
      <c r="E773" s="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"/>
      <c r="S773" s="1"/>
      <c r="T773" s="1"/>
      <c r="U773" s="1"/>
      <c r="V773" s="3"/>
      <c r="W773" s="1"/>
      <c r="X773" s="1"/>
    </row>
    <row r="774" ht="16.5" customHeight="1">
      <c r="A774" s="1"/>
      <c r="B774" s="1"/>
      <c r="C774" s="1"/>
      <c r="D774" s="8"/>
      <c r="E774" s="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"/>
      <c r="S774" s="1"/>
      <c r="T774" s="1"/>
      <c r="U774" s="1"/>
      <c r="V774" s="3"/>
      <c r="W774" s="1"/>
      <c r="X774" s="1"/>
    </row>
    <row r="775" ht="16.5" customHeight="1">
      <c r="A775" s="1"/>
      <c r="B775" s="1"/>
      <c r="C775" s="1"/>
      <c r="D775" s="8"/>
      <c r="E775" s="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"/>
      <c r="S775" s="1"/>
      <c r="T775" s="1"/>
      <c r="U775" s="1"/>
      <c r="V775" s="3"/>
      <c r="W775" s="1"/>
      <c r="X775" s="1"/>
    </row>
    <row r="776" ht="16.5" customHeight="1">
      <c r="A776" s="1"/>
      <c r="B776" s="1"/>
      <c r="C776" s="1"/>
      <c r="D776" s="8"/>
      <c r="E776" s="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"/>
      <c r="S776" s="1"/>
      <c r="T776" s="1"/>
      <c r="U776" s="1"/>
      <c r="V776" s="3"/>
      <c r="W776" s="1"/>
      <c r="X776" s="1"/>
    </row>
    <row r="777" ht="16.5" customHeight="1">
      <c r="A777" s="1"/>
      <c r="B777" s="1"/>
      <c r="C777" s="1"/>
      <c r="D777" s="8"/>
      <c r="E777" s="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"/>
      <c r="S777" s="1"/>
      <c r="T777" s="1"/>
      <c r="U777" s="1"/>
      <c r="V777" s="3"/>
      <c r="W777" s="1"/>
      <c r="X777" s="1"/>
    </row>
    <row r="778" ht="16.5" customHeight="1">
      <c r="A778" s="1"/>
      <c r="B778" s="1"/>
      <c r="C778" s="1"/>
      <c r="D778" s="8"/>
      <c r="E778" s="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"/>
      <c r="S778" s="1"/>
      <c r="T778" s="1"/>
      <c r="U778" s="1"/>
      <c r="V778" s="3"/>
      <c r="W778" s="1"/>
      <c r="X778" s="1"/>
    </row>
    <row r="779" ht="16.5" customHeight="1">
      <c r="A779" s="1"/>
      <c r="B779" s="1"/>
      <c r="C779" s="1"/>
      <c r="D779" s="8"/>
      <c r="E779" s="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"/>
      <c r="S779" s="1"/>
      <c r="T779" s="1"/>
      <c r="U779" s="1"/>
      <c r="V779" s="3"/>
      <c r="W779" s="1"/>
      <c r="X779" s="1"/>
    </row>
    <row r="780" ht="16.5" customHeight="1">
      <c r="A780" s="1"/>
      <c r="B780" s="1"/>
      <c r="C780" s="1"/>
      <c r="D780" s="8"/>
      <c r="E780" s="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"/>
      <c r="S780" s="1"/>
      <c r="T780" s="1"/>
      <c r="U780" s="1"/>
      <c r="V780" s="3"/>
      <c r="W780" s="1"/>
      <c r="X780" s="1"/>
    </row>
    <row r="781" ht="16.5" customHeight="1">
      <c r="A781" s="1"/>
      <c r="B781" s="1"/>
      <c r="C781" s="1"/>
      <c r="D781" s="8"/>
      <c r="E781" s="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"/>
      <c r="S781" s="1"/>
      <c r="T781" s="1"/>
      <c r="U781" s="1"/>
      <c r="V781" s="3"/>
      <c r="W781" s="1"/>
      <c r="X781" s="1"/>
    </row>
    <row r="782" ht="16.5" customHeight="1">
      <c r="A782" s="1"/>
      <c r="B782" s="1"/>
      <c r="C782" s="1"/>
      <c r="D782" s="8"/>
      <c r="E782" s="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"/>
      <c r="S782" s="1"/>
      <c r="T782" s="1"/>
      <c r="U782" s="1"/>
      <c r="V782" s="3"/>
      <c r="W782" s="1"/>
      <c r="X782" s="1"/>
    </row>
    <row r="783" ht="16.5" customHeight="1">
      <c r="A783" s="1"/>
      <c r="B783" s="1"/>
      <c r="C783" s="1"/>
      <c r="D783" s="8"/>
      <c r="E783" s="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"/>
      <c r="S783" s="1"/>
      <c r="T783" s="1"/>
      <c r="U783" s="1"/>
      <c r="V783" s="3"/>
      <c r="W783" s="1"/>
      <c r="X783" s="1"/>
    </row>
    <row r="784" ht="16.5" customHeight="1">
      <c r="A784" s="1"/>
      <c r="B784" s="1"/>
      <c r="C784" s="1"/>
      <c r="D784" s="8"/>
      <c r="E784" s="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"/>
      <c r="S784" s="1"/>
      <c r="T784" s="1"/>
      <c r="U784" s="1"/>
      <c r="V784" s="3"/>
      <c r="W784" s="1"/>
      <c r="X784" s="1"/>
    </row>
    <row r="785" ht="16.5" customHeight="1">
      <c r="A785" s="1"/>
      <c r="B785" s="1"/>
      <c r="C785" s="1"/>
      <c r="D785" s="8"/>
      <c r="E785" s="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"/>
      <c r="S785" s="1"/>
      <c r="T785" s="1"/>
      <c r="U785" s="1"/>
      <c r="V785" s="3"/>
      <c r="W785" s="1"/>
      <c r="X785" s="1"/>
    </row>
    <row r="786" ht="16.5" customHeight="1">
      <c r="A786" s="1"/>
      <c r="B786" s="1"/>
      <c r="C786" s="1"/>
      <c r="D786" s="8"/>
      <c r="E786" s="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"/>
      <c r="S786" s="1"/>
      <c r="T786" s="1"/>
      <c r="U786" s="1"/>
      <c r="V786" s="3"/>
      <c r="W786" s="1"/>
      <c r="X786" s="1"/>
    </row>
    <row r="787" ht="16.5" customHeight="1">
      <c r="A787" s="1"/>
      <c r="B787" s="1"/>
      <c r="C787" s="1"/>
      <c r="D787" s="8"/>
      <c r="E787" s="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"/>
      <c r="S787" s="1"/>
      <c r="T787" s="1"/>
      <c r="U787" s="1"/>
      <c r="V787" s="3"/>
      <c r="W787" s="1"/>
      <c r="X787" s="1"/>
    </row>
    <row r="788" ht="16.5" customHeight="1">
      <c r="A788" s="1"/>
      <c r="B788" s="1"/>
      <c r="C788" s="1"/>
      <c r="D788" s="8"/>
      <c r="E788" s="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"/>
      <c r="S788" s="1"/>
      <c r="T788" s="1"/>
      <c r="U788" s="1"/>
      <c r="V788" s="3"/>
      <c r="W788" s="1"/>
      <c r="X788" s="1"/>
    </row>
    <row r="789" ht="16.5" customHeight="1">
      <c r="A789" s="1"/>
      <c r="B789" s="1"/>
      <c r="C789" s="1"/>
      <c r="D789" s="8"/>
      <c r="E789" s="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"/>
      <c r="S789" s="1"/>
      <c r="T789" s="1"/>
      <c r="U789" s="1"/>
      <c r="V789" s="3"/>
      <c r="W789" s="1"/>
      <c r="X789" s="1"/>
    </row>
    <row r="790" ht="16.5" customHeight="1">
      <c r="A790" s="1"/>
      <c r="B790" s="1"/>
      <c r="C790" s="1"/>
      <c r="D790" s="8"/>
      <c r="E790" s="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"/>
      <c r="S790" s="1"/>
      <c r="T790" s="1"/>
      <c r="U790" s="1"/>
      <c r="V790" s="3"/>
      <c r="W790" s="1"/>
      <c r="X790" s="1"/>
    </row>
    <row r="791" ht="16.5" customHeight="1">
      <c r="A791" s="1"/>
      <c r="B791" s="1"/>
      <c r="C791" s="1"/>
      <c r="D791" s="8"/>
      <c r="E791" s="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"/>
      <c r="S791" s="1"/>
      <c r="T791" s="1"/>
      <c r="U791" s="1"/>
      <c r="V791" s="3"/>
      <c r="W791" s="1"/>
      <c r="X791" s="1"/>
    </row>
    <row r="792" ht="16.5" customHeight="1">
      <c r="A792" s="1"/>
      <c r="B792" s="1"/>
      <c r="C792" s="1"/>
      <c r="D792" s="8"/>
      <c r="E792" s="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"/>
      <c r="S792" s="1"/>
      <c r="T792" s="1"/>
      <c r="U792" s="1"/>
      <c r="V792" s="3"/>
      <c r="W792" s="1"/>
      <c r="X792" s="1"/>
    </row>
    <row r="793" ht="16.5" customHeight="1">
      <c r="A793" s="1"/>
      <c r="B793" s="1"/>
      <c r="C793" s="1"/>
      <c r="D793" s="8"/>
      <c r="E793" s="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"/>
      <c r="S793" s="1"/>
      <c r="T793" s="1"/>
      <c r="U793" s="1"/>
      <c r="V793" s="3"/>
      <c r="W793" s="1"/>
      <c r="X793" s="1"/>
    </row>
    <row r="794" ht="16.5" customHeight="1">
      <c r="A794" s="1"/>
      <c r="B794" s="1"/>
      <c r="C794" s="1"/>
      <c r="D794" s="8"/>
      <c r="E794" s="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"/>
      <c r="S794" s="1"/>
      <c r="T794" s="1"/>
      <c r="U794" s="1"/>
      <c r="V794" s="3"/>
      <c r="W794" s="1"/>
      <c r="X794" s="1"/>
    </row>
    <row r="795" ht="16.5" customHeight="1">
      <c r="A795" s="1"/>
      <c r="B795" s="1"/>
      <c r="C795" s="1"/>
      <c r="D795" s="8"/>
      <c r="E795" s="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"/>
      <c r="S795" s="1"/>
      <c r="T795" s="1"/>
      <c r="U795" s="1"/>
      <c r="V795" s="3"/>
      <c r="W795" s="1"/>
      <c r="X795" s="1"/>
    </row>
    <row r="796" ht="16.5" customHeight="1">
      <c r="A796" s="1"/>
      <c r="B796" s="1"/>
      <c r="C796" s="1"/>
      <c r="D796" s="8"/>
      <c r="E796" s="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"/>
      <c r="S796" s="1"/>
      <c r="T796" s="1"/>
      <c r="U796" s="1"/>
      <c r="V796" s="3"/>
      <c r="W796" s="1"/>
      <c r="X796" s="1"/>
    </row>
    <row r="797" ht="16.5" customHeight="1">
      <c r="A797" s="1"/>
      <c r="B797" s="1"/>
      <c r="C797" s="1"/>
      <c r="D797" s="8"/>
      <c r="E797" s="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"/>
      <c r="S797" s="1"/>
      <c r="T797" s="1"/>
      <c r="U797" s="1"/>
      <c r="V797" s="3"/>
      <c r="W797" s="1"/>
      <c r="X797" s="1"/>
    </row>
    <row r="798" ht="16.5" customHeight="1">
      <c r="A798" s="1"/>
      <c r="B798" s="1"/>
      <c r="C798" s="1"/>
      <c r="D798" s="8"/>
      <c r="E798" s="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"/>
      <c r="S798" s="1"/>
      <c r="T798" s="1"/>
      <c r="U798" s="1"/>
      <c r="V798" s="3"/>
      <c r="W798" s="1"/>
      <c r="X798" s="1"/>
    </row>
    <row r="799" ht="16.5" customHeight="1">
      <c r="A799" s="1"/>
      <c r="B799" s="1"/>
      <c r="C799" s="1"/>
      <c r="D799" s="8"/>
      <c r="E799" s="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"/>
      <c r="S799" s="1"/>
      <c r="T799" s="1"/>
      <c r="U799" s="1"/>
      <c r="V799" s="3"/>
      <c r="W799" s="1"/>
      <c r="X799" s="1"/>
    </row>
    <row r="800" ht="16.5" customHeight="1">
      <c r="A800" s="1"/>
      <c r="B800" s="1"/>
      <c r="C800" s="1"/>
      <c r="D800" s="8"/>
      <c r="E800" s="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"/>
      <c r="S800" s="1"/>
      <c r="T800" s="1"/>
      <c r="U800" s="1"/>
      <c r="V800" s="3"/>
      <c r="W800" s="1"/>
      <c r="X800" s="1"/>
    </row>
    <row r="801" ht="16.5" customHeight="1">
      <c r="A801" s="1"/>
      <c r="B801" s="1"/>
      <c r="C801" s="1"/>
      <c r="D801" s="8"/>
      <c r="E801" s="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"/>
      <c r="S801" s="1"/>
      <c r="T801" s="1"/>
      <c r="U801" s="1"/>
      <c r="V801" s="3"/>
      <c r="W801" s="1"/>
      <c r="X801" s="1"/>
    </row>
    <row r="802" ht="16.5" customHeight="1">
      <c r="A802" s="1"/>
      <c r="B802" s="1"/>
      <c r="C802" s="1"/>
      <c r="D802" s="8"/>
      <c r="E802" s="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"/>
      <c r="S802" s="1"/>
      <c r="T802" s="1"/>
      <c r="U802" s="1"/>
      <c r="V802" s="3"/>
      <c r="W802" s="1"/>
      <c r="X802" s="1"/>
    </row>
    <row r="803" ht="16.5" customHeight="1">
      <c r="A803" s="1"/>
      <c r="B803" s="1"/>
      <c r="C803" s="1"/>
      <c r="D803" s="8"/>
      <c r="E803" s="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"/>
      <c r="S803" s="1"/>
      <c r="T803" s="1"/>
      <c r="U803" s="1"/>
      <c r="V803" s="3"/>
      <c r="W803" s="1"/>
      <c r="X803" s="1"/>
    </row>
    <row r="804" ht="16.5" customHeight="1">
      <c r="A804" s="1"/>
      <c r="B804" s="1"/>
      <c r="C804" s="1"/>
      <c r="D804" s="8"/>
      <c r="E804" s="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"/>
      <c r="S804" s="1"/>
      <c r="T804" s="1"/>
      <c r="U804" s="1"/>
      <c r="V804" s="3"/>
      <c r="W804" s="1"/>
      <c r="X804" s="1"/>
    </row>
    <row r="805" ht="16.5" customHeight="1">
      <c r="A805" s="1"/>
      <c r="B805" s="1"/>
      <c r="C805" s="1"/>
      <c r="D805" s="8"/>
      <c r="E805" s="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"/>
      <c r="S805" s="1"/>
      <c r="T805" s="1"/>
      <c r="U805" s="1"/>
      <c r="V805" s="3"/>
      <c r="W805" s="1"/>
      <c r="X805" s="1"/>
    </row>
    <row r="806" ht="16.5" customHeight="1">
      <c r="A806" s="1"/>
      <c r="B806" s="1"/>
      <c r="C806" s="1"/>
      <c r="D806" s="8"/>
      <c r="E806" s="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"/>
      <c r="S806" s="1"/>
      <c r="T806" s="1"/>
      <c r="U806" s="1"/>
      <c r="V806" s="3"/>
      <c r="W806" s="1"/>
      <c r="X806" s="1"/>
    </row>
    <row r="807" ht="16.5" customHeight="1">
      <c r="A807" s="1"/>
      <c r="B807" s="1"/>
      <c r="C807" s="1"/>
      <c r="D807" s="8"/>
      <c r="E807" s="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"/>
      <c r="S807" s="1"/>
      <c r="T807" s="1"/>
      <c r="U807" s="1"/>
      <c r="V807" s="3"/>
      <c r="W807" s="1"/>
      <c r="X807" s="1"/>
    </row>
    <row r="808" ht="16.5" customHeight="1">
      <c r="A808" s="1"/>
      <c r="B808" s="1"/>
      <c r="C808" s="1"/>
      <c r="D808" s="8"/>
      <c r="E808" s="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"/>
      <c r="S808" s="1"/>
      <c r="T808" s="1"/>
      <c r="U808" s="1"/>
      <c r="V808" s="3"/>
      <c r="W808" s="1"/>
      <c r="X808" s="1"/>
    </row>
    <row r="809" ht="16.5" customHeight="1">
      <c r="A809" s="1"/>
      <c r="B809" s="1"/>
      <c r="C809" s="1"/>
      <c r="D809" s="8"/>
      <c r="E809" s="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"/>
      <c r="S809" s="1"/>
      <c r="T809" s="1"/>
      <c r="U809" s="1"/>
      <c r="V809" s="3"/>
      <c r="W809" s="1"/>
      <c r="X809" s="1"/>
    </row>
    <row r="810" ht="16.5" customHeight="1">
      <c r="A810" s="1"/>
      <c r="B810" s="1"/>
      <c r="C810" s="1"/>
      <c r="D810" s="8"/>
      <c r="E810" s="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"/>
      <c r="S810" s="1"/>
      <c r="T810" s="1"/>
      <c r="U810" s="1"/>
      <c r="V810" s="3"/>
      <c r="W810" s="1"/>
      <c r="X810" s="1"/>
    </row>
    <row r="811" ht="16.5" customHeight="1">
      <c r="A811" s="1"/>
      <c r="B811" s="1"/>
      <c r="C811" s="1"/>
      <c r="D811" s="8"/>
      <c r="E811" s="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"/>
      <c r="S811" s="1"/>
      <c r="T811" s="1"/>
      <c r="U811" s="1"/>
      <c r="V811" s="3"/>
      <c r="W811" s="1"/>
      <c r="X811" s="1"/>
    </row>
    <row r="812" ht="16.5" customHeight="1">
      <c r="A812" s="1"/>
      <c r="B812" s="1"/>
      <c r="C812" s="1"/>
      <c r="D812" s="8"/>
      <c r="E812" s="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"/>
      <c r="S812" s="1"/>
      <c r="T812" s="1"/>
      <c r="U812" s="1"/>
      <c r="V812" s="3"/>
      <c r="W812" s="1"/>
      <c r="X812" s="1"/>
    </row>
    <row r="813" ht="16.5" customHeight="1">
      <c r="A813" s="1"/>
      <c r="B813" s="1"/>
      <c r="C813" s="1"/>
      <c r="D813" s="8"/>
      <c r="E813" s="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"/>
      <c r="S813" s="1"/>
      <c r="T813" s="1"/>
      <c r="U813" s="1"/>
      <c r="V813" s="3"/>
      <c r="W813" s="1"/>
      <c r="X813" s="1"/>
    </row>
    <row r="814" ht="16.5" customHeight="1">
      <c r="A814" s="1"/>
      <c r="B814" s="1"/>
      <c r="C814" s="1"/>
      <c r="D814" s="8"/>
      <c r="E814" s="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"/>
      <c r="S814" s="1"/>
      <c r="T814" s="1"/>
      <c r="U814" s="1"/>
      <c r="V814" s="3"/>
      <c r="W814" s="1"/>
      <c r="X814" s="1"/>
    </row>
    <row r="815" ht="16.5" customHeight="1">
      <c r="A815" s="1"/>
      <c r="B815" s="1"/>
      <c r="C815" s="1"/>
      <c r="D815" s="8"/>
      <c r="E815" s="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"/>
      <c r="S815" s="1"/>
      <c r="T815" s="1"/>
      <c r="U815" s="1"/>
      <c r="V815" s="3"/>
      <c r="W815" s="1"/>
      <c r="X815" s="1"/>
    </row>
    <row r="816" ht="16.5" customHeight="1">
      <c r="A816" s="1"/>
      <c r="B816" s="1"/>
      <c r="C816" s="1"/>
      <c r="D816" s="8"/>
      <c r="E816" s="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"/>
      <c r="S816" s="1"/>
      <c r="T816" s="1"/>
      <c r="U816" s="1"/>
      <c r="V816" s="3"/>
      <c r="W816" s="1"/>
      <c r="X816" s="1"/>
    </row>
    <row r="817" ht="16.5" customHeight="1">
      <c r="A817" s="1"/>
      <c r="B817" s="1"/>
      <c r="C817" s="1"/>
      <c r="D817" s="8"/>
      <c r="E817" s="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"/>
      <c r="S817" s="1"/>
      <c r="T817" s="1"/>
      <c r="U817" s="1"/>
      <c r="V817" s="3"/>
      <c r="W817" s="1"/>
      <c r="X817" s="1"/>
    </row>
    <row r="818" ht="16.5" customHeight="1">
      <c r="A818" s="1"/>
      <c r="B818" s="1"/>
      <c r="C818" s="1"/>
      <c r="D818" s="8"/>
      <c r="E818" s="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"/>
      <c r="S818" s="1"/>
      <c r="T818" s="1"/>
      <c r="U818" s="1"/>
      <c r="V818" s="3"/>
      <c r="W818" s="1"/>
      <c r="X818" s="1"/>
    </row>
    <row r="819" ht="16.5" customHeight="1">
      <c r="A819" s="1"/>
      <c r="B819" s="1"/>
      <c r="C819" s="1"/>
      <c r="D819" s="8"/>
      <c r="E819" s="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"/>
      <c r="S819" s="1"/>
      <c r="T819" s="1"/>
      <c r="U819" s="1"/>
      <c r="V819" s="3"/>
      <c r="W819" s="1"/>
      <c r="X819" s="1"/>
    </row>
    <row r="820" ht="16.5" customHeight="1">
      <c r="A820" s="1"/>
      <c r="B820" s="1"/>
      <c r="C820" s="1"/>
      <c r="D820" s="8"/>
      <c r="E820" s="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"/>
      <c r="S820" s="1"/>
      <c r="T820" s="1"/>
      <c r="U820" s="1"/>
      <c r="V820" s="3"/>
      <c r="W820" s="1"/>
      <c r="X820" s="1"/>
    </row>
    <row r="821" ht="16.5" customHeight="1">
      <c r="A821" s="1"/>
      <c r="B821" s="1"/>
      <c r="C821" s="1"/>
      <c r="D821" s="8"/>
      <c r="E821" s="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"/>
      <c r="S821" s="1"/>
      <c r="T821" s="1"/>
      <c r="U821" s="1"/>
      <c r="V821" s="3"/>
      <c r="W821" s="1"/>
      <c r="X821" s="1"/>
    </row>
    <row r="822" ht="16.5" customHeight="1">
      <c r="A822" s="1"/>
      <c r="B822" s="1"/>
      <c r="C822" s="1"/>
      <c r="D822" s="8"/>
      <c r="E822" s="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"/>
      <c r="S822" s="1"/>
      <c r="T822" s="1"/>
      <c r="U822" s="1"/>
      <c r="V822" s="3"/>
      <c r="W822" s="1"/>
      <c r="X822" s="1"/>
    </row>
    <row r="823" ht="16.5" customHeight="1">
      <c r="A823" s="1"/>
      <c r="B823" s="1"/>
      <c r="C823" s="1"/>
      <c r="D823" s="8"/>
      <c r="E823" s="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"/>
      <c r="S823" s="1"/>
      <c r="T823" s="1"/>
      <c r="U823" s="1"/>
      <c r="V823" s="3"/>
      <c r="W823" s="1"/>
      <c r="X823" s="1"/>
    </row>
    <row r="824" ht="16.5" customHeight="1">
      <c r="A824" s="1"/>
      <c r="B824" s="1"/>
      <c r="C824" s="1"/>
      <c r="D824" s="8"/>
      <c r="E824" s="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"/>
      <c r="S824" s="1"/>
      <c r="T824" s="1"/>
      <c r="U824" s="1"/>
      <c r="V824" s="3"/>
      <c r="W824" s="1"/>
      <c r="X824" s="1"/>
    </row>
    <row r="825" ht="16.5" customHeight="1">
      <c r="A825" s="1"/>
      <c r="B825" s="1"/>
      <c r="C825" s="1"/>
      <c r="D825" s="8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"/>
      <c r="S825" s="1"/>
      <c r="T825" s="1"/>
      <c r="U825" s="1"/>
      <c r="V825" s="3"/>
      <c r="W825" s="1"/>
      <c r="X825" s="1"/>
    </row>
    <row r="826" ht="16.5" customHeight="1">
      <c r="A826" s="1"/>
      <c r="B826" s="1"/>
      <c r="C826" s="1"/>
      <c r="D826" s="8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"/>
      <c r="S826" s="1"/>
      <c r="T826" s="1"/>
      <c r="U826" s="1"/>
      <c r="V826" s="3"/>
      <c r="W826" s="1"/>
      <c r="X826" s="1"/>
    </row>
    <row r="827" ht="16.5" customHeight="1">
      <c r="A827" s="1"/>
      <c r="B827" s="1"/>
      <c r="C827" s="1"/>
      <c r="D827" s="8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"/>
      <c r="S827" s="1"/>
      <c r="T827" s="1"/>
      <c r="U827" s="1"/>
      <c r="V827" s="3"/>
      <c r="W827" s="1"/>
      <c r="X827" s="1"/>
    </row>
    <row r="828" ht="16.5" customHeight="1">
      <c r="A828" s="1"/>
      <c r="B828" s="1"/>
      <c r="C828" s="1"/>
      <c r="D828" s="8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"/>
      <c r="S828" s="1"/>
      <c r="T828" s="1"/>
      <c r="U828" s="1"/>
      <c r="V828" s="3"/>
      <c r="W828" s="1"/>
      <c r="X828" s="1"/>
    </row>
    <row r="829" ht="16.5" customHeight="1">
      <c r="A829" s="1"/>
      <c r="B829" s="1"/>
      <c r="C829" s="1"/>
      <c r="D829" s="8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"/>
      <c r="S829" s="1"/>
      <c r="T829" s="1"/>
      <c r="U829" s="1"/>
      <c r="V829" s="3"/>
      <c r="W829" s="1"/>
      <c r="X829" s="1"/>
    </row>
    <row r="830" ht="16.5" customHeight="1">
      <c r="A830" s="1"/>
      <c r="B830" s="1"/>
      <c r="C830" s="1"/>
      <c r="D830" s="8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"/>
      <c r="S830" s="1"/>
      <c r="T830" s="1"/>
      <c r="U830" s="1"/>
      <c r="V830" s="3"/>
      <c r="W830" s="1"/>
      <c r="X830" s="1"/>
    </row>
    <row r="831" ht="16.5" customHeight="1">
      <c r="A831" s="1"/>
      <c r="B831" s="1"/>
      <c r="C831" s="1"/>
      <c r="D831" s="8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"/>
      <c r="S831" s="1"/>
      <c r="T831" s="1"/>
      <c r="U831" s="1"/>
      <c r="V831" s="3"/>
      <c r="W831" s="1"/>
      <c r="X831" s="1"/>
    </row>
    <row r="832" ht="16.5" customHeight="1">
      <c r="A832" s="1"/>
      <c r="B832" s="1"/>
      <c r="C832" s="1"/>
      <c r="D832" s="8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"/>
      <c r="S832" s="1"/>
      <c r="T832" s="1"/>
      <c r="U832" s="1"/>
      <c r="V832" s="3"/>
      <c r="W832" s="1"/>
      <c r="X832" s="1"/>
    </row>
    <row r="833" ht="16.5" customHeight="1">
      <c r="A833" s="1"/>
      <c r="B833" s="1"/>
      <c r="C833" s="1"/>
      <c r="D833" s="8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"/>
      <c r="S833" s="1"/>
      <c r="T833" s="1"/>
      <c r="U833" s="1"/>
      <c r="V833" s="3"/>
      <c r="W833" s="1"/>
      <c r="X833" s="1"/>
    </row>
    <row r="834" ht="16.5" customHeight="1">
      <c r="A834" s="1"/>
      <c r="B834" s="1"/>
      <c r="C834" s="1"/>
      <c r="D834" s="8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"/>
      <c r="S834" s="1"/>
      <c r="T834" s="1"/>
      <c r="U834" s="1"/>
      <c r="V834" s="3"/>
      <c r="W834" s="1"/>
      <c r="X834" s="1"/>
    </row>
    <row r="835" ht="16.5" customHeight="1">
      <c r="A835" s="1"/>
      <c r="B835" s="1"/>
      <c r="C835" s="1"/>
      <c r="D835" s="8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"/>
      <c r="S835" s="1"/>
      <c r="T835" s="1"/>
      <c r="U835" s="1"/>
      <c r="V835" s="3"/>
      <c r="W835" s="1"/>
      <c r="X835" s="1"/>
    </row>
    <row r="836" ht="16.5" customHeight="1">
      <c r="A836" s="1"/>
      <c r="B836" s="1"/>
      <c r="C836" s="1"/>
      <c r="D836" s="8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"/>
      <c r="S836" s="1"/>
      <c r="T836" s="1"/>
      <c r="U836" s="1"/>
      <c r="V836" s="3"/>
      <c r="W836" s="1"/>
      <c r="X836" s="1"/>
    </row>
    <row r="837" ht="16.5" customHeight="1">
      <c r="A837" s="1"/>
      <c r="B837" s="1"/>
      <c r="C837" s="1"/>
      <c r="D837" s="8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"/>
      <c r="S837" s="1"/>
      <c r="T837" s="1"/>
      <c r="U837" s="1"/>
      <c r="V837" s="3"/>
      <c r="W837" s="1"/>
      <c r="X837" s="1"/>
    </row>
    <row r="838" ht="16.5" customHeight="1">
      <c r="A838" s="1"/>
      <c r="B838" s="1"/>
      <c r="C838" s="1"/>
      <c r="D838" s="8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"/>
      <c r="S838" s="1"/>
      <c r="T838" s="1"/>
      <c r="U838" s="1"/>
      <c r="V838" s="3"/>
      <c r="W838" s="1"/>
      <c r="X838" s="1"/>
    </row>
    <row r="839" ht="16.5" customHeight="1">
      <c r="A839" s="1"/>
      <c r="B839" s="1"/>
      <c r="C839" s="1"/>
      <c r="D839" s="8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"/>
      <c r="S839" s="1"/>
      <c r="T839" s="1"/>
      <c r="U839" s="1"/>
      <c r="V839" s="3"/>
      <c r="W839" s="1"/>
      <c r="X839" s="1"/>
    </row>
    <row r="840" ht="16.5" customHeight="1">
      <c r="A840" s="1"/>
      <c r="B840" s="1"/>
      <c r="C840" s="1"/>
      <c r="D840" s="8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"/>
      <c r="S840" s="1"/>
      <c r="T840" s="1"/>
      <c r="U840" s="1"/>
      <c r="V840" s="3"/>
      <c r="W840" s="1"/>
      <c r="X840" s="1"/>
    </row>
    <row r="841" ht="16.5" customHeight="1">
      <c r="A841" s="1"/>
      <c r="B841" s="1"/>
      <c r="C841" s="1"/>
      <c r="D841" s="8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"/>
      <c r="S841" s="1"/>
      <c r="T841" s="1"/>
      <c r="U841" s="1"/>
      <c r="V841" s="3"/>
      <c r="W841" s="1"/>
      <c r="X841" s="1"/>
    </row>
    <row r="842" ht="16.5" customHeight="1">
      <c r="A842" s="1"/>
      <c r="B842" s="1"/>
      <c r="C842" s="1"/>
      <c r="D842" s="8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"/>
      <c r="S842" s="1"/>
      <c r="T842" s="1"/>
      <c r="U842" s="1"/>
      <c r="V842" s="3"/>
      <c r="W842" s="1"/>
      <c r="X842" s="1"/>
    </row>
    <row r="843" ht="16.5" customHeight="1">
      <c r="A843" s="1"/>
      <c r="B843" s="1"/>
      <c r="C843" s="1"/>
      <c r="D843" s="8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"/>
      <c r="S843" s="1"/>
      <c r="T843" s="1"/>
      <c r="U843" s="1"/>
      <c r="V843" s="3"/>
      <c r="W843" s="1"/>
      <c r="X843" s="1"/>
    </row>
    <row r="844" ht="16.5" customHeight="1">
      <c r="A844" s="1"/>
      <c r="B844" s="1"/>
      <c r="C844" s="1"/>
      <c r="D844" s="8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"/>
      <c r="S844" s="1"/>
      <c r="T844" s="1"/>
      <c r="U844" s="1"/>
      <c r="V844" s="3"/>
      <c r="W844" s="1"/>
      <c r="X844" s="1"/>
    </row>
    <row r="845" ht="16.5" customHeight="1">
      <c r="A845" s="1"/>
      <c r="B845" s="1"/>
      <c r="C845" s="1"/>
      <c r="D845" s="8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"/>
      <c r="S845" s="1"/>
      <c r="T845" s="1"/>
      <c r="U845" s="1"/>
      <c r="V845" s="3"/>
      <c r="W845" s="1"/>
      <c r="X845" s="1"/>
    </row>
    <row r="846" ht="16.5" customHeight="1">
      <c r="A846" s="1"/>
      <c r="B846" s="1"/>
      <c r="C846" s="1"/>
      <c r="D846" s="8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"/>
      <c r="S846" s="1"/>
      <c r="T846" s="1"/>
      <c r="U846" s="1"/>
      <c r="V846" s="3"/>
      <c r="W846" s="1"/>
      <c r="X846" s="1"/>
    </row>
    <row r="847" ht="16.5" customHeight="1">
      <c r="A847" s="1"/>
      <c r="B847" s="1"/>
      <c r="C847" s="1"/>
      <c r="D847" s="8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"/>
      <c r="S847" s="1"/>
      <c r="T847" s="1"/>
      <c r="U847" s="1"/>
      <c r="V847" s="3"/>
      <c r="W847" s="1"/>
      <c r="X847" s="1"/>
    </row>
    <row r="848" ht="16.5" customHeight="1">
      <c r="A848" s="1"/>
      <c r="B848" s="1"/>
      <c r="C848" s="1"/>
      <c r="D848" s="8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"/>
      <c r="S848" s="1"/>
      <c r="T848" s="1"/>
      <c r="U848" s="1"/>
      <c r="V848" s="3"/>
      <c r="W848" s="1"/>
      <c r="X848" s="1"/>
    </row>
    <row r="849" ht="16.5" customHeight="1">
      <c r="A849" s="1"/>
      <c r="B849" s="1"/>
      <c r="C849" s="1"/>
      <c r="D849" s="8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"/>
      <c r="S849" s="1"/>
      <c r="T849" s="1"/>
      <c r="U849" s="1"/>
      <c r="V849" s="3"/>
      <c r="W849" s="1"/>
      <c r="X849" s="1"/>
    </row>
    <row r="850" ht="16.5" customHeight="1">
      <c r="A850" s="1"/>
      <c r="B850" s="1"/>
      <c r="C850" s="1"/>
      <c r="D850" s="8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"/>
      <c r="S850" s="1"/>
      <c r="T850" s="1"/>
      <c r="U850" s="1"/>
      <c r="V850" s="3"/>
      <c r="W850" s="1"/>
      <c r="X850" s="1"/>
    </row>
    <row r="851" ht="16.5" customHeight="1">
      <c r="A851" s="1"/>
      <c r="B851" s="1"/>
      <c r="C851" s="1"/>
      <c r="D851" s="8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"/>
      <c r="S851" s="1"/>
      <c r="T851" s="1"/>
      <c r="U851" s="1"/>
      <c r="V851" s="3"/>
      <c r="W851" s="1"/>
      <c r="X851" s="1"/>
    </row>
    <row r="852" ht="16.5" customHeight="1">
      <c r="A852" s="1"/>
      <c r="B852" s="1"/>
      <c r="C852" s="1"/>
      <c r="D852" s="8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"/>
      <c r="S852" s="1"/>
      <c r="T852" s="1"/>
      <c r="U852" s="1"/>
      <c r="V852" s="3"/>
      <c r="W852" s="1"/>
      <c r="X852" s="1"/>
    </row>
    <row r="853" ht="16.5" customHeight="1">
      <c r="A853" s="1"/>
      <c r="B853" s="1"/>
      <c r="C853" s="1"/>
      <c r="D853" s="8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"/>
      <c r="S853" s="1"/>
      <c r="T853" s="1"/>
      <c r="U853" s="1"/>
      <c r="V853" s="3"/>
      <c r="W853" s="1"/>
      <c r="X853" s="1"/>
    </row>
    <row r="854" ht="16.5" customHeight="1">
      <c r="A854" s="1"/>
      <c r="B854" s="1"/>
      <c r="C854" s="1"/>
      <c r="D854" s="8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"/>
      <c r="S854" s="1"/>
      <c r="T854" s="1"/>
      <c r="U854" s="1"/>
      <c r="V854" s="3"/>
      <c r="W854" s="1"/>
      <c r="X854" s="1"/>
    </row>
    <row r="855" ht="16.5" customHeight="1">
      <c r="A855" s="1"/>
      <c r="B855" s="1"/>
      <c r="C855" s="1"/>
      <c r="D855" s="8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"/>
      <c r="S855" s="1"/>
      <c r="T855" s="1"/>
      <c r="U855" s="1"/>
      <c r="V855" s="3"/>
      <c r="W855" s="1"/>
      <c r="X855" s="1"/>
    </row>
    <row r="856" ht="16.5" customHeight="1">
      <c r="A856" s="1"/>
      <c r="B856" s="1"/>
      <c r="C856" s="1"/>
      <c r="D856" s="8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"/>
      <c r="S856" s="1"/>
      <c r="T856" s="1"/>
      <c r="U856" s="1"/>
      <c r="V856" s="3"/>
      <c r="W856" s="1"/>
      <c r="X856" s="1"/>
    </row>
    <row r="857" ht="16.5" customHeight="1">
      <c r="A857" s="1"/>
      <c r="B857" s="1"/>
      <c r="C857" s="1"/>
      <c r="D857" s="8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"/>
      <c r="S857" s="1"/>
      <c r="T857" s="1"/>
      <c r="U857" s="1"/>
      <c r="V857" s="3"/>
      <c r="W857" s="1"/>
      <c r="X857" s="1"/>
    </row>
    <row r="858" ht="16.5" customHeight="1">
      <c r="A858" s="1"/>
      <c r="B858" s="1"/>
      <c r="C858" s="1"/>
      <c r="D858" s="8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"/>
      <c r="S858" s="1"/>
      <c r="T858" s="1"/>
      <c r="U858" s="1"/>
      <c r="V858" s="3"/>
      <c r="W858" s="1"/>
      <c r="X858" s="1"/>
    </row>
    <row r="859" ht="16.5" customHeight="1">
      <c r="A859" s="1"/>
      <c r="B859" s="1"/>
      <c r="C859" s="1"/>
      <c r="D859" s="8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"/>
      <c r="S859" s="1"/>
      <c r="T859" s="1"/>
      <c r="U859" s="1"/>
      <c r="V859" s="3"/>
      <c r="W859" s="1"/>
      <c r="X859" s="1"/>
    </row>
    <row r="860" ht="16.5" customHeight="1">
      <c r="A860" s="1"/>
      <c r="B860" s="1"/>
      <c r="C860" s="1"/>
      <c r="D860" s="8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"/>
      <c r="S860" s="1"/>
      <c r="T860" s="1"/>
      <c r="U860" s="1"/>
      <c r="V860" s="3"/>
      <c r="W860" s="1"/>
      <c r="X860" s="1"/>
    </row>
    <row r="861" ht="16.5" customHeight="1">
      <c r="A861" s="1"/>
      <c r="B861" s="1"/>
      <c r="C861" s="1"/>
      <c r="D861" s="8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"/>
      <c r="S861" s="1"/>
      <c r="T861" s="1"/>
      <c r="U861" s="1"/>
      <c r="V861" s="3"/>
      <c r="W861" s="1"/>
      <c r="X861" s="1"/>
    </row>
    <row r="862" ht="16.5" customHeight="1">
      <c r="A862" s="1"/>
      <c r="B862" s="1"/>
      <c r="C862" s="1"/>
      <c r="D862" s="8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"/>
      <c r="S862" s="1"/>
      <c r="T862" s="1"/>
      <c r="U862" s="1"/>
      <c r="V862" s="3"/>
      <c r="W862" s="1"/>
      <c r="X862" s="1"/>
    </row>
    <row r="863" ht="16.5" customHeight="1">
      <c r="A863" s="1"/>
      <c r="B863" s="1"/>
      <c r="C863" s="1"/>
      <c r="D863" s="8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"/>
      <c r="S863" s="1"/>
      <c r="T863" s="1"/>
      <c r="U863" s="1"/>
      <c r="V863" s="3"/>
      <c r="W863" s="1"/>
      <c r="X863" s="1"/>
    </row>
    <row r="864" ht="16.5" customHeight="1">
      <c r="A864" s="1"/>
      <c r="B864" s="1"/>
      <c r="C864" s="1"/>
      <c r="D864" s="8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"/>
      <c r="S864" s="1"/>
      <c r="T864" s="1"/>
      <c r="U864" s="1"/>
      <c r="V864" s="3"/>
      <c r="W864" s="1"/>
      <c r="X864" s="1"/>
    </row>
    <row r="865" ht="16.5" customHeight="1">
      <c r="A865" s="1"/>
      <c r="B865" s="1"/>
      <c r="C865" s="1"/>
      <c r="D865" s="8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"/>
      <c r="S865" s="1"/>
      <c r="T865" s="1"/>
      <c r="U865" s="1"/>
      <c r="V865" s="3"/>
      <c r="W865" s="1"/>
      <c r="X865" s="1"/>
    </row>
    <row r="866" ht="16.5" customHeight="1">
      <c r="A866" s="1"/>
      <c r="B866" s="1"/>
      <c r="C866" s="1"/>
      <c r="D866" s="8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"/>
      <c r="S866" s="1"/>
      <c r="T866" s="1"/>
      <c r="U866" s="1"/>
      <c r="V866" s="3"/>
      <c r="W866" s="1"/>
      <c r="X866" s="1"/>
    </row>
    <row r="867" ht="16.5" customHeight="1">
      <c r="A867" s="1"/>
      <c r="B867" s="1"/>
      <c r="C867" s="1"/>
      <c r="D867" s="8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"/>
      <c r="S867" s="1"/>
      <c r="T867" s="1"/>
      <c r="U867" s="1"/>
      <c r="V867" s="3"/>
      <c r="W867" s="1"/>
      <c r="X867" s="1"/>
    </row>
    <row r="868" ht="16.5" customHeight="1">
      <c r="A868" s="1"/>
      <c r="B868" s="1"/>
      <c r="C868" s="1"/>
      <c r="D868" s="8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"/>
      <c r="S868" s="1"/>
      <c r="T868" s="1"/>
      <c r="U868" s="1"/>
      <c r="V868" s="3"/>
      <c r="W868" s="1"/>
      <c r="X868" s="1"/>
    </row>
    <row r="869" ht="16.5" customHeight="1">
      <c r="A869" s="1"/>
      <c r="B869" s="1"/>
      <c r="C869" s="1"/>
      <c r="D869" s="8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"/>
      <c r="S869" s="1"/>
      <c r="T869" s="1"/>
      <c r="U869" s="1"/>
      <c r="V869" s="3"/>
      <c r="W869" s="1"/>
      <c r="X869" s="1"/>
    </row>
    <row r="870" ht="16.5" customHeight="1">
      <c r="A870" s="1"/>
      <c r="B870" s="1"/>
      <c r="C870" s="1"/>
      <c r="D870" s="8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"/>
      <c r="S870" s="1"/>
      <c r="T870" s="1"/>
      <c r="U870" s="1"/>
      <c r="V870" s="3"/>
      <c r="W870" s="1"/>
      <c r="X870" s="1"/>
    </row>
    <row r="871" ht="16.5" customHeight="1">
      <c r="A871" s="1"/>
      <c r="B871" s="1"/>
      <c r="C871" s="1"/>
      <c r="D871" s="8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"/>
      <c r="S871" s="1"/>
      <c r="T871" s="1"/>
      <c r="U871" s="1"/>
      <c r="V871" s="3"/>
      <c r="W871" s="1"/>
      <c r="X871" s="1"/>
    </row>
    <row r="872" ht="16.5" customHeight="1">
      <c r="A872" s="1"/>
      <c r="B872" s="1"/>
      <c r="C872" s="1"/>
      <c r="D872" s="8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"/>
      <c r="S872" s="1"/>
      <c r="T872" s="1"/>
      <c r="U872" s="1"/>
      <c r="V872" s="3"/>
      <c r="W872" s="1"/>
      <c r="X872" s="1"/>
    </row>
    <row r="873" ht="16.5" customHeight="1">
      <c r="A873" s="1"/>
      <c r="B873" s="1"/>
      <c r="C873" s="1"/>
      <c r="D873" s="8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"/>
      <c r="S873" s="1"/>
      <c r="T873" s="1"/>
      <c r="U873" s="1"/>
      <c r="V873" s="3"/>
      <c r="W873" s="1"/>
      <c r="X873" s="1"/>
    </row>
    <row r="874" ht="16.5" customHeight="1">
      <c r="A874" s="1"/>
      <c r="B874" s="1"/>
      <c r="C874" s="1"/>
      <c r="D874" s="8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"/>
      <c r="S874" s="1"/>
      <c r="T874" s="1"/>
      <c r="U874" s="1"/>
      <c r="V874" s="3"/>
      <c r="W874" s="1"/>
      <c r="X874" s="1"/>
    </row>
    <row r="875" ht="16.5" customHeight="1">
      <c r="A875" s="1"/>
      <c r="B875" s="1"/>
      <c r="C875" s="1"/>
      <c r="D875" s="8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"/>
      <c r="S875" s="1"/>
      <c r="T875" s="1"/>
      <c r="U875" s="1"/>
      <c r="V875" s="3"/>
      <c r="W875" s="1"/>
      <c r="X875" s="1"/>
    </row>
    <row r="876" ht="16.5" customHeight="1">
      <c r="A876" s="1"/>
      <c r="B876" s="1"/>
      <c r="C876" s="1"/>
      <c r="D876" s="8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"/>
      <c r="S876" s="1"/>
      <c r="T876" s="1"/>
      <c r="U876" s="1"/>
      <c r="V876" s="3"/>
      <c r="W876" s="1"/>
      <c r="X876" s="1"/>
    </row>
    <row r="877" ht="16.5" customHeight="1">
      <c r="A877" s="1"/>
      <c r="B877" s="1"/>
      <c r="C877" s="1"/>
      <c r="D877" s="8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"/>
      <c r="S877" s="1"/>
      <c r="T877" s="1"/>
      <c r="U877" s="1"/>
      <c r="V877" s="3"/>
      <c r="W877" s="1"/>
      <c r="X877" s="1"/>
    </row>
    <row r="878" ht="16.5" customHeight="1">
      <c r="A878" s="1"/>
      <c r="B878" s="1"/>
      <c r="C878" s="1"/>
      <c r="D878" s="8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"/>
      <c r="S878" s="1"/>
      <c r="T878" s="1"/>
      <c r="U878" s="1"/>
      <c r="V878" s="3"/>
      <c r="W878" s="1"/>
      <c r="X878" s="1"/>
    </row>
    <row r="879" ht="16.5" customHeight="1">
      <c r="A879" s="1"/>
      <c r="B879" s="1"/>
      <c r="C879" s="1"/>
      <c r="D879" s="8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"/>
      <c r="S879" s="1"/>
      <c r="T879" s="1"/>
      <c r="U879" s="1"/>
      <c r="V879" s="3"/>
      <c r="W879" s="1"/>
      <c r="X879" s="1"/>
    </row>
    <row r="880" ht="16.5" customHeight="1">
      <c r="A880" s="1"/>
      <c r="B880" s="1"/>
      <c r="C880" s="1"/>
      <c r="D880" s="8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"/>
      <c r="S880" s="1"/>
      <c r="T880" s="1"/>
      <c r="U880" s="1"/>
      <c r="V880" s="3"/>
      <c r="W880" s="1"/>
      <c r="X880" s="1"/>
    </row>
    <row r="881" ht="16.5" customHeight="1">
      <c r="A881" s="1"/>
      <c r="B881" s="1"/>
      <c r="C881" s="1"/>
      <c r="D881" s="8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"/>
      <c r="S881" s="1"/>
      <c r="T881" s="1"/>
      <c r="U881" s="1"/>
      <c r="V881" s="3"/>
      <c r="W881" s="1"/>
      <c r="X881" s="1"/>
    </row>
    <row r="882" ht="16.5" customHeight="1">
      <c r="A882" s="1"/>
      <c r="B882" s="1"/>
      <c r="C882" s="1"/>
      <c r="D882" s="8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"/>
      <c r="S882" s="1"/>
      <c r="T882" s="1"/>
      <c r="U882" s="1"/>
      <c r="V882" s="3"/>
      <c r="W882" s="1"/>
      <c r="X882" s="1"/>
    </row>
    <row r="883" ht="16.5" customHeight="1">
      <c r="A883" s="1"/>
      <c r="B883" s="1"/>
      <c r="C883" s="1"/>
      <c r="D883" s="8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"/>
      <c r="S883" s="1"/>
      <c r="T883" s="1"/>
      <c r="U883" s="1"/>
      <c r="V883" s="3"/>
      <c r="W883" s="1"/>
      <c r="X883" s="1"/>
    </row>
    <row r="884" ht="16.5" customHeight="1">
      <c r="A884" s="1"/>
      <c r="B884" s="1"/>
      <c r="C884" s="1"/>
      <c r="D884" s="8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"/>
      <c r="S884" s="1"/>
      <c r="T884" s="1"/>
      <c r="U884" s="1"/>
      <c r="V884" s="3"/>
      <c r="W884" s="1"/>
      <c r="X884" s="1"/>
    </row>
    <row r="885" ht="16.5" customHeight="1">
      <c r="A885" s="1"/>
      <c r="B885" s="1"/>
      <c r="C885" s="1"/>
      <c r="D885" s="8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"/>
      <c r="S885" s="1"/>
      <c r="T885" s="1"/>
      <c r="U885" s="1"/>
      <c r="V885" s="3"/>
      <c r="W885" s="1"/>
      <c r="X885" s="1"/>
    </row>
    <row r="886" ht="16.5" customHeight="1">
      <c r="A886" s="1"/>
      <c r="B886" s="1"/>
      <c r="C886" s="1"/>
      <c r="D886" s="8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"/>
      <c r="S886" s="1"/>
      <c r="T886" s="1"/>
      <c r="U886" s="1"/>
      <c r="V886" s="3"/>
      <c r="W886" s="1"/>
      <c r="X886" s="1"/>
    </row>
    <row r="887" ht="16.5" customHeight="1">
      <c r="A887" s="1"/>
      <c r="B887" s="1"/>
      <c r="C887" s="1"/>
      <c r="D887" s="8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"/>
      <c r="S887" s="1"/>
      <c r="T887" s="1"/>
      <c r="U887" s="1"/>
      <c r="V887" s="3"/>
      <c r="W887" s="1"/>
      <c r="X887" s="1"/>
    </row>
    <row r="888" ht="16.5" customHeight="1">
      <c r="A888" s="1"/>
      <c r="B888" s="1"/>
      <c r="C888" s="1"/>
      <c r="D888" s="8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"/>
      <c r="S888" s="1"/>
      <c r="T888" s="1"/>
      <c r="U888" s="1"/>
      <c r="V888" s="3"/>
      <c r="W888" s="1"/>
      <c r="X888" s="1"/>
    </row>
    <row r="889" ht="16.5" customHeight="1">
      <c r="A889" s="1"/>
      <c r="B889" s="1"/>
      <c r="C889" s="1"/>
      <c r="D889" s="8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"/>
      <c r="S889" s="1"/>
      <c r="T889" s="1"/>
      <c r="U889" s="1"/>
      <c r="V889" s="3"/>
      <c r="W889" s="1"/>
      <c r="X889" s="1"/>
    </row>
    <row r="890" ht="16.5" customHeight="1">
      <c r="A890" s="1"/>
      <c r="B890" s="1"/>
      <c r="C890" s="1"/>
      <c r="D890" s="8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"/>
      <c r="S890" s="1"/>
      <c r="T890" s="1"/>
      <c r="U890" s="1"/>
      <c r="V890" s="3"/>
      <c r="W890" s="1"/>
      <c r="X890" s="1"/>
    </row>
    <row r="891" ht="16.5" customHeight="1">
      <c r="A891" s="1"/>
      <c r="B891" s="1"/>
      <c r="C891" s="1"/>
      <c r="D891" s="8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"/>
      <c r="S891" s="1"/>
      <c r="T891" s="1"/>
      <c r="U891" s="1"/>
      <c r="V891" s="3"/>
      <c r="W891" s="1"/>
      <c r="X891" s="1"/>
    </row>
    <row r="892" ht="16.5" customHeight="1">
      <c r="A892" s="1"/>
      <c r="B892" s="1"/>
      <c r="C892" s="1"/>
      <c r="D892" s="8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"/>
      <c r="S892" s="1"/>
      <c r="T892" s="1"/>
      <c r="U892" s="1"/>
      <c r="V892" s="3"/>
      <c r="W892" s="1"/>
      <c r="X892" s="1"/>
    </row>
    <row r="893" ht="16.5" customHeight="1">
      <c r="A893" s="1"/>
      <c r="B893" s="1"/>
      <c r="C893" s="1"/>
      <c r="D893" s="8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"/>
      <c r="S893" s="1"/>
      <c r="T893" s="1"/>
      <c r="U893" s="1"/>
      <c r="V893" s="3"/>
      <c r="W893" s="1"/>
      <c r="X893" s="1"/>
    </row>
    <row r="894" ht="16.5" customHeight="1">
      <c r="A894" s="1"/>
      <c r="B894" s="1"/>
      <c r="C894" s="1"/>
      <c r="D894" s="8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"/>
      <c r="S894" s="1"/>
      <c r="T894" s="1"/>
      <c r="U894" s="1"/>
      <c r="V894" s="3"/>
      <c r="W894" s="1"/>
      <c r="X894" s="1"/>
    </row>
    <row r="895" ht="16.5" customHeight="1">
      <c r="A895" s="1"/>
      <c r="B895" s="1"/>
      <c r="C895" s="1"/>
      <c r="D895" s="8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"/>
      <c r="S895" s="1"/>
      <c r="T895" s="1"/>
      <c r="U895" s="1"/>
      <c r="V895" s="3"/>
      <c r="W895" s="1"/>
      <c r="X895" s="1"/>
    </row>
    <row r="896" ht="16.5" customHeight="1">
      <c r="A896" s="1"/>
      <c r="B896" s="1"/>
      <c r="C896" s="1"/>
      <c r="D896" s="8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"/>
      <c r="S896" s="1"/>
      <c r="T896" s="1"/>
      <c r="U896" s="1"/>
      <c r="V896" s="3"/>
      <c r="W896" s="1"/>
      <c r="X896" s="1"/>
    </row>
    <row r="897" ht="16.5" customHeight="1">
      <c r="A897" s="1"/>
      <c r="B897" s="1"/>
      <c r="C897" s="1"/>
      <c r="D897" s="8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"/>
      <c r="S897" s="1"/>
      <c r="T897" s="1"/>
      <c r="U897" s="1"/>
      <c r="V897" s="3"/>
      <c r="W897" s="1"/>
      <c r="X897" s="1"/>
    </row>
    <row r="898" ht="16.5" customHeight="1">
      <c r="A898" s="1"/>
      <c r="B898" s="1"/>
      <c r="C898" s="1"/>
      <c r="D898" s="8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"/>
      <c r="S898" s="1"/>
      <c r="T898" s="1"/>
      <c r="U898" s="1"/>
      <c r="V898" s="3"/>
      <c r="W898" s="1"/>
      <c r="X898" s="1"/>
    </row>
    <row r="899" ht="16.5" customHeight="1">
      <c r="A899" s="1"/>
      <c r="B899" s="1"/>
      <c r="C899" s="1"/>
      <c r="D899" s="8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"/>
      <c r="S899" s="1"/>
      <c r="T899" s="1"/>
      <c r="U899" s="1"/>
      <c r="V899" s="3"/>
      <c r="W899" s="1"/>
      <c r="X899" s="1"/>
    </row>
    <row r="900" ht="16.5" customHeight="1">
      <c r="A900" s="1"/>
      <c r="B900" s="1"/>
      <c r="C900" s="1"/>
      <c r="D900" s="8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"/>
      <c r="S900" s="1"/>
      <c r="T900" s="1"/>
      <c r="U900" s="1"/>
      <c r="V900" s="3"/>
      <c r="W900" s="1"/>
      <c r="X900" s="1"/>
    </row>
    <row r="901" ht="16.5" customHeight="1">
      <c r="A901" s="1"/>
      <c r="B901" s="1"/>
      <c r="C901" s="1"/>
      <c r="D901" s="8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"/>
      <c r="S901" s="1"/>
      <c r="T901" s="1"/>
      <c r="U901" s="1"/>
      <c r="V901" s="3"/>
      <c r="W901" s="1"/>
      <c r="X901" s="1"/>
    </row>
    <row r="902" ht="16.5" customHeight="1">
      <c r="A902" s="1"/>
      <c r="B902" s="1"/>
      <c r="C902" s="1"/>
      <c r="D902" s="8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"/>
      <c r="S902" s="1"/>
      <c r="T902" s="1"/>
      <c r="U902" s="1"/>
      <c r="V902" s="3"/>
      <c r="W902" s="1"/>
      <c r="X902" s="1"/>
    </row>
    <row r="903" ht="16.5" customHeight="1">
      <c r="A903" s="1"/>
      <c r="B903" s="1"/>
      <c r="C903" s="1"/>
      <c r="D903" s="8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"/>
      <c r="S903" s="1"/>
      <c r="T903" s="1"/>
      <c r="U903" s="1"/>
      <c r="V903" s="3"/>
      <c r="W903" s="1"/>
      <c r="X903" s="1"/>
    </row>
    <row r="904" ht="16.5" customHeight="1">
      <c r="A904" s="1"/>
      <c r="B904" s="1"/>
      <c r="C904" s="1"/>
      <c r="D904" s="8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"/>
      <c r="S904" s="1"/>
      <c r="T904" s="1"/>
      <c r="U904" s="1"/>
      <c r="V904" s="3"/>
      <c r="W904" s="1"/>
      <c r="X904" s="1"/>
    </row>
    <row r="905" ht="16.5" customHeight="1">
      <c r="A905" s="1"/>
      <c r="B905" s="1"/>
      <c r="C905" s="1"/>
      <c r="D905" s="8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"/>
      <c r="S905" s="1"/>
      <c r="T905" s="1"/>
      <c r="U905" s="1"/>
      <c r="V905" s="3"/>
      <c r="W905" s="1"/>
      <c r="X905" s="1"/>
    </row>
    <row r="906" ht="16.5" customHeight="1">
      <c r="A906" s="1"/>
      <c r="B906" s="1"/>
      <c r="C906" s="1"/>
      <c r="D906" s="8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"/>
      <c r="S906" s="1"/>
      <c r="T906" s="1"/>
      <c r="U906" s="1"/>
      <c r="V906" s="3"/>
      <c r="W906" s="1"/>
      <c r="X906" s="1"/>
    </row>
    <row r="907" ht="16.5" customHeight="1">
      <c r="A907" s="1"/>
      <c r="B907" s="1"/>
      <c r="C907" s="1"/>
      <c r="D907" s="8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"/>
      <c r="S907" s="1"/>
      <c r="T907" s="1"/>
      <c r="U907" s="1"/>
      <c r="V907" s="3"/>
      <c r="W907" s="1"/>
      <c r="X907" s="1"/>
    </row>
    <row r="908" ht="16.5" customHeight="1">
      <c r="A908" s="1"/>
      <c r="B908" s="1"/>
      <c r="C908" s="1"/>
      <c r="D908" s="8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"/>
      <c r="S908" s="1"/>
      <c r="T908" s="1"/>
      <c r="U908" s="1"/>
      <c r="V908" s="3"/>
      <c r="W908" s="1"/>
      <c r="X908" s="1"/>
    </row>
    <row r="909" ht="16.5" customHeight="1">
      <c r="A909" s="1"/>
      <c r="B909" s="1"/>
      <c r="C909" s="1"/>
      <c r="D909" s="8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"/>
      <c r="S909" s="1"/>
      <c r="T909" s="1"/>
      <c r="U909" s="1"/>
      <c r="V909" s="3"/>
      <c r="W909" s="1"/>
      <c r="X909" s="1"/>
    </row>
    <row r="910" ht="16.5" customHeight="1">
      <c r="A910" s="1"/>
      <c r="B910" s="1"/>
      <c r="C910" s="1"/>
      <c r="D910" s="8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"/>
      <c r="S910" s="1"/>
      <c r="T910" s="1"/>
      <c r="U910" s="1"/>
      <c r="V910" s="3"/>
      <c r="W910" s="1"/>
      <c r="X910" s="1"/>
    </row>
    <row r="911" ht="16.5" customHeight="1">
      <c r="A911" s="1"/>
      <c r="B911" s="1"/>
      <c r="C911" s="1"/>
      <c r="D911" s="8"/>
      <c r="E911" s="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"/>
      <c r="S911" s="1"/>
      <c r="T911" s="1"/>
      <c r="U911" s="1"/>
      <c r="V911" s="3"/>
      <c r="W911" s="1"/>
      <c r="X911" s="1"/>
    </row>
    <row r="912" ht="16.5" customHeight="1">
      <c r="A912" s="1"/>
      <c r="B912" s="1"/>
      <c r="C912" s="1"/>
      <c r="D912" s="8"/>
      <c r="E912" s="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"/>
      <c r="S912" s="1"/>
      <c r="T912" s="1"/>
      <c r="U912" s="1"/>
      <c r="V912" s="3"/>
      <c r="W912" s="1"/>
      <c r="X912" s="1"/>
    </row>
    <row r="913" ht="16.5" customHeight="1">
      <c r="A913" s="1"/>
      <c r="B913" s="1"/>
      <c r="C913" s="1"/>
      <c r="D913" s="8"/>
      <c r="E913" s="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"/>
      <c r="S913" s="1"/>
      <c r="T913" s="1"/>
      <c r="U913" s="1"/>
      <c r="V913" s="3"/>
      <c r="W913" s="1"/>
      <c r="X913" s="1"/>
    </row>
    <row r="914" ht="16.5" customHeight="1">
      <c r="A914" s="1"/>
      <c r="B914" s="1"/>
      <c r="C914" s="1"/>
      <c r="D914" s="8"/>
      <c r="E914" s="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"/>
      <c r="S914" s="1"/>
      <c r="T914" s="1"/>
      <c r="U914" s="1"/>
      <c r="V914" s="3"/>
      <c r="W914" s="1"/>
      <c r="X914" s="1"/>
    </row>
    <row r="915" ht="16.5" customHeight="1">
      <c r="A915" s="1"/>
      <c r="B915" s="1"/>
      <c r="C915" s="1"/>
      <c r="D915" s="8"/>
      <c r="E915" s="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"/>
      <c r="S915" s="1"/>
      <c r="T915" s="1"/>
      <c r="U915" s="1"/>
      <c r="V915" s="3"/>
      <c r="W915" s="1"/>
      <c r="X915" s="1"/>
    </row>
    <row r="916" ht="16.5" customHeight="1">
      <c r="A916" s="1"/>
      <c r="B916" s="1"/>
      <c r="C916" s="1"/>
      <c r="D916" s="8"/>
      <c r="E916" s="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"/>
      <c r="S916" s="1"/>
      <c r="T916" s="1"/>
      <c r="U916" s="1"/>
      <c r="V916" s="3"/>
      <c r="W916" s="1"/>
      <c r="X916" s="1"/>
    </row>
    <row r="917" ht="16.5" customHeight="1">
      <c r="A917" s="1"/>
      <c r="B917" s="1"/>
      <c r="C917" s="1"/>
      <c r="D917" s="8"/>
      <c r="E917" s="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"/>
      <c r="S917" s="1"/>
      <c r="T917" s="1"/>
      <c r="U917" s="1"/>
      <c r="V917" s="3"/>
      <c r="W917" s="1"/>
      <c r="X917" s="1"/>
    </row>
    <row r="918" ht="16.5" customHeight="1">
      <c r="A918" s="1"/>
      <c r="B918" s="1"/>
      <c r="C918" s="1"/>
      <c r="D918" s="8"/>
      <c r="E918" s="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"/>
      <c r="S918" s="1"/>
      <c r="T918" s="1"/>
      <c r="U918" s="1"/>
      <c r="V918" s="3"/>
      <c r="W918" s="1"/>
      <c r="X918" s="1"/>
    </row>
    <row r="919" ht="16.5" customHeight="1">
      <c r="A919" s="1"/>
      <c r="B919" s="1"/>
      <c r="C919" s="1"/>
      <c r="D919" s="8"/>
      <c r="E919" s="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"/>
      <c r="S919" s="1"/>
      <c r="T919" s="1"/>
      <c r="U919" s="1"/>
      <c r="V919" s="3"/>
      <c r="W919" s="1"/>
      <c r="X919" s="1"/>
    </row>
    <row r="920" ht="16.5" customHeight="1">
      <c r="A920" s="1"/>
      <c r="B920" s="1"/>
      <c r="C920" s="1"/>
      <c r="D920" s="8"/>
      <c r="E920" s="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"/>
      <c r="S920" s="1"/>
      <c r="T920" s="1"/>
      <c r="U920" s="1"/>
      <c r="V920" s="3"/>
      <c r="W920" s="1"/>
      <c r="X920" s="1"/>
    </row>
    <row r="921" ht="16.5" customHeight="1">
      <c r="A921" s="1"/>
      <c r="B921" s="1"/>
      <c r="C921" s="1"/>
      <c r="D921" s="8"/>
      <c r="E921" s="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"/>
      <c r="S921" s="1"/>
      <c r="T921" s="1"/>
      <c r="U921" s="1"/>
      <c r="V921" s="3"/>
      <c r="W921" s="1"/>
      <c r="X921" s="1"/>
    </row>
    <row r="922" ht="16.5" customHeight="1">
      <c r="A922" s="1"/>
      <c r="B922" s="1"/>
      <c r="C922" s="1"/>
      <c r="D922" s="8"/>
      <c r="E922" s="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"/>
      <c r="S922" s="1"/>
      <c r="T922" s="1"/>
      <c r="U922" s="1"/>
      <c r="V922" s="3"/>
      <c r="W922" s="1"/>
      <c r="X922" s="1"/>
    </row>
    <row r="923" ht="16.5" customHeight="1">
      <c r="A923" s="1"/>
      <c r="B923" s="1"/>
      <c r="C923" s="1"/>
      <c r="D923" s="8"/>
      <c r="E923" s="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"/>
      <c r="S923" s="1"/>
      <c r="T923" s="1"/>
      <c r="U923" s="1"/>
      <c r="V923" s="3"/>
      <c r="W923" s="1"/>
      <c r="X923" s="1"/>
    </row>
    <row r="924" ht="16.5" customHeight="1">
      <c r="A924" s="1"/>
      <c r="B924" s="1"/>
      <c r="C924" s="1"/>
      <c r="D924" s="8"/>
      <c r="E924" s="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"/>
      <c r="S924" s="1"/>
      <c r="T924" s="1"/>
      <c r="U924" s="1"/>
      <c r="V924" s="3"/>
      <c r="W924" s="1"/>
      <c r="X924" s="1"/>
    </row>
    <row r="925" ht="16.5" customHeight="1">
      <c r="A925" s="1"/>
      <c r="B925" s="1"/>
      <c r="C925" s="1"/>
      <c r="D925" s="8"/>
      <c r="E925" s="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"/>
      <c r="S925" s="1"/>
      <c r="T925" s="1"/>
      <c r="U925" s="1"/>
      <c r="V925" s="3"/>
      <c r="W925" s="1"/>
      <c r="X925" s="1"/>
    </row>
    <row r="926" ht="16.5" customHeight="1">
      <c r="A926" s="1"/>
      <c r="B926" s="1"/>
      <c r="C926" s="1"/>
      <c r="D926" s="8"/>
      <c r="E926" s="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"/>
      <c r="S926" s="1"/>
      <c r="T926" s="1"/>
      <c r="U926" s="1"/>
      <c r="V926" s="3"/>
      <c r="W926" s="1"/>
      <c r="X926" s="1"/>
    </row>
    <row r="927" ht="16.5" customHeight="1">
      <c r="A927" s="1"/>
      <c r="B927" s="1"/>
      <c r="C927" s="1"/>
      <c r="D927" s="8"/>
      <c r="E927" s="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"/>
      <c r="S927" s="1"/>
      <c r="T927" s="1"/>
      <c r="U927" s="1"/>
      <c r="V927" s="3"/>
      <c r="W927" s="1"/>
      <c r="X927" s="1"/>
    </row>
    <row r="928" ht="16.5" customHeight="1">
      <c r="A928" s="1"/>
      <c r="B928" s="1"/>
      <c r="C928" s="1"/>
      <c r="D928" s="8"/>
      <c r="E928" s="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"/>
      <c r="S928" s="1"/>
      <c r="T928" s="1"/>
      <c r="U928" s="1"/>
      <c r="V928" s="3"/>
      <c r="W928" s="1"/>
      <c r="X928" s="1"/>
    </row>
    <row r="929" ht="16.5" customHeight="1">
      <c r="A929" s="1"/>
      <c r="B929" s="1"/>
      <c r="C929" s="1"/>
      <c r="D929" s="8"/>
      <c r="E929" s="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"/>
      <c r="S929" s="1"/>
      <c r="T929" s="1"/>
      <c r="U929" s="1"/>
      <c r="V929" s="3"/>
      <c r="W929" s="1"/>
      <c r="X929" s="1"/>
    </row>
    <row r="930" ht="16.5" customHeight="1">
      <c r="A930" s="1"/>
      <c r="B930" s="1"/>
      <c r="C930" s="1"/>
      <c r="D930" s="8"/>
      <c r="E930" s="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"/>
      <c r="S930" s="1"/>
      <c r="T930" s="1"/>
      <c r="U930" s="1"/>
      <c r="V930" s="3"/>
      <c r="W930" s="1"/>
      <c r="X930" s="1"/>
    </row>
    <row r="931" ht="16.5" customHeight="1">
      <c r="A931" s="1"/>
      <c r="B931" s="1"/>
      <c r="C931" s="1"/>
      <c r="D931" s="8"/>
      <c r="E931" s="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"/>
      <c r="S931" s="1"/>
      <c r="T931" s="1"/>
      <c r="U931" s="1"/>
      <c r="V931" s="3"/>
      <c r="W931" s="1"/>
      <c r="X931" s="1"/>
    </row>
    <row r="932" ht="16.5" customHeight="1">
      <c r="A932" s="1"/>
      <c r="B932" s="1"/>
      <c r="C932" s="1"/>
      <c r="D932" s="8"/>
      <c r="E932" s="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"/>
      <c r="S932" s="1"/>
      <c r="T932" s="1"/>
      <c r="U932" s="1"/>
      <c r="V932" s="3"/>
      <c r="W932" s="1"/>
      <c r="X932" s="1"/>
    </row>
    <row r="933" ht="16.5" customHeight="1">
      <c r="A933" s="1"/>
      <c r="B933" s="1"/>
      <c r="C933" s="1"/>
      <c r="D933" s="8"/>
      <c r="E933" s="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"/>
      <c r="S933" s="1"/>
      <c r="T933" s="1"/>
      <c r="U933" s="1"/>
      <c r="V933" s="3"/>
      <c r="W933" s="1"/>
      <c r="X933" s="1"/>
    </row>
    <row r="934" ht="16.5" customHeight="1">
      <c r="A934" s="1"/>
      <c r="B934" s="1"/>
      <c r="C934" s="1"/>
      <c r="D934" s="8"/>
      <c r="E934" s="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"/>
      <c r="S934" s="1"/>
      <c r="T934" s="1"/>
      <c r="U934" s="1"/>
      <c r="V934" s="3"/>
      <c r="W934" s="1"/>
      <c r="X934" s="1"/>
    </row>
    <row r="935" ht="16.5" customHeight="1">
      <c r="A935" s="1"/>
      <c r="B935" s="1"/>
      <c r="C935" s="1"/>
      <c r="D935" s="8"/>
      <c r="E935" s="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"/>
      <c r="S935" s="1"/>
      <c r="T935" s="1"/>
      <c r="U935" s="1"/>
      <c r="V935" s="3"/>
      <c r="W935" s="1"/>
      <c r="X935" s="1"/>
    </row>
    <row r="936" ht="16.5" customHeight="1">
      <c r="A936" s="1"/>
      <c r="B936" s="1"/>
      <c r="C936" s="1"/>
      <c r="D936" s="8"/>
      <c r="E936" s="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"/>
      <c r="S936" s="1"/>
      <c r="T936" s="1"/>
      <c r="U936" s="1"/>
      <c r="V936" s="3"/>
      <c r="W936" s="1"/>
      <c r="X936" s="1"/>
    </row>
    <row r="937" ht="16.5" customHeight="1">
      <c r="A937" s="1"/>
      <c r="B937" s="1"/>
      <c r="C937" s="1"/>
      <c r="D937" s="8"/>
      <c r="E937" s="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"/>
      <c r="S937" s="1"/>
      <c r="T937" s="1"/>
      <c r="U937" s="1"/>
      <c r="V937" s="3"/>
      <c r="W937" s="1"/>
      <c r="X937" s="1"/>
    </row>
    <row r="938" ht="16.5" customHeight="1">
      <c r="A938" s="1"/>
      <c r="B938" s="1"/>
      <c r="C938" s="1"/>
      <c r="D938" s="8"/>
      <c r="E938" s="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"/>
      <c r="S938" s="1"/>
      <c r="T938" s="1"/>
      <c r="U938" s="1"/>
      <c r="V938" s="3"/>
      <c r="W938" s="1"/>
      <c r="X938" s="1"/>
    </row>
    <row r="939" ht="16.5" customHeight="1">
      <c r="A939" s="1"/>
      <c r="B939" s="1"/>
      <c r="C939" s="1"/>
      <c r="D939" s="8"/>
      <c r="E939" s="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"/>
      <c r="S939" s="1"/>
      <c r="T939" s="1"/>
      <c r="U939" s="1"/>
      <c r="V939" s="3"/>
      <c r="W939" s="1"/>
      <c r="X939" s="1"/>
    </row>
    <row r="940" ht="16.5" customHeight="1">
      <c r="A940" s="1"/>
      <c r="B940" s="1"/>
      <c r="C940" s="1"/>
      <c r="D940" s="8"/>
      <c r="E940" s="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"/>
      <c r="S940" s="1"/>
      <c r="T940" s="1"/>
      <c r="U940" s="1"/>
      <c r="V940" s="3"/>
      <c r="W940" s="1"/>
      <c r="X940" s="1"/>
    </row>
    <row r="941" ht="16.5" customHeight="1">
      <c r="A941" s="1"/>
      <c r="B941" s="1"/>
      <c r="C941" s="1"/>
      <c r="D941" s="8"/>
      <c r="E941" s="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"/>
      <c r="S941" s="1"/>
      <c r="T941" s="1"/>
      <c r="U941" s="1"/>
      <c r="V941" s="3"/>
      <c r="W941" s="1"/>
      <c r="X941" s="1"/>
    </row>
    <row r="942" ht="16.5" customHeight="1">
      <c r="A942" s="1"/>
      <c r="B942" s="1"/>
      <c r="C942" s="1"/>
      <c r="D942" s="8"/>
      <c r="E942" s="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"/>
      <c r="S942" s="1"/>
      <c r="T942" s="1"/>
      <c r="U942" s="1"/>
      <c r="V942" s="3"/>
      <c r="W942" s="1"/>
      <c r="X942" s="1"/>
    </row>
    <row r="943" ht="16.5" customHeight="1">
      <c r="A943" s="1"/>
      <c r="B943" s="1"/>
      <c r="C943" s="1"/>
      <c r="D943" s="8"/>
      <c r="E943" s="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"/>
      <c r="S943" s="1"/>
      <c r="T943" s="1"/>
      <c r="U943" s="1"/>
      <c r="V943" s="3"/>
      <c r="W943" s="1"/>
      <c r="X943" s="1"/>
    </row>
    <row r="944" ht="16.5" customHeight="1">
      <c r="A944" s="1"/>
      <c r="B944" s="1"/>
      <c r="C944" s="1"/>
      <c r="D944" s="8"/>
      <c r="E944" s="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"/>
      <c r="S944" s="1"/>
      <c r="T944" s="1"/>
      <c r="U944" s="1"/>
      <c r="V944" s="3"/>
      <c r="W944" s="1"/>
      <c r="X944" s="1"/>
    </row>
    <row r="945" ht="16.5" customHeight="1">
      <c r="A945" s="1"/>
      <c r="B945" s="1"/>
      <c r="C945" s="1"/>
      <c r="D945" s="8"/>
      <c r="E945" s="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"/>
      <c r="S945" s="1"/>
      <c r="T945" s="1"/>
      <c r="U945" s="1"/>
      <c r="V945" s="3"/>
      <c r="W945" s="1"/>
      <c r="X945" s="1"/>
    </row>
    <row r="946" ht="16.5" customHeight="1">
      <c r="A946" s="1"/>
      <c r="B946" s="1"/>
      <c r="C946" s="1"/>
      <c r="D946" s="8"/>
      <c r="E946" s="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"/>
      <c r="S946" s="1"/>
      <c r="T946" s="1"/>
      <c r="U946" s="1"/>
      <c r="V946" s="3"/>
      <c r="W946" s="1"/>
      <c r="X946" s="1"/>
    </row>
    <row r="947" ht="16.5" customHeight="1">
      <c r="A947" s="1"/>
      <c r="B947" s="1"/>
      <c r="C947" s="1"/>
      <c r="D947" s="8"/>
      <c r="E947" s="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"/>
      <c r="S947" s="1"/>
      <c r="T947" s="1"/>
      <c r="U947" s="1"/>
      <c r="V947" s="3"/>
      <c r="W947" s="1"/>
      <c r="X947" s="1"/>
    </row>
    <row r="948" ht="16.5" customHeight="1">
      <c r="A948" s="1"/>
      <c r="B948" s="1"/>
      <c r="C948" s="1"/>
      <c r="D948" s="8"/>
      <c r="E948" s="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"/>
      <c r="S948" s="1"/>
      <c r="T948" s="1"/>
      <c r="U948" s="1"/>
      <c r="V948" s="3"/>
      <c r="W948" s="1"/>
      <c r="X948" s="1"/>
    </row>
    <row r="949" ht="16.5" customHeight="1">
      <c r="A949" s="1"/>
      <c r="B949" s="1"/>
      <c r="C949" s="1"/>
      <c r="D949" s="8"/>
      <c r="E949" s="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"/>
      <c r="S949" s="1"/>
      <c r="T949" s="1"/>
      <c r="U949" s="1"/>
      <c r="V949" s="3"/>
      <c r="W949" s="1"/>
      <c r="X949" s="1"/>
    </row>
    <row r="950" ht="16.5" customHeight="1">
      <c r="A950" s="1"/>
      <c r="B950" s="1"/>
      <c r="C950" s="1"/>
      <c r="D950" s="8"/>
      <c r="E950" s="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"/>
      <c r="S950" s="1"/>
      <c r="T950" s="1"/>
      <c r="U950" s="1"/>
      <c r="V950" s="3"/>
      <c r="W950" s="1"/>
      <c r="X950" s="1"/>
    </row>
    <row r="951" ht="16.5" customHeight="1">
      <c r="A951" s="1"/>
      <c r="B951" s="1"/>
      <c r="C951" s="1"/>
      <c r="D951" s="8"/>
      <c r="E951" s="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"/>
      <c r="S951" s="1"/>
      <c r="T951" s="1"/>
      <c r="U951" s="1"/>
      <c r="V951" s="3"/>
      <c r="W951" s="1"/>
      <c r="X951" s="1"/>
    </row>
    <row r="952" ht="16.5" customHeight="1">
      <c r="A952" s="1"/>
      <c r="B952" s="1"/>
      <c r="C952" s="1"/>
      <c r="D952" s="8"/>
      <c r="E952" s="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"/>
      <c r="S952" s="1"/>
      <c r="T952" s="1"/>
      <c r="U952" s="1"/>
      <c r="V952" s="3"/>
      <c r="W952" s="1"/>
      <c r="X952" s="1"/>
    </row>
    <row r="953" ht="16.5" customHeight="1">
      <c r="A953" s="1"/>
      <c r="B953" s="1"/>
      <c r="C953" s="1"/>
      <c r="D953" s="8"/>
      <c r="E953" s="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"/>
      <c r="S953" s="1"/>
      <c r="T953" s="1"/>
      <c r="U953" s="1"/>
      <c r="V953" s="3"/>
      <c r="W953" s="1"/>
      <c r="X953" s="1"/>
    </row>
    <row r="954" ht="16.5" customHeight="1">
      <c r="A954" s="1"/>
      <c r="B954" s="1"/>
      <c r="C954" s="1"/>
      <c r="D954" s="8"/>
      <c r="E954" s="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"/>
      <c r="S954" s="1"/>
      <c r="T954" s="1"/>
      <c r="U954" s="1"/>
      <c r="V954" s="3"/>
      <c r="W954" s="1"/>
      <c r="X954" s="1"/>
    </row>
    <row r="955" ht="16.5" customHeight="1">
      <c r="A955" s="1"/>
      <c r="B955" s="1"/>
      <c r="C955" s="1"/>
      <c r="D955" s="8"/>
      <c r="E955" s="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"/>
      <c r="S955" s="1"/>
      <c r="T955" s="1"/>
      <c r="U955" s="1"/>
      <c r="V955" s="3"/>
      <c r="W955" s="1"/>
      <c r="X955" s="1"/>
    </row>
    <row r="956" ht="16.5" customHeight="1">
      <c r="A956" s="1"/>
      <c r="B956" s="1"/>
      <c r="C956" s="1"/>
      <c r="D956" s="8"/>
      <c r="E956" s="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"/>
      <c r="S956" s="1"/>
      <c r="T956" s="1"/>
      <c r="U956" s="1"/>
      <c r="V956" s="3"/>
      <c r="W956" s="1"/>
      <c r="X956" s="1"/>
    </row>
    <row r="957" ht="16.5" customHeight="1">
      <c r="A957" s="1"/>
      <c r="B957" s="1"/>
      <c r="C957" s="1"/>
      <c r="D957" s="8"/>
      <c r="E957" s="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"/>
      <c r="S957" s="1"/>
      <c r="T957" s="1"/>
      <c r="U957" s="1"/>
      <c r="V957" s="3"/>
      <c r="W957" s="1"/>
      <c r="X957" s="1"/>
    </row>
    <row r="958" ht="16.5" customHeight="1">
      <c r="A958" s="1"/>
      <c r="B958" s="1"/>
      <c r="C958" s="1"/>
      <c r="D958" s="8"/>
      <c r="E958" s="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"/>
      <c r="S958" s="1"/>
      <c r="T958" s="1"/>
      <c r="U958" s="1"/>
      <c r="V958" s="3"/>
      <c r="W958" s="1"/>
      <c r="X958" s="1"/>
    </row>
    <row r="959" ht="16.5" customHeight="1">
      <c r="A959" s="1"/>
      <c r="B959" s="1"/>
      <c r="C959" s="1"/>
      <c r="D959" s="8"/>
      <c r="E959" s="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"/>
      <c r="S959" s="1"/>
      <c r="T959" s="1"/>
      <c r="U959" s="1"/>
      <c r="V959" s="3"/>
      <c r="W959" s="1"/>
      <c r="X959" s="1"/>
    </row>
    <row r="960" ht="16.5" customHeight="1">
      <c r="A960" s="1"/>
      <c r="B960" s="1"/>
      <c r="C960" s="1"/>
      <c r="D960" s="8"/>
      <c r="E960" s="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"/>
      <c r="S960" s="1"/>
      <c r="T960" s="1"/>
      <c r="U960" s="1"/>
      <c r="V960" s="3"/>
      <c r="W960" s="1"/>
      <c r="X960" s="1"/>
    </row>
    <row r="961" ht="16.5" customHeight="1">
      <c r="A961" s="1"/>
      <c r="B961" s="1"/>
      <c r="C961" s="1"/>
      <c r="D961" s="8"/>
      <c r="E961" s="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"/>
      <c r="S961" s="1"/>
      <c r="T961" s="1"/>
      <c r="U961" s="1"/>
      <c r="V961" s="3"/>
      <c r="W961" s="1"/>
      <c r="X961" s="1"/>
    </row>
    <row r="962" ht="16.5" customHeight="1">
      <c r="A962" s="1"/>
      <c r="B962" s="1"/>
      <c r="C962" s="1"/>
      <c r="D962" s="8"/>
      <c r="E962" s="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"/>
      <c r="S962" s="1"/>
      <c r="T962" s="1"/>
      <c r="U962" s="1"/>
      <c r="V962" s="3"/>
      <c r="W962" s="1"/>
      <c r="X962" s="1"/>
    </row>
    <row r="963" ht="16.5" customHeight="1">
      <c r="A963" s="1"/>
      <c r="B963" s="1"/>
      <c r="C963" s="1"/>
      <c r="D963" s="8"/>
      <c r="E963" s="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"/>
      <c r="S963" s="1"/>
      <c r="T963" s="1"/>
      <c r="U963" s="1"/>
      <c r="V963" s="3"/>
      <c r="W963" s="1"/>
      <c r="X963" s="1"/>
    </row>
    <row r="964" ht="16.5" customHeight="1">
      <c r="A964" s="1"/>
      <c r="B964" s="1"/>
      <c r="C964" s="1"/>
      <c r="D964" s="8"/>
      <c r="E964" s="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"/>
      <c r="S964" s="1"/>
      <c r="T964" s="1"/>
      <c r="U964" s="1"/>
      <c r="V964" s="3"/>
      <c r="W964" s="1"/>
      <c r="X964" s="1"/>
    </row>
    <row r="965" ht="16.5" customHeight="1">
      <c r="A965" s="1"/>
      <c r="B965" s="1"/>
      <c r="C965" s="1"/>
      <c r="D965" s="8"/>
      <c r="E965" s="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"/>
      <c r="S965" s="1"/>
      <c r="T965" s="1"/>
      <c r="U965" s="1"/>
      <c r="V965" s="3"/>
      <c r="W965" s="1"/>
      <c r="X965" s="1"/>
    </row>
    <row r="966" ht="16.5" customHeight="1">
      <c r="A966" s="1"/>
      <c r="B966" s="1"/>
      <c r="C966" s="1"/>
      <c r="D966" s="8"/>
      <c r="E966" s="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"/>
      <c r="S966" s="1"/>
      <c r="T966" s="1"/>
      <c r="U966" s="1"/>
      <c r="V966" s="3"/>
      <c r="W966" s="1"/>
      <c r="X966" s="1"/>
    </row>
    <row r="967" ht="16.5" customHeight="1">
      <c r="A967" s="1"/>
      <c r="B967" s="1"/>
      <c r="C967" s="1"/>
      <c r="D967" s="8"/>
      <c r="E967" s="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"/>
      <c r="S967" s="1"/>
      <c r="T967" s="1"/>
      <c r="U967" s="1"/>
      <c r="V967" s="3"/>
      <c r="W967" s="1"/>
      <c r="X967" s="1"/>
    </row>
    <row r="968" ht="16.5" customHeight="1">
      <c r="A968" s="1"/>
      <c r="B968" s="1"/>
      <c r="C968" s="1"/>
      <c r="D968" s="8"/>
      <c r="E968" s="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"/>
      <c r="S968" s="1"/>
      <c r="T968" s="1"/>
      <c r="U968" s="1"/>
      <c r="V968" s="3"/>
      <c r="W968" s="1"/>
      <c r="X968" s="1"/>
    </row>
    <row r="969" ht="16.5" customHeight="1">
      <c r="A969" s="1"/>
      <c r="B969" s="1"/>
      <c r="C969" s="1"/>
      <c r="D969" s="8"/>
      <c r="E969" s="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"/>
      <c r="S969" s="1"/>
      <c r="T969" s="1"/>
      <c r="U969" s="1"/>
      <c r="V969" s="3"/>
      <c r="W969" s="1"/>
      <c r="X969" s="1"/>
    </row>
    <row r="970" ht="16.5" customHeight="1">
      <c r="A970" s="1"/>
      <c r="B970" s="1"/>
      <c r="C970" s="1"/>
      <c r="D970" s="8"/>
      <c r="E970" s="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"/>
      <c r="S970" s="1"/>
      <c r="T970" s="1"/>
      <c r="U970" s="1"/>
      <c r="V970" s="3"/>
      <c r="W970" s="1"/>
      <c r="X970" s="1"/>
    </row>
    <row r="971" ht="16.5" customHeight="1">
      <c r="A971" s="1"/>
      <c r="B971" s="1"/>
      <c r="C971" s="1"/>
      <c r="D971" s="8"/>
      <c r="E971" s="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"/>
      <c r="S971" s="1"/>
      <c r="T971" s="1"/>
      <c r="U971" s="1"/>
      <c r="V971" s="3"/>
      <c r="W971" s="1"/>
      <c r="X971" s="1"/>
    </row>
    <row r="972" ht="16.5" customHeight="1">
      <c r="A972" s="1"/>
      <c r="B972" s="1"/>
      <c r="C972" s="1"/>
      <c r="D972" s="8"/>
      <c r="E972" s="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"/>
      <c r="S972" s="1"/>
      <c r="T972" s="1"/>
      <c r="U972" s="1"/>
      <c r="V972" s="3"/>
      <c r="W972" s="1"/>
      <c r="X972" s="1"/>
    </row>
    <row r="973" ht="16.5" customHeight="1">
      <c r="A973" s="1"/>
      <c r="B973" s="1"/>
      <c r="C973" s="1"/>
      <c r="D973" s="8"/>
      <c r="E973" s="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"/>
      <c r="S973" s="1"/>
      <c r="T973" s="1"/>
      <c r="U973" s="1"/>
      <c r="V973" s="3"/>
      <c r="W973" s="1"/>
      <c r="X973" s="1"/>
    </row>
    <row r="974" ht="16.5" customHeight="1">
      <c r="A974" s="1"/>
      <c r="B974" s="1"/>
      <c r="C974" s="1"/>
      <c r="D974" s="8"/>
      <c r="E974" s="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"/>
      <c r="S974" s="1"/>
      <c r="T974" s="1"/>
      <c r="U974" s="1"/>
      <c r="V974" s="3"/>
      <c r="W974" s="1"/>
      <c r="X974" s="1"/>
    </row>
    <row r="975" ht="16.5" customHeight="1">
      <c r="A975" s="1"/>
      <c r="B975" s="1"/>
      <c r="C975" s="1"/>
      <c r="D975" s="8"/>
      <c r="E975" s="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"/>
      <c r="S975" s="1"/>
      <c r="T975" s="1"/>
      <c r="U975" s="1"/>
      <c r="V975" s="3"/>
      <c r="W975" s="1"/>
      <c r="X975" s="1"/>
    </row>
    <row r="976" ht="16.5" customHeight="1">
      <c r="A976" s="1"/>
      <c r="B976" s="1"/>
      <c r="C976" s="1"/>
      <c r="D976" s="8"/>
      <c r="E976" s="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"/>
      <c r="S976" s="1"/>
      <c r="T976" s="1"/>
      <c r="U976" s="1"/>
      <c r="V976" s="3"/>
      <c r="W976" s="1"/>
      <c r="X976" s="1"/>
    </row>
    <row r="977" ht="16.5" customHeight="1">
      <c r="A977" s="1"/>
      <c r="B977" s="1"/>
      <c r="C977" s="1"/>
      <c r="D977" s="8"/>
      <c r="E977" s="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"/>
      <c r="S977" s="1"/>
      <c r="T977" s="1"/>
      <c r="U977" s="1"/>
      <c r="V977" s="3"/>
      <c r="W977" s="1"/>
      <c r="X977" s="1"/>
    </row>
    <row r="978" ht="16.5" customHeight="1">
      <c r="A978" s="1"/>
      <c r="B978" s="1"/>
      <c r="C978" s="1"/>
      <c r="D978" s="8"/>
      <c r="E978" s="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"/>
      <c r="S978" s="1"/>
      <c r="T978" s="1"/>
      <c r="U978" s="1"/>
      <c r="V978" s="3"/>
      <c r="W978" s="1"/>
      <c r="X978" s="1"/>
    </row>
    <row r="979" ht="16.5" customHeight="1">
      <c r="A979" s="1"/>
      <c r="B979" s="1"/>
      <c r="C979" s="1"/>
      <c r="D979" s="8"/>
      <c r="E979" s="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"/>
      <c r="S979" s="1"/>
      <c r="T979" s="1"/>
      <c r="U979" s="1"/>
      <c r="V979" s="3"/>
      <c r="W979" s="1"/>
      <c r="X979" s="1"/>
    </row>
    <row r="980" ht="16.5" customHeight="1">
      <c r="A980" s="1"/>
      <c r="B980" s="1"/>
      <c r="C980" s="1"/>
      <c r="D980" s="8"/>
      <c r="E980" s="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"/>
      <c r="S980" s="1"/>
      <c r="T980" s="1"/>
      <c r="U980" s="1"/>
      <c r="V980" s="3"/>
      <c r="W980" s="1"/>
      <c r="X980" s="1"/>
    </row>
    <row r="981" ht="16.5" customHeight="1">
      <c r="A981" s="1"/>
      <c r="B981" s="1"/>
      <c r="C981" s="1"/>
      <c r="D981" s="8"/>
      <c r="E981" s="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"/>
      <c r="S981" s="1"/>
      <c r="T981" s="1"/>
      <c r="U981" s="1"/>
      <c r="V981" s="3"/>
      <c r="W981" s="1"/>
      <c r="X981" s="1"/>
    </row>
    <row r="982" ht="16.5" customHeight="1">
      <c r="A982" s="1"/>
      <c r="B982" s="1"/>
      <c r="C982" s="1"/>
      <c r="D982" s="8"/>
      <c r="E982" s="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"/>
      <c r="S982" s="1"/>
      <c r="T982" s="1"/>
      <c r="U982" s="1"/>
      <c r="V982" s="3"/>
      <c r="W982" s="1"/>
      <c r="X982" s="1"/>
    </row>
    <row r="983" ht="16.5" customHeight="1">
      <c r="A983" s="1"/>
      <c r="B983" s="1"/>
      <c r="C983" s="1"/>
      <c r="D983" s="8"/>
      <c r="E983" s="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"/>
      <c r="S983" s="1"/>
      <c r="T983" s="1"/>
      <c r="U983" s="1"/>
      <c r="V983" s="3"/>
      <c r="W983" s="1"/>
      <c r="X983" s="1"/>
    </row>
    <row r="984" ht="16.5" customHeight="1">
      <c r="A984" s="1"/>
      <c r="B984" s="1"/>
      <c r="C984" s="1"/>
      <c r="D984" s="8"/>
      <c r="E984" s="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"/>
      <c r="S984" s="1"/>
      <c r="T984" s="1"/>
      <c r="U984" s="1"/>
      <c r="V984" s="3"/>
      <c r="W984" s="1"/>
      <c r="X984" s="1"/>
    </row>
    <row r="985" ht="16.5" customHeight="1">
      <c r="A985" s="1"/>
      <c r="B985" s="1"/>
      <c r="C985" s="1"/>
      <c r="D985" s="8"/>
      <c r="E985" s="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"/>
      <c r="S985" s="1"/>
      <c r="T985" s="1"/>
      <c r="U985" s="1"/>
      <c r="V985" s="3"/>
      <c r="W985" s="1"/>
      <c r="X985" s="1"/>
    </row>
    <row r="986" ht="16.5" customHeight="1">
      <c r="A986" s="1"/>
      <c r="B986" s="1"/>
      <c r="C986" s="1"/>
      <c r="D986" s="8"/>
      <c r="E986" s="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"/>
      <c r="S986" s="1"/>
      <c r="T986" s="1"/>
      <c r="U986" s="1"/>
      <c r="V986" s="3"/>
      <c r="W986" s="1"/>
      <c r="X986" s="1"/>
    </row>
    <row r="987" ht="16.5" customHeight="1">
      <c r="A987" s="1"/>
      <c r="B987" s="1"/>
      <c r="C987" s="1"/>
      <c r="D987" s="8"/>
      <c r="E987" s="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"/>
      <c r="S987" s="1"/>
      <c r="T987" s="1"/>
      <c r="U987" s="1"/>
      <c r="V987" s="3"/>
      <c r="W987" s="1"/>
      <c r="X987" s="1"/>
    </row>
  </sheetData>
  <autoFilter ref="$B$3:$T$193"/>
  <mergeCells count="20">
    <mergeCell ref="D5:D7"/>
    <mergeCell ref="E5:E7"/>
    <mergeCell ref="F5:F7"/>
    <mergeCell ref="G5:G7"/>
    <mergeCell ref="H5:H7"/>
    <mergeCell ref="I5:I7"/>
    <mergeCell ref="J5:J7"/>
    <mergeCell ref="K5:K7"/>
    <mergeCell ref="M4:S4"/>
    <mergeCell ref="M5:Q5"/>
    <mergeCell ref="R5:R7"/>
    <mergeCell ref="S5:S7"/>
    <mergeCell ref="B1:T1"/>
    <mergeCell ref="C2:S2"/>
    <mergeCell ref="B4:L4"/>
    <mergeCell ref="T4:T7"/>
    <mergeCell ref="B5:B7"/>
    <mergeCell ref="C5:C7"/>
    <mergeCell ref="L5:L7"/>
    <mergeCell ref="M8:Q8"/>
  </mergeCells>
  <dataValidations>
    <dataValidation type="list" allowBlank="1" showErrorMessage="1" sqref="L9:L77">
      <formula1>"수급자,일반,차상위"</formula1>
    </dataValidation>
    <dataValidation type="list" allowBlank="1" showErrorMessage="1" sqref="N78:N132 N146:N193">
      <formula1>"급여정보,신청,지원범위,품목,기타"</formula1>
    </dataValidation>
    <dataValidation type="list" allowBlank="1" showErrorMessage="1" sqref="M132 M134:M137 M140 M144 M194">
      <formula1>공적급여</formula1>
    </dataValidation>
    <dataValidation type="list" allowBlank="1" showErrorMessage="1" sqref="G194:H382">
      <formula1>의뢰인</formula1>
    </dataValidation>
    <dataValidation type="list" allowBlank="1" showErrorMessage="1" sqref="O133">
      <formula1>보조기기</formula1>
    </dataValidation>
    <dataValidation type="list" allowBlank="1" showErrorMessage="1" sqref="T9:T58 T60:T262">
      <formula1>"김영기,송근필,장홍민,이창하,심채연,양하나,노동억"</formula1>
    </dataValidation>
    <dataValidation type="list" allowBlank="1" showErrorMessage="1" sqref="P95:P145 P194:P203">
      <formula1>사례연계</formula1>
    </dataValidation>
    <dataValidation type="list" allowBlank="1" showErrorMessage="1" sqref="T59">
      <formula1>"김영기,송근필,장홍민,이창하,양하나,노동억"</formula1>
    </dataValidation>
    <dataValidation type="list" allowBlank="1" showInputMessage="1" showErrorMessage="1" prompt="항목 목록에 있는 값을 클릭하여 입력하세요." sqref="C2 G9:G78 G80:G82 G90 G92:G193">
      <formula1>"시군구(및 읍면동) 담당자,장애 당사자,보호자 및 지인,유관기관 종사자,교육기관 종사자,기타"</formula1>
    </dataValidation>
    <dataValidation type="list" allowBlank="1" showErrorMessage="1" sqref="O9:O72 O74:O132 O134:O297">
      <formula1>"구입,가격,기능,종류,명칭,대여,개조 및 제작,세척,점검,수리,재사용,기타"</formula1>
    </dataValidation>
    <dataValidation type="list" allowBlank="1" showErrorMessage="1" sqref="N9:N11 N13:N77">
      <formula1>"급여정보,신청,지원범위,품목"</formula1>
    </dataValidation>
    <dataValidation type="list" allowBlank="1" showErrorMessage="1" sqref="N133:N145 N194:N274">
      <formula1>민간급여</formula1>
    </dataValidation>
    <dataValidation type="list" allowBlank="1" showErrorMessage="1" sqref="G79 G83:G89 G91">
      <formula1>"장애 당사자,보호자 및 지인,시군구(및 읍면동) 담당자,유관기관 종사자,교육기관 종사자,기타"</formula1>
    </dataValidation>
    <dataValidation type="list" allowBlank="1" showErrorMessage="1" sqref="M9:M131 M133 M138:M139 M141:M143 M145:M193">
      <formula1>"급여 정보,신청,지원범위,품목,내구연한,기타"</formula1>
    </dataValidation>
    <dataValidation type="list" allowBlank="1" showErrorMessage="1" sqref="P9:P72 O73 P74:P94 P146:P193">
      <formula1>"사례관리 서비스 요청,타 센터 및 기관 사례 연계,기타"</formula1>
    </dataValidation>
  </dataValidations>
  <printOptions/>
  <pageMargins bottom="0.7480314960629921" footer="0.0" header="0.0" left="0.5511811023622047" right="0.6692913385826772" top="0.7480314960629921"/>
  <pageSetup paperSize="9"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.71"/>
    <col customWidth="1" min="2" max="2" width="5.43"/>
    <col customWidth="1" min="3" max="3" width="13.0"/>
    <col customWidth="1" min="4" max="4" width="15.14"/>
    <col customWidth="1" min="5" max="5" width="19.57"/>
    <col customWidth="1" min="6" max="6" width="16.71"/>
    <col customWidth="1" min="7" max="7" width="21.14"/>
    <col customWidth="1" min="8" max="8" width="8.29"/>
    <col customWidth="1" min="9" max="9" width="6.86"/>
    <col customWidth="1" min="10" max="10" width="10.71"/>
    <col customWidth="1" min="11" max="11" width="10.57"/>
    <col customWidth="1" min="12" max="12" width="11.43"/>
    <col customWidth="1" min="13" max="14" width="12.43"/>
    <col customWidth="1" min="15" max="15" width="17.0"/>
    <col customWidth="1" min="16" max="16" width="16.14"/>
    <col customWidth="1" min="17" max="17" width="12.43"/>
    <col customWidth="1" min="18" max="18" width="53.71"/>
    <col customWidth="1" min="19" max="19" width="43.0"/>
    <col customWidth="1" min="20" max="20" width="13.43"/>
    <col customWidth="1" min="21" max="22" width="9.0"/>
    <col customWidth="1" min="23" max="24" width="8.71"/>
  </cols>
  <sheetData>
    <row r="1" ht="85.5" hidden="1" customHeight="1">
      <c r="A1" s="1"/>
      <c r="B1" s="2" t="s">
        <v>342</v>
      </c>
      <c r="U1" s="1"/>
      <c r="V1" s="3"/>
      <c r="W1" s="1"/>
      <c r="X1" s="1"/>
    </row>
    <row r="2" ht="33.75" customHeight="1">
      <c r="A2" s="1"/>
      <c r="B2" s="1"/>
      <c r="C2" s="5" t="s">
        <v>42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1"/>
      <c r="U2" s="1"/>
      <c r="V2" s="3"/>
      <c r="W2" s="1"/>
      <c r="X2" s="1"/>
    </row>
    <row r="3" ht="16.5" customHeight="1">
      <c r="A3" s="1"/>
      <c r="B3" s="1"/>
      <c r="C3" s="1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8"/>
      <c r="S3" s="1"/>
      <c r="T3" s="1"/>
      <c r="U3" s="1"/>
      <c r="V3" s="3"/>
      <c r="W3" s="1"/>
      <c r="X3" s="1"/>
    </row>
    <row r="4" ht="21.0" customHeight="1">
      <c r="A4" s="1"/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12" t="s">
        <v>2</v>
      </c>
      <c r="N4" s="13"/>
      <c r="O4" s="13"/>
      <c r="P4" s="13"/>
      <c r="Q4" s="13"/>
      <c r="R4" s="13"/>
      <c r="S4" s="14"/>
      <c r="T4" s="15" t="s">
        <v>3</v>
      </c>
      <c r="U4" s="1"/>
      <c r="V4" s="3"/>
      <c r="W4" s="1"/>
      <c r="X4" s="1"/>
    </row>
    <row r="5">
      <c r="A5" s="1"/>
      <c r="B5" s="16" t="s">
        <v>4</v>
      </c>
      <c r="C5" s="16" t="s">
        <v>5</v>
      </c>
      <c r="D5" s="17" t="s">
        <v>6</v>
      </c>
      <c r="E5" s="18" t="s">
        <v>7</v>
      </c>
      <c r="F5" s="17" t="s">
        <v>8</v>
      </c>
      <c r="G5" s="19" t="s">
        <v>9</v>
      </c>
      <c r="H5" s="18" t="s">
        <v>10</v>
      </c>
      <c r="I5" s="17" t="s">
        <v>11</v>
      </c>
      <c r="J5" s="17" t="s">
        <v>12</v>
      </c>
      <c r="K5" s="17" t="s">
        <v>13</v>
      </c>
      <c r="L5" s="20" t="s">
        <v>14</v>
      </c>
      <c r="M5" s="21" t="s">
        <v>15</v>
      </c>
      <c r="N5" s="22"/>
      <c r="O5" s="22"/>
      <c r="P5" s="22"/>
      <c r="Q5" s="23"/>
      <c r="R5" s="24" t="s">
        <v>16</v>
      </c>
      <c r="S5" s="25" t="s">
        <v>17</v>
      </c>
      <c r="T5" s="26"/>
      <c r="U5" s="1"/>
      <c r="V5" s="3"/>
      <c r="W5" s="1"/>
      <c r="X5" s="1"/>
    </row>
    <row r="6">
      <c r="A6" s="1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28" t="s">
        <v>18</v>
      </c>
      <c r="N6" s="29" t="s">
        <v>19</v>
      </c>
      <c r="O6" s="29" t="s">
        <v>20</v>
      </c>
      <c r="P6" s="29" t="s">
        <v>21</v>
      </c>
      <c r="Q6" s="30" t="s">
        <v>22</v>
      </c>
      <c r="R6" s="31"/>
      <c r="S6" s="26"/>
      <c r="T6" s="26"/>
      <c r="U6" s="1"/>
      <c r="V6" s="3"/>
      <c r="W6" s="1"/>
      <c r="X6" s="1"/>
    </row>
    <row r="7">
      <c r="A7" s="1"/>
      <c r="B7" s="32"/>
      <c r="C7" s="32"/>
      <c r="D7" s="32"/>
      <c r="E7" s="32"/>
      <c r="F7" s="32"/>
      <c r="G7" s="32"/>
      <c r="H7" s="32"/>
      <c r="I7" s="32"/>
      <c r="J7" s="32"/>
      <c r="K7" s="32"/>
      <c r="L7" s="33"/>
      <c r="M7" s="34">
        <f t="shared" ref="M7:Q7" si="1">COUNTA(M9:M283)</f>
        <v>45</v>
      </c>
      <c r="N7" s="35">
        <f t="shared" si="1"/>
        <v>8</v>
      </c>
      <c r="O7" s="35">
        <f t="shared" si="1"/>
        <v>109</v>
      </c>
      <c r="P7" s="35">
        <f t="shared" si="1"/>
        <v>1</v>
      </c>
      <c r="Q7" s="36">
        <f t="shared" si="1"/>
        <v>5</v>
      </c>
      <c r="R7" s="7"/>
      <c r="S7" s="32"/>
      <c r="T7" s="32"/>
      <c r="U7" s="1"/>
      <c r="V7" s="3"/>
      <c r="W7" s="1"/>
      <c r="X7" s="1"/>
    </row>
    <row r="8" ht="16.5" customHeight="1">
      <c r="A8" s="1"/>
      <c r="B8" s="37">
        <f t="shared" ref="B8:C8" si="2">COUNTA(B9:B283)</f>
        <v>185</v>
      </c>
      <c r="C8" s="37">
        <f t="shared" si="2"/>
        <v>172</v>
      </c>
      <c r="D8" s="38"/>
      <c r="E8" s="39"/>
      <c r="F8" s="38"/>
      <c r="G8" s="37">
        <f>COUNTA(G9:G283)</f>
        <v>172</v>
      </c>
      <c r="H8" s="37"/>
      <c r="I8" s="38"/>
      <c r="J8" s="38"/>
      <c r="K8" s="38"/>
      <c r="L8" s="40"/>
      <c r="M8" s="41">
        <f>SUM(M7:Q7)</f>
        <v>168</v>
      </c>
      <c r="N8" s="10"/>
      <c r="O8" s="10"/>
      <c r="P8" s="10"/>
      <c r="Q8" s="42"/>
      <c r="R8" s="43"/>
      <c r="S8" s="44"/>
      <c r="T8" s="38"/>
      <c r="U8" s="1"/>
      <c r="V8" s="3"/>
      <c r="W8" s="1"/>
      <c r="X8" s="1"/>
    </row>
    <row r="9" ht="30.0" customHeight="1">
      <c r="A9" s="1"/>
      <c r="B9" s="45">
        <f t="shared" ref="B9:B193" si="3">ROW()-8</f>
        <v>1</v>
      </c>
      <c r="C9" s="112">
        <v>45663.0</v>
      </c>
      <c r="D9" s="49" t="s">
        <v>343</v>
      </c>
      <c r="E9" s="113" t="s">
        <v>344</v>
      </c>
      <c r="F9" s="49" t="s">
        <v>345</v>
      </c>
      <c r="G9" s="113" t="s">
        <v>26</v>
      </c>
      <c r="H9" s="49" t="s">
        <v>343</v>
      </c>
      <c r="I9" s="49" t="s">
        <v>53</v>
      </c>
      <c r="J9" s="49" t="s">
        <v>83</v>
      </c>
      <c r="K9" s="49" t="s">
        <v>84</v>
      </c>
      <c r="L9" s="50" t="s">
        <v>160</v>
      </c>
      <c r="M9" s="51"/>
      <c r="N9" s="49"/>
      <c r="O9" s="49" t="s">
        <v>152</v>
      </c>
      <c r="P9" s="49"/>
      <c r="Q9" s="52"/>
      <c r="R9" s="114" t="s">
        <v>346</v>
      </c>
      <c r="S9" s="114" t="s">
        <v>347</v>
      </c>
      <c r="T9" s="115" t="s">
        <v>102</v>
      </c>
      <c r="U9" s="1"/>
      <c r="V9" s="3"/>
      <c r="W9" s="1"/>
      <c r="X9" s="1"/>
    </row>
    <row r="10" ht="40.5" customHeight="1">
      <c r="A10" s="1"/>
      <c r="B10" s="45">
        <f t="shared" si="3"/>
        <v>2</v>
      </c>
      <c r="C10" s="93">
        <v>45663.0</v>
      </c>
      <c r="D10" s="57" t="s">
        <v>348</v>
      </c>
      <c r="E10" s="57" t="s">
        <v>81</v>
      </c>
      <c r="F10" s="57" t="s">
        <v>349</v>
      </c>
      <c r="G10" s="57" t="s">
        <v>42</v>
      </c>
      <c r="H10" s="57" t="s">
        <v>350</v>
      </c>
      <c r="I10" s="57" t="s">
        <v>53</v>
      </c>
      <c r="J10" s="57" t="s">
        <v>61</v>
      </c>
      <c r="K10" s="57" t="s">
        <v>84</v>
      </c>
      <c r="L10" s="5" t="s">
        <v>160</v>
      </c>
      <c r="M10" s="59"/>
      <c r="N10" s="60"/>
      <c r="O10" s="60" t="s">
        <v>105</v>
      </c>
      <c r="P10" s="60"/>
      <c r="Q10" s="62"/>
      <c r="R10" s="81" t="s">
        <v>351</v>
      </c>
      <c r="S10" s="81" t="s">
        <v>352</v>
      </c>
      <c r="T10" s="82" t="s">
        <v>102</v>
      </c>
      <c r="U10" s="1"/>
      <c r="V10" s="3"/>
      <c r="W10" s="1"/>
      <c r="X10" s="1"/>
    </row>
    <row r="11" ht="30.0" customHeight="1">
      <c r="A11" s="1"/>
      <c r="B11" s="45">
        <f t="shared" si="3"/>
        <v>3</v>
      </c>
      <c r="C11" s="93">
        <v>45664.0</v>
      </c>
      <c r="D11" s="60" t="s">
        <v>353</v>
      </c>
      <c r="E11" s="60" t="s">
        <v>40</v>
      </c>
      <c r="F11" s="57" t="s">
        <v>354</v>
      </c>
      <c r="G11" s="57" t="s">
        <v>42</v>
      </c>
      <c r="H11" s="60" t="s">
        <v>355</v>
      </c>
      <c r="I11" s="60"/>
      <c r="J11" s="60"/>
      <c r="K11" s="60"/>
      <c r="L11" s="64"/>
      <c r="M11" s="65"/>
      <c r="N11" s="60" t="s">
        <v>203</v>
      </c>
      <c r="O11" s="60" t="s">
        <v>27</v>
      </c>
      <c r="P11" s="60"/>
      <c r="Q11" s="66"/>
      <c r="R11" s="81" t="s">
        <v>356</v>
      </c>
      <c r="S11" s="81" t="s">
        <v>357</v>
      </c>
      <c r="T11" s="82" t="s">
        <v>358</v>
      </c>
      <c r="U11" s="1"/>
      <c r="V11" s="3"/>
      <c r="W11" s="1"/>
      <c r="X11" s="1"/>
    </row>
    <row r="12">
      <c r="A12" s="1"/>
      <c r="B12" s="45">
        <f t="shared" si="3"/>
        <v>4</v>
      </c>
      <c r="C12" s="93">
        <v>45665.0</v>
      </c>
      <c r="D12" s="60" t="s">
        <v>359</v>
      </c>
      <c r="E12" s="57" t="s">
        <v>47</v>
      </c>
      <c r="F12" s="60" t="s">
        <v>360</v>
      </c>
      <c r="G12" s="57" t="s">
        <v>26</v>
      </c>
      <c r="H12" s="60" t="s">
        <v>359</v>
      </c>
      <c r="I12" s="57" t="s">
        <v>60</v>
      </c>
      <c r="J12" s="57" t="s">
        <v>61</v>
      </c>
      <c r="K12" s="57" t="s">
        <v>84</v>
      </c>
      <c r="L12" s="5" t="s">
        <v>85</v>
      </c>
      <c r="M12" s="59"/>
      <c r="N12" s="116"/>
      <c r="O12" s="60" t="s">
        <v>22</v>
      </c>
      <c r="P12" s="60"/>
      <c r="Q12" s="62"/>
      <c r="R12" s="81" t="s">
        <v>361</v>
      </c>
      <c r="S12" s="81" t="s">
        <v>362</v>
      </c>
      <c r="T12" s="82" t="s">
        <v>309</v>
      </c>
      <c r="U12" s="1"/>
      <c r="V12" s="3"/>
      <c r="W12" s="1"/>
      <c r="X12" s="1"/>
    </row>
    <row r="13">
      <c r="A13" s="1"/>
      <c r="B13" s="45">
        <f t="shared" si="3"/>
        <v>5</v>
      </c>
      <c r="C13" s="93">
        <v>45665.0</v>
      </c>
      <c r="D13" s="60"/>
      <c r="E13" s="57" t="s">
        <v>363</v>
      </c>
      <c r="F13" s="60" t="s">
        <v>164</v>
      </c>
      <c r="G13" s="57" t="s">
        <v>33</v>
      </c>
      <c r="H13" s="60"/>
      <c r="I13" s="57"/>
      <c r="J13" s="57"/>
      <c r="K13" s="60" t="s">
        <v>364</v>
      </c>
      <c r="L13" s="5" t="s">
        <v>85</v>
      </c>
      <c r="M13" s="59" t="s">
        <v>203</v>
      </c>
      <c r="N13" s="60"/>
      <c r="O13" s="60"/>
      <c r="P13" s="60"/>
      <c r="Q13" s="62"/>
      <c r="R13" s="81" t="s">
        <v>365</v>
      </c>
      <c r="S13" s="81" t="s">
        <v>366</v>
      </c>
      <c r="T13" s="82" t="s">
        <v>309</v>
      </c>
      <c r="U13" s="1"/>
      <c r="V13" s="3"/>
      <c r="W13" s="1"/>
      <c r="X13" s="1"/>
    </row>
    <row r="14" ht="30.0" customHeight="1">
      <c r="A14" s="1"/>
      <c r="B14" s="45">
        <f t="shared" si="3"/>
        <v>6</v>
      </c>
      <c r="C14" s="93">
        <v>45667.0</v>
      </c>
      <c r="D14" s="60" t="s">
        <v>367</v>
      </c>
      <c r="E14" s="57"/>
      <c r="F14" s="57" t="s">
        <v>368</v>
      </c>
      <c r="G14" s="57" t="s">
        <v>42</v>
      </c>
      <c r="H14" s="60" t="s">
        <v>369</v>
      </c>
      <c r="I14" s="57"/>
      <c r="J14" s="57" t="s">
        <v>61</v>
      </c>
      <c r="K14" s="57" t="s">
        <v>84</v>
      </c>
      <c r="L14" s="5" t="s">
        <v>160</v>
      </c>
      <c r="M14" s="59"/>
      <c r="N14" s="60"/>
      <c r="O14" s="60" t="s">
        <v>22</v>
      </c>
      <c r="P14" s="60"/>
      <c r="Q14" s="62"/>
      <c r="R14" s="81" t="s">
        <v>370</v>
      </c>
      <c r="S14" s="81" t="s">
        <v>371</v>
      </c>
      <c r="T14" s="82" t="s">
        <v>358</v>
      </c>
      <c r="U14" s="1"/>
      <c r="V14" s="3"/>
      <c r="W14" s="1"/>
      <c r="X14" s="1"/>
    </row>
    <row r="15" ht="30.0" customHeight="1">
      <c r="A15" s="1"/>
      <c r="B15" s="45">
        <f t="shared" si="3"/>
        <v>7</v>
      </c>
      <c r="C15" s="93">
        <v>45667.0</v>
      </c>
      <c r="D15" s="57" t="s">
        <v>372</v>
      </c>
      <c r="E15" s="57" t="s">
        <v>47</v>
      </c>
      <c r="F15" s="57" t="s">
        <v>373</v>
      </c>
      <c r="G15" s="57" t="s">
        <v>26</v>
      </c>
      <c r="H15" s="60"/>
      <c r="I15" s="57"/>
      <c r="J15" s="57"/>
      <c r="K15" s="57"/>
      <c r="L15" s="64"/>
      <c r="M15" s="65"/>
      <c r="N15" s="60"/>
      <c r="O15" s="57" t="s">
        <v>27</v>
      </c>
      <c r="P15" s="60"/>
      <c r="Q15" s="62"/>
      <c r="R15" s="81" t="s">
        <v>374</v>
      </c>
      <c r="S15" s="81" t="s">
        <v>375</v>
      </c>
      <c r="T15" s="82" t="s">
        <v>358</v>
      </c>
      <c r="U15" s="1"/>
      <c r="V15" s="3"/>
      <c r="W15" s="1"/>
      <c r="X15" s="1"/>
    </row>
    <row r="16" ht="30.0" customHeight="1">
      <c r="A16" s="1"/>
      <c r="B16" s="45">
        <f t="shared" si="3"/>
        <v>8</v>
      </c>
      <c r="C16" s="93">
        <v>45667.0</v>
      </c>
      <c r="D16" s="60" t="s">
        <v>376</v>
      </c>
      <c r="E16" s="60" t="s">
        <v>377</v>
      </c>
      <c r="F16" s="57" t="s">
        <v>378</v>
      </c>
      <c r="G16" s="57" t="s">
        <v>26</v>
      </c>
      <c r="H16" s="60" t="s">
        <v>376</v>
      </c>
      <c r="I16" s="60" t="s">
        <v>53</v>
      </c>
      <c r="J16" s="60" t="s">
        <v>61</v>
      </c>
      <c r="K16" s="60" t="s">
        <v>84</v>
      </c>
      <c r="L16" s="5" t="s">
        <v>85</v>
      </c>
      <c r="M16" s="59"/>
      <c r="N16" s="60"/>
      <c r="O16" s="60"/>
      <c r="P16" s="60"/>
      <c r="Q16" s="62"/>
      <c r="R16" s="81" t="s">
        <v>379</v>
      </c>
      <c r="S16" s="81" t="s">
        <v>380</v>
      </c>
      <c r="T16" s="82" t="s">
        <v>309</v>
      </c>
      <c r="U16" s="1"/>
      <c r="V16" s="3"/>
      <c r="W16" s="1"/>
      <c r="X16" s="1"/>
    </row>
    <row r="17" ht="30.0" customHeight="1">
      <c r="A17" s="1"/>
      <c r="B17" s="45">
        <f t="shared" si="3"/>
        <v>9</v>
      </c>
      <c r="C17" s="93">
        <v>45670.0</v>
      </c>
      <c r="D17" s="60"/>
      <c r="E17" s="57"/>
      <c r="F17" s="60" t="s">
        <v>381</v>
      </c>
      <c r="G17" s="57" t="s">
        <v>42</v>
      </c>
      <c r="H17" s="60"/>
      <c r="I17" s="60"/>
      <c r="J17" s="60"/>
      <c r="K17" s="60"/>
      <c r="L17" s="5"/>
      <c r="M17" s="59"/>
      <c r="N17" s="60"/>
      <c r="O17" s="60" t="s">
        <v>22</v>
      </c>
      <c r="P17" s="60"/>
      <c r="Q17" s="62"/>
      <c r="R17" s="81" t="s">
        <v>382</v>
      </c>
      <c r="S17" s="81" t="s">
        <v>383</v>
      </c>
      <c r="T17" s="82" t="s">
        <v>358</v>
      </c>
      <c r="U17" s="1"/>
      <c r="V17" s="3"/>
      <c r="W17" s="1"/>
      <c r="X17" s="1"/>
    </row>
    <row r="18" ht="30.0" customHeight="1">
      <c r="A18" s="1"/>
      <c r="B18" s="45">
        <f t="shared" si="3"/>
        <v>10</v>
      </c>
      <c r="C18" s="93">
        <v>45670.0</v>
      </c>
      <c r="D18" s="57"/>
      <c r="E18" s="57" t="s">
        <v>24</v>
      </c>
      <c r="F18" s="57" t="s">
        <v>384</v>
      </c>
      <c r="G18" s="57" t="s">
        <v>33</v>
      </c>
      <c r="H18" s="60"/>
      <c r="I18" s="60"/>
      <c r="J18" s="60"/>
      <c r="K18" s="60"/>
      <c r="L18" s="64"/>
      <c r="M18" s="65" t="s">
        <v>203</v>
      </c>
      <c r="N18" s="60"/>
      <c r="O18" s="57"/>
      <c r="P18" s="60"/>
      <c r="Q18" s="62"/>
      <c r="R18" s="81" t="s">
        <v>385</v>
      </c>
      <c r="S18" s="81" t="s">
        <v>386</v>
      </c>
      <c r="T18" s="82" t="s">
        <v>358</v>
      </c>
      <c r="U18" s="1"/>
      <c r="V18" s="3"/>
      <c r="W18" s="1"/>
      <c r="X18" s="1"/>
    </row>
    <row r="19" ht="30.0" customHeight="1">
      <c r="A19" s="1"/>
      <c r="B19" s="45">
        <f t="shared" si="3"/>
        <v>11</v>
      </c>
      <c r="C19" s="93">
        <v>45670.0</v>
      </c>
      <c r="D19" s="60"/>
      <c r="E19" s="60" t="s">
        <v>387</v>
      </c>
      <c r="F19" s="60" t="s">
        <v>388</v>
      </c>
      <c r="G19" s="57" t="s">
        <v>33</v>
      </c>
      <c r="H19" s="60"/>
      <c r="I19" s="60"/>
      <c r="J19" s="57"/>
      <c r="K19" s="60"/>
      <c r="L19" s="64"/>
      <c r="M19" s="59"/>
      <c r="N19" s="60"/>
      <c r="O19" s="60" t="s">
        <v>128</v>
      </c>
      <c r="P19" s="60"/>
      <c r="Q19" s="62"/>
      <c r="R19" s="81" t="s">
        <v>389</v>
      </c>
      <c r="S19" s="81" t="s">
        <v>390</v>
      </c>
      <c r="T19" s="82" t="s">
        <v>358</v>
      </c>
      <c r="U19" s="1"/>
      <c r="V19" s="3"/>
      <c r="W19" s="1"/>
      <c r="X19" s="1"/>
    </row>
    <row r="20" ht="30.0" customHeight="1">
      <c r="A20" s="1"/>
      <c r="B20" s="45">
        <f t="shared" si="3"/>
        <v>12</v>
      </c>
      <c r="C20" s="93">
        <v>45671.0</v>
      </c>
      <c r="D20" s="60"/>
      <c r="E20" s="57"/>
      <c r="F20" s="60" t="s">
        <v>391</v>
      </c>
      <c r="G20" s="57" t="s">
        <v>26</v>
      </c>
      <c r="H20" s="60"/>
      <c r="I20" s="60"/>
      <c r="J20" s="57"/>
      <c r="K20" s="57"/>
      <c r="L20" s="64"/>
      <c r="M20" s="59"/>
      <c r="N20" s="60"/>
      <c r="O20" s="60" t="s">
        <v>27</v>
      </c>
      <c r="P20" s="60"/>
      <c r="Q20" s="62"/>
      <c r="R20" s="81" t="s">
        <v>392</v>
      </c>
      <c r="S20" s="81" t="s">
        <v>393</v>
      </c>
      <c r="T20" s="82" t="s">
        <v>358</v>
      </c>
      <c r="U20" s="1"/>
      <c r="V20" s="3"/>
      <c r="W20" s="1"/>
      <c r="X20" s="1"/>
    </row>
    <row r="21" ht="30.0" customHeight="1">
      <c r="A21" s="1"/>
      <c r="B21" s="45">
        <f t="shared" si="3"/>
        <v>13</v>
      </c>
      <c r="C21" s="93">
        <v>45671.0</v>
      </c>
      <c r="D21" s="57" t="s">
        <v>376</v>
      </c>
      <c r="E21" s="57" t="s">
        <v>377</v>
      </c>
      <c r="F21" s="57" t="s">
        <v>378</v>
      </c>
      <c r="G21" s="57" t="s">
        <v>26</v>
      </c>
      <c r="H21" s="60" t="s">
        <v>376</v>
      </c>
      <c r="I21" s="60" t="s">
        <v>53</v>
      </c>
      <c r="J21" s="60" t="s">
        <v>61</v>
      </c>
      <c r="K21" s="60" t="s">
        <v>84</v>
      </c>
      <c r="L21" s="5" t="s">
        <v>85</v>
      </c>
      <c r="M21" s="59" t="s">
        <v>203</v>
      </c>
      <c r="N21" s="60"/>
      <c r="O21" s="60"/>
      <c r="P21" s="60"/>
      <c r="Q21" s="62"/>
      <c r="R21" s="81" t="s">
        <v>394</v>
      </c>
      <c r="S21" s="81" t="s">
        <v>395</v>
      </c>
      <c r="T21" s="82" t="s">
        <v>309</v>
      </c>
      <c r="U21" s="1"/>
      <c r="V21" s="3"/>
      <c r="W21" s="1"/>
      <c r="X21" s="1"/>
    </row>
    <row r="22" ht="30.0" customHeight="1">
      <c r="A22" s="1"/>
      <c r="B22" s="45">
        <f t="shared" si="3"/>
        <v>14</v>
      </c>
      <c r="C22" s="93">
        <v>45672.0</v>
      </c>
      <c r="D22" s="60" t="s">
        <v>396</v>
      </c>
      <c r="E22" s="60" t="s">
        <v>40</v>
      </c>
      <c r="F22" s="57" t="s">
        <v>397</v>
      </c>
      <c r="G22" s="57" t="s">
        <v>26</v>
      </c>
      <c r="H22" s="60" t="s">
        <v>396</v>
      </c>
      <c r="I22" s="60" t="s">
        <v>53</v>
      </c>
      <c r="J22" s="57" t="s">
        <v>99</v>
      </c>
      <c r="K22" s="60" t="s">
        <v>84</v>
      </c>
      <c r="L22" s="5" t="s">
        <v>85</v>
      </c>
      <c r="M22" s="59"/>
      <c r="N22" s="60"/>
      <c r="O22" s="60"/>
      <c r="P22" s="60"/>
      <c r="Q22" s="62" t="s">
        <v>398</v>
      </c>
      <c r="R22" s="81" t="s">
        <v>399</v>
      </c>
      <c r="S22" s="81" t="s">
        <v>400</v>
      </c>
      <c r="T22" s="82" t="s">
        <v>309</v>
      </c>
      <c r="U22" s="1"/>
      <c r="V22" s="3"/>
      <c r="W22" s="1"/>
      <c r="X22" s="1"/>
    </row>
    <row r="23" ht="30.0" customHeight="1">
      <c r="A23" s="1"/>
      <c r="B23" s="45">
        <f t="shared" si="3"/>
        <v>15</v>
      </c>
      <c r="C23" s="93">
        <v>45672.0</v>
      </c>
      <c r="D23" s="57" t="s">
        <v>401</v>
      </c>
      <c r="E23" s="57" t="s">
        <v>301</v>
      </c>
      <c r="F23" s="57" t="s">
        <v>402</v>
      </c>
      <c r="G23" s="57" t="s">
        <v>70</v>
      </c>
      <c r="H23" s="57"/>
      <c r="I23" s="57"/>
      <c r="J23" s="57"/>
      <c r="K23" s="60"/>
      <c r="L23" s="64"/>
      <c r="M23" s="65" t="s">
        <v>71</v>
      </c>
      <c r="N23" s="60"/>
      <c r="O23" s="57"/>
      <c r="P23" s="60"/>
      <c r="Q23" s="62"/>
      <c r="R23" s="81" t="s">
        <v>403</v>
      </c>
      <c r="S23" s="81" t="s">
        <v>404</v>
      </c>
      <c r="T23" s="82" t="s">
        <v>358</v>
      </c>
      <c r="U23" s="1"/>
      <c r="V23" s="3"/>
      <c r="W23" s="1"/>
      <c r="X23" s="1"/>
    </row>
    <row r="24" ht="30.0" customHeight="1">
      <c r="A24" s="1"/>
      <c r="B24" s="45">
        <f t="shared" si="3"/>
        <v>16</v>
      </c>
      <c r="C24" s="93">
        <v>45674.0</v>
      </c>
      <c r="D24" s="57"/>
      <c r="E24" s="57" t="s">
        <v>40</v>
      </c>
      <c r="F24" s="57" t="s">
        <v>405</v>
      </c>
      <c r="G24" s="57" t="s">
        <v>42</v>
      </c>
      <c r="H24" s="57" t="s">
        <v>406</v>
      </c>
      <c r="I24" s="57" t="s">
        <v>60</v>
      </c>
      <c r="J24" s="57" t="s">
        <v>61</v>
      </c>
      <c r="K24" s="60" t="s">
        <v>84</v>
      </c>
      <c r="L24" s="64" t="s">
        <v>160</v>
      </c>
      <c r="M24" s="65"/>
      <c r="N24" s="60" t="s">
        <v>71</v>
      </c>
      <c r="O24" s="57"/>
      <c r="P24" s="60"/>
      <c r="Q24" s="62"/>
      <c r="R24" s="81" t="s">
        <v>407</v>
      </c>
      <c r="S24" s="81" t="s">
        <v>408</v>
      </c>
      <c r="T24" s="82" t="s">
        <v>102</v>
      </c>
      <c r="U24" s="1"/>
      <c r="V24" s="3"/>
      <c r="W24" s="1"/>
      <c r="X24" s="1"/>
    </row>
    <row r="25" ht="30.0" customHeight="1">
      <c r="A25" s="1"/>
      <c r="B25" s="45">
        <f t="shared" si="3"/>
        <v>17</v>
      </c>
      <c r="C25" s="93">
        <v>45674.0</v>
      </c>
      <c r="D25" s="57"/>
      <c r="E25" s="57" t="s">
        <v>47</v>
      </c>
      <c r="F25" s="57" t="s">
        <v>409</v>
      </c>
      <c r="G25" s="57" t="s">
        <v>26</v>
      </c>
      <c r="H25" s="57" t="s">
        <v>410</v>
      </c>
      <c r="I25" s="57" t="s">
        <v>53</v>
      </c>
      <c r="J25" s="57" t="s">
        <v>61</v>
      </c>
      <c r="K25" s="60" t="s">
        <v>84</v>
      </c>
      <c r="L25" s="5" t="s">
        <v>160</v>
      </c>
      <c r="M25" s="59"/>
      <c r="N25" s="60"/>
      <c r="O25" s="60" t="s">
        <v>105</v>
      </c>
      <c r="P25" s="60"/>
      <c r="Q25" s="62"/>
      <c r="R25" s="81" t="s">
        <v>411</v>
      </c>
      <c r="S25" s="81" t="s">
        <v>412</v>
      </c>
      <c r="T25" s="82" t="s">
        <v>102</v>
      </c>
      <c r="U25" s="1"/>
      <c r="V25" s="3"/>
      <c r="W25" s="1"/>
      <c r="X25" s="1"/>
    </row>
    <row r="26" ht="30.0" customHeight="1">
      <c r="A26" s="1"/>
      <c r="B26" s="45">
        <f t="shared" si="3"/>
        <v>18</v>
      </c>
      <c r="C26" s="93">
        <v>45679.0</v>
      </c>
      <c r="D26" s="57"/>
      <c r="E26" s="60" t="s">
        <v>24</v>
      </c>
      <c r="F26" s="57" t="s">
        <v>413</v>
      </c>
      <c r="G26" s="57" t="s">
        <v>215</v>
      </c>
      <c r="H26" s="57"/>
      <c r="I26" s="57"/>
      <c r="J26" s="57"/>
      <c r="K26" s="57"/>
      <c r="L26" s="64"/>
      <c r="M26" s="65"/>
      <c r="N26" s="60" t="s">
        <v>71</v>
      </c>
      <c r="O26" s="57"/>
      <c r="P26" s="60"/>
      <c r="Q26" s="62"/>
      <c r="R26" s="81" t="s">
        <v>414</v>
      </c>
      <c r="S26" s="81" t="s">
        <v>415</v>
      </c>
      <c r="T26" s="82" t="s">
        <v>102</v>
      </c>
      <c r="U26" s="1"/>
      <c r="V26" s="3"/>
      <c r="W26" s="1"/>
      <c r="X26" s="1"/>
    </row>
    <row r="27" ht="30.0" customHeight="1">
      <c r="A27" s="1"/>
      <c r="B27" s="45">
        <f t="shared" si="3"/>
        <v>19</v>
      </c>
      <c r="C27" s="93">
        <v>45699.0</v>
      </c>
      <c r="D27" s="60" t="s">
        <v>324</v>
      </c>
      <c r="E27" s="57" t="s">
        <v>47</v>
      </c>
      <c r="F27" s="60" t="s">
        <v>416</v>
      </c>
      <c r="G27" s="57" t="s">
        <v>26</v>
      </c>
      <c r="H27" s="60" t="s">
        <v>324</v>
      </c>
      <c r="I27" s="60" t="s">
        <v>53</v>
      </c>
      <c r="J27" s="60" t="s">
        <v>83</v>
      </c>
      <c r="K27" s="60" t="s">
        <v>84</v>
      </c>
      <c r="L27" s="64"/>
      <c r="M27" s="65"/>
      <c r="N27" s="57"/>
      <c r="O27" s="60" t="s">
        <v>417</v>
      </c>
      <c r="P27" s="60"/>
      <c r="Q27" s="62"/>
      <c r="R27" s="81" t="s">
        <v>418</v>
      </c>
      <c r="S27" s="81"/>
      <c r="T27" s="82" t="s">
        <v>102</v>
      </c>
      <c r="U27" s="1"/>
      <c r="V27" s="3"/>
      <c r="W27" s="1"/>
      <c r="X27" s="1"/>
    </row>
    <row r="28" ht="30.0" customHeight="1">
      <c r="A28" s="1"/>
      <c r="B28" s="45">
        <f t="shared" si="3"/>
        <v>20</v>
      </c>
      <c r="C28" s="93">
        <v>45700.0</v>
      </c>
      <c r="D28" s="60" t="s">
        <v>206</v>
      </c>
      <c r="E28" s="57" t="s">
        <v>47</v>
      </c>
      <c r="F28" s="57" t="s">
        <v>419</v>
      </c>
      <c r="G28" s="57" t="s">
        <v>42</v>
      </c>
      <c r="H28" s="60" t="s">
        <v>206</v>
      </c>
      <c r="I28" s="60" t="s">
        <v>53</v>
      </c>
      <c r="J28" s="60" t="s">
        <v>99</v>
      </c>
      <c r="K28" s="60" t="s">
        <v>84</v>
      </c>
      <c r="L28" s="64" t="s">
        <v>160</v>
      </c>
      <c r="M28" s="59"/>
      <c r="N28" s="60"/>
      <c r="O28" s="60" t="s">
        <v>254</v>
      </c>
      <c r="P28" s="60"/>
      <c r="Q28" s="62"/>
      <c r="R28" s="81" t="s">
        <v>420</v>
      </c>
      <c r="S28" s="81" t="s">
        <v>421</v>
      </c>
      <c r="T28" s="82" t="s">
        <v>309</v>
      </c>
      <c r="U28" s="1"/>
      <c r="V28" s="3"/>
      <c r="W28" s="1"/>
      <c r="X28" s="1"/>
    </row>
    <row r="29" ht="30.0" customHeight="1">
      <c r="A29" s="1"/>
      <c r="B29" s="45">
        <f t="shared" si="3"/>
        <v>21</v>
      </c>
      <c r="C29" s="93">
        <v>45700.0</v>
      </c>
      <c r="D29" s="60" t="s">
        <v>422</v>
      </c>
      <c r="E29" s="57" t="s">
        <v>40</v>
      </c>
      <c r="F29" s="60" t="s">
        <v>423</v>
      </c>
      <c r="G29" s="57" t="s">
        <v>33</v>
      </c>
      <c r="H29" s="60"/>
      <c r="I29" s="60"/>
      <c r="J29" s="57"/>
      <c r="K29" s="60"/>
      <c r="L29" s="5"/>
      <c r="M29" s="59" t="s">
        <v>120</v>
      </c>
      <c r="N29" s="60"/>
      <c r="O29" s="60"/>
      <c r="P29" s="60"/>
      <c r="Q29" s="62"/>
      <c r="R29" s="81" t="s">
        <v>424</v>
      </c>
      <c r="S29" s="81" t="s">
        <v>425</v>
      </c>
      <c r="T29" s="82" t="s">
        <v>102</v>
      </c>
      <c r="U29" s="1"/>
      <c r="V29" s="3"/>
      <c r="W29" s="1"/>
      <c r="X29" s="1"/>
    </row>
    <row r="30" ht="30.0" customHeight="1">
      <c r="A30" s="1"/>
      <c r="B30" s="45">
        <f t="shared" si="3"/>
        <v>22</v>
      </c>
      <c r="C30" s="93">
        <v>45701.0</v>
      </c>
      <c r="D30" s="60"/>
      <c r="E30" s="57"/>
      <c r="F30" s="57" t="s">
        <v>426</v>
      </c>
      <c r="G30" s="57" t="s">
        <v>42</v>
      </c>
      <c r="H30" s="60"/>
      <c r="I30" s="60"/>
      <c r="J30" s="57"/>
      <c r="K30" s="60"/>
      <c r="L30" s="64"/>
      <c r="M30" s="65"/>
      <c r="N30" s="60"/>
      <c r="O30" s="60" t="s">
        <v>22</v>
      </c>
      <c r="P30" s="60"/>
      <c r="Q30" s="66"/>
      <c r="R30" s="81" t="s">
        <v>427</v>
      </c>
      <c r="S30" s="81" t="s">
        <v>428</v>
      </c>
      <c r="T30" s="82" t="s">
        <v>358</v>
      </c>
      <c r="U30" s="1"/>
      <c r="V30" s="3"/>
      <c r="W30" s="1"/>
      <c r="X30" s="1"/>
    </row>
    <row r="31" ht="30.0" customHeight="1">
      <c r="A31" s="1"/>
      <c r="B31" s="45">
        <f t="shared" si="3"/>
        <v>23</v>
      </c>
      <c r="C31" s="93">
        <v>45702.0</v>
      </c>
      <c r="D31" s="60"/>
      <c r="E31" s="60" t="s">
        <v>429</v>
      </c>
      <c r="F31" s="57" t="s">
        <v>430</v>
      </c>
      <c r="G31" s="57" t="s">
        <v>33</v>
      </c>
      <c r="H31" s="60"/>
      <c r="I31" s="60"/>
      <c r="J31" s="60"/>
      <c r="K31" s="60"/>
      <c r="L31" s="64"/>
      <c r="M31" s="65" t="s">
        <v>120</v>
      </c>
      <c r="N31" s="60"/>
      <c r="O31" s="57"/>
      <c r="P31" s="60"/>
      <c r="Q31" s="62"/>
      <c r="R31" s="81" t="s">
        <v>431</v>
      </c>
      <c r="S31" s="81" t="s">
        <v>432</v>
      </c>
      <c r="T31" s="82" t="s">
        <v>102</v>
      </c>
      <c r="U31" s="1"/>
      <c r="V31" s="3"/>
      <c r="W31" s="1"/>
      <c r="X31" s="1"/>
    </row>
    <row r="32" ht="30.0" customHeight="1">
      <c r="A32" s="1"/>
      <c r="B32" s="45">
        <f t="shared" si="3"/>
        <v>24</v>
      </c>
      <c r="C32" s="93">
        <v>45705.0</v>
      </c>
      <c r="D32" s="60" t="s">
        <v>433</v>
      </c>
      <c r="E32" s="57" t="s">
        <v>24</v>
      </c>
      <c r="F32" s="60" t="s">
        <v>434</v>
      </c>
      <c r="G32" s="57" t="s">
        <v>26</v>
      </c>
      <c r="H32" s="60" t="s">
        <v>433</v>
      </c>
      <c r="I32" s="60" t="s">
        <v>60</v>
      </c>
      <c r="J32" s="60" t="s">
        <v>61</v>
      </c>
      <c r="K32" s="60" t="s">
        <v>84</v>
      </c>
      <c r="L32" s="64"/>
      <c r="M32" s="59"/>
      <c r="N32" s="60"/>
      <c r="O32" s="60" t="s">
        <v>27</v>
      </c>
      <c r="P32" s="60"/>
      <c r="Q32" s="62"/>
      <c r="R32" s="81" t="s">
        <v>435</v>
      </c>
      <c r="S32" s="81" t="s">
        <v>436</v>
      </c>
      <c r="T32" s="82" t="s">
        <v>102</v>
      </c>
      <c r="U32" s="1"/>
      <c r="V32" s="3"/>
      <c r="W32" s="1"/>
      <c r="X32" s="1"/>
    </row>
    <row r="33" ht="30.0" customHeight="1">
      <c r="A33" s="1"/>
      <c r="B33" s="45">
        <f t="shared" si="3"/>
        <v>25</v>
      </c>
      <c r="C33" s="93">
        <v>45705.0</v>
      </c>
      <c r="D33" s="60" t="s">
        <v>422</v>
      </c>
      <c r="E33" s="57" t="s">
        <v>40</v>
      </c>
      <c r="F33" s="57" t="s">
        <v>423</v>
      </c>
      <c r="G33" s="57" t="s">
        <v>33</v>
      </c>
      <c r="H33" s="60"/>
      <c r="I33" s="60"/>
      <c r="J33" s="60"/>
      <c r="K33" s="60"/>
      <c r="L33" s="64"/>
      <c r="M33" s="65"/>
      <c r="N33" s="60"/>
      <c r="O33" s="60"/>
      <c r="P33" s="60"/>
      <c r="Q33" s="66"/>
      <c r="R33" s="81"/>
      <c r="S33" s="81"/>
      <c r="T33" s="82"/>
      <c r="U33" s="1"/>
      <c r="V33" s="3"/>
      <c r="W33" s="1"/>
      <c r="X33" s="1"/>
    </row>
    <row r="34" ht="30.0" customHeight="1">
      <c r="A34" s="1"/>
      <c r="B34" s="45">
        <f t="shared" si="3"/>
        <v>26</v>
      </c>
      <c r="C34" s="93">
        <v>45706.0</v>
      </c>
      <c r="D34" s="57"/>
      <c r="E34" s="57"/>
      <c r="F34" s="57" t="s">
        <v>437</v>
      </c>
      <c r="G34" s="57" t="s">
        <v>42</v>
      </c>
      <c r="H34" s="60"/>
      <c r="I34" s="60"/>
      <c r="J34" s="60"/>
      <c r="K34" s="60"/>
      <c r="L34" s="64"/>
      <c r="M34" s="65" t="s">
        <v>203</v>
      </c>
      <c r="N34" s="57"/>
      <c r="O34" s="60"/>
      <c r="P34" s="60"/>
      <c r="Q34" s="62"/>
      <c r="R34" s="81" t="s">
        <v>438</v>
      </c>
      <c r="S34" s="81" t="s">
        <v>439</v>
      </c>
      <c r="T34" s="82" t="s">
        <v>358</v>
      </c>
      <c r="U34" s="1"/>
      <c r="V34" s="3"/>
      <c r="W34" s="1"/>
      <c r="X34" s="1"/>
    </row>
    <row r="35" ht="30.0" customHeight="1">
      <c r="A35" s="1"/>
      <c r="B35" s="45">
        <f t="shared" si="3"/>
        <v>27</v>
      </c>
      <c r="C35" s="93">
        <v>45706.0</v>
      </c>
      <c r="D35" s="57" t="s">
        <v>440</v>
      </c>
      <c r="E35" s="57" t="s">
        <v>344</v>
      </c>
      <c r="F35" s="60" t="s">
        <v>441</v>
      </c>
      <c r="G35" s="57" t="s">
        <v>33</v>
      </c>
      <c r="H35" s="60"/>
      <c r="I35" s="60"/>
      <c r="J35" s="60" t="s">
        <v>83</v>
      </c>
      <c r="K35" s="60"/>
      <c r="L35" s="64"/>
      <c r="M35" s="65"/>
      <c r="N35" s="60"/>
      <c r="O35" s="57" t="s">
        <v>27</v>
      </c>
      <c r="P35" s="60"/>
      <c r="Q35" s="62"/>
      <c r="R35" s="81" t="s">
        <v>442</v>
      </c>
      <c r="S35" s="81" t="s">
        <v>443</v>
      </c>
      <c r="T35" s="82" t="s">
        <v>45</v>
      </c>
      <c r="U35" s="1"/>
      <c r="V35" s="3"/>
      <c r="W35" s="1"/>
      <c r="X35" s="1"/>
    </row>
    <row r="36" ht="31.5" customHeight="1">
      <c r="A36" s="1"/>
      <c r="B36" s="45">
        <f t="shared" si="3"/>
        <v>28</v>
      </c>
      <c r="C36" s="93">
        <v>45706.0</v>
      </c>
      <c r="D36" s="60" t="s">
        <v>444</v>
      </c>
      <c r="E36" s="60" t="s">
        <v>40</v>
      </c>
      <c r="F36" s="60" t="s">
        <v>445</v>
      </c>
      <c r="G36" s="57" t="s">
        <v>42</v>
      </c>
      <c r="H36" s="60"/>
      <c r="I36" s="60"/>
      <c r="J36" s="60" t="s">
        <v>61</v>
      </c>
      <c r="K36" s="60"/>
      <c r="L36" s="64"/>
      <c r="M36" s="65" t="s">
        <v>203</v>
      </c>
      <c r="N36" s="60"/>
      <c r="O36" s="57" t="s">
        <v>152</v>
      </c>
      <c r="P36" s="60"/>
      <c r="Q36" s="62"/>
      <c r="R36" s="81" t="s">
        <v>446</v>
      </c>
      <c r="S36" s="81" t="s">
        <v>447</v>
      </c>
      <c r="T36" s="82" t="s">
        <v>45</v>
      </c>
      <c r="U36" s="1"/>
      <c r="V36" s="3"/>
      <c r="W36" s="1"/>
      <c r="X36" s="1"/>
    </row>
    <row r="37" ht="51.75" customHeight="1">
      <c r="A37" s="1"/>
      <c r="B37" s="45">
        <f t="shared" si="3"/>
        <v>29</v>
      </c>
      <c r="C37" s="93">
        <v>45706.0</v>
      </c>
      <c r="D37" s="60" t="s">
        <v>448</v>
      </c>
      <c r="E37" s="57" t="s">
        <v>40</v>
      </c>
      <c r="F37" s="60" t="s">
        <v>423</v>
      </c>
      <c r="G37" s="57" t="s">
        <v>33</v>
      </c>
      <c r="H37" s="60"/>
      <c r="I37" s="60"/>
      <c r="J37" s="60"/>
      <c r="K37" s="60"/>
      <c r="L37" s="64"/>
      <c r="M37" s="65" t="s">
        <v>449</v>
      </c>
      <c r="N37" s="60"/>
      <c r="O37" s="60"/>
      <c r="P37" s="60"/>
      <c r="Q37" s="66"/>
      <c r="R37" s="81" t="s">
        <v>450</v>
      </c>
      <c r="S37" s="81" t="s">
        <v>451</v>
      </c>
      <c r="T37" s="82" t="s">
        <v>102</v>
      </c>
      <c r="U37" s="1"/>
      <c r="V37" s="3"/>
      <c r="W37" s="1"/>
      <c r="X37" s="1"/>
    </row>
    <row r="38" ht="41.25" customHeight="1">
      <c r="A38" s="1"/>
      <c r="B38" s="45">
        <f t="shared" si="3"/>
        <v>30</v>
      </c>
      <c r="C38" s="93">
        <v>45706.0</v>
      </c>
      <c r="D38" s="60" t="s">
        <v>452</v>
      </c>
      <c r="E38" s="57" t="s">
        <v>40</v>
      </c>
      <c r="F38" s="57" t="s">
        <v>453</v>
      </c>
      <c r="G38" s="57" t="s">
        <v>26</v>
      </c>
      <c r="H38" s="60" t="s">
        <v>452</v>
      </c>
      <c r="I38" s="60" t="s">
        <v>119</v>
      </c>
      <c r="J38" s="57" t="s">
        <v>83</v>
      </c>
      <c r="K38" s="57" t="s">
        <v>55</v>
      </c>
      <c r="L38" s="5" t="s">
        <v>85</v>
      </c>
      <c r="M38" s="65" t="s">
        <v>71</v>
      </c>
      <c r="N38" s="60"/>
      <c r="O38" s="57"/>
      <c r="P38" s="60"/>
      <c r="Q38" s="62"/>
      <c r="R38" s="81" t="s">
        <v>454</v>
      </c>
      <c r="S38" s="81" t="s">
        <v>455</v>
      </c>
      <c r="T38" s="82" t="s">
        <v>102</v>
      </c>
      <c r="U38" s="1"/>
      <c r="V38" s="3"/>
      <c r="W38" s="1"/>
      <c r="X38" s="1"/>
    </row>
    <row r="39" ht="42.0" customHeight="1">
      <c r="A39" s="1"/>
      <c r="B39" s="45">
        <f t="shared" si="3"/>
        <v>31</v>
      </c>
      <c r="C39" s="93">
        <v>45706.0</v>
      </c>
      <c r="D39" s="60"/>
      <c r="E39" s="57" t="s">
        <v>47</v>
      </c>
      <c r="F39" s="57" t="s">
        <v>456</v>
      </c>
      <c r="G39" s="57" t="s">
        <v>33</v>
      </c>
      <c r="H39" s="60"/>
      <c r="I39" s="60"/>
      <c r="J39" s="57"/>
      <c r="K39" s="60"/>
      <c r="L39" s="5"/>
      <c r="M39" s="59"/>
      <c r="N39" s="60"/>
      <c r="O39" s="60" t="s">
        <v>22</v>
      </c>
      <c r="P39" s="60"/>
      <c r="Q39" s="62"/>
      <c r="R39" s="81" t="s">
        <v>457</v>
      </c>
      <c r="S39" s="81" t="s">
        <v>458</v>
      </c>
      <c r="T39" s="82" t="s">
        <v>358</v>
      </c>
      <c r="U39" s="1"/>
      <c r="V39" s="3"/>
      <c r="W39" s="1"/>
      <c r="X39" s="1"/>
    </row>
    <row r="40" ht="36.75" customHeight="1">
      <c r="A40" s="1"/>
      <c r="B40" s="45">
        <f t="shared" si="3"/>
        <v>32</v>
      </c>
      <c r="C40" s="93">
        <v>45707.0</v>
      </c>
      <c r="D40" s="57" t="s">
        <v>88</v>
      </c>
      <c r="E40" s="60" t="s">
        <v>47</v>
      </c>
      <c r="F40" s="60" t="s">
        <v>89</v>
      </c>
      <c r="G40" s="57" t="s">
        <v>26</v>
      </c>
      <c r="H40" s="60" t="s">
        <v>88</v>
      </c>
      <c r="I40" s="60" t="s">
        <v>60</v>
      </c>
      <c r="J40" s="57" t="s">
        <v>61</v>
      </c>
      <c r="K40" s="57" t="s">
        <v>55</v>
      </c>
      <c r="L40" s="5" t="s">
        <v>160</v>
      </c>
      <c r="M40" s="65"/>
      <c r="N40" s="60"/>
      <c r="O40" s="57" t="s">
        <v>417</v>
      </c>
      <c r="P40" s="60"/>
      <c r="Q40" s="62"/>
      <c r="R40" s="81" t="s">
        <v>459</v>
      </c>
      <c r="S40" s="81" t="s">
        <v>460</v>
      </c>
      <c r="T40" s="82" t="s">
        <v>102</v>
      </c>
      <c r="U40" s="1"/>
      <c r="V40" s="3"/>
      <c r="W40" s="1"/>
      <c r="X40" s="1"/>
    </row>
    <row r="41" ht="30.0" customHeight="1">
      <c r="A41" s="1"/>
      <c r="B41" s="45">
        <f t="shared" si="3"/>
        <v>33</v>
      </c>
      <c r="C41" s="93">
        <v>45707.0</v>
      </c>
      <c r="D41" s="57"/>
      <c r="E41" s="60"/>
      <c r="F41" s="60" t="s">
        <v>461</v>
      </c>
      <c r="G41" s="57" t="s">
        <v>42</v>
      </c>
      <c r="H41" s="60"/>
      <c r="I41" s="60"/>
      <c r="J41" s="57"/>
      <c r="K41" s="57"/>
      <c r="L41" s="64"/>
      <c r="M41" s="65" t="s">
        <v>203</v>
      </c>
      <c r="N41" s="60"/>
      <c r="O41" s="57" t="s">
        <v>152</v>
      </c>
      <c r="P41" s="60"/>
      <c r="Q41" s="62"/>
      <c r="R41" s="81" t="s">
        <v>462</v>
      </c>
      <c r="S41" s="81" t="s">
        <v>463</v>
      </c>
      <c r="T41" s="82" t="s">
        <v>45</v>
      </c>
      <c r="U41" s="1"/>
      <c r="V41" s="3"/>
      <c r="W41" s="1"/>
      <c r="X41" s="1"/>
    </row>
    <row r="42" ht="30.0" customHeight="1">
      <c r="A42" s="1"/>
      <c r="B42" s="45">
        <f t="shared" si="3"/>
        <v>34</v>
      </c>
      <c r="C42" s="93">
        <v>45713.0</v>
      </c>
      <c r="D42" s="57" t="s">
        <v>464</v>
      </c>
      <c r="E42" s="57" t="s">
        <v>440</v>
      </c>
      <c r="F42" s="60" t="s">
        <v>465</v>
      </c>
      <c r="G42" s="57" t="s">
        <v>33</v>
      </c>
      <c r="H42" s="60"/>
      <c r="I42" s="60"/>
      <c r="J42" s="60"/>
      <c r="K42" s="60"/>
      <c r="L42" s="64"/>
      <c r="M42" s="59"/>
      <c r="N42" s="60"/>
      <c r="O42" s="60" t="s">
        <v>27</v>
      </c>
      <c r="P42" s="60"/>
      <c r="Q42" s="62"/>
      <c r="R42" s="81" t="s">
        <v>466</v>
      </c>
      <c r="S42" s="81" t="s">
        <v>467</v>
      </c>
      <c r="T42" s="82" t="s">
        <v>102</v>
      </c>
      <c r="U42" s="1"/>
      <c r="V42" s="3"/>
      <c r="W42" s="1"/>
      <c r="X42" s="1"/>
    </row>
    <row r="43" ht="30.0" customHeight="1">
      <c r="A43" s="1"/>
      <c r="B43" s="45">
        <f t="shared" si="3"/>
        <v>35</v>
      </c>
      <c r="C43" s="93">
        <v>45714.0</v>
      </c>
      <c r="D43" s="60" t="s">
        <v>468</v>
      </c>
      <c r="E43" s="60" t="s">
        <v>47</v>
      </c>
      <c r="F43" s="60" t="s">
        <v>469</v>
      </c>
      <c r="G43" s="57" t="s">
        <v>26</v>
      </c>
      <c r="H43" s="60" t="s">
        <v>468</v>
      </c>
      <c r="I43" s="60" t="s">
        <v>60</v>
      </c>
      <c r="J43" s="57" t="s">
        <v>61</v>
      </c>
      <c r="K43" s="60" t="s">
        <v>55</v>
      </c>
      <c r="L43" s="64" t="s">
        <v>160</v>
      </c>
      <c r="M43" s="65"/>
      <c r="N43" s="60"/>
      <c r="O43" s="60" t="s">
        <v>105</v>
      </c>
      <c r="P43" s="60"/>
      <c r="Q43" s="66"/>
      <c r="R43" s="81" t="s">
        <v>470</v>
      </c>
      <c r="S43" s="81" t="s">
        <v>471</v>
      </c>
      <c r="T43" s="82" t="s">
        <v>102</v>
      </c>
      <c r="U43" s="1"/>
      <c r="V43" s="3"/>
      <c r="W43" s="1"/>
      <c r="X43" s="1"/>
    </row>
    <row r="44" ht="26.25" customHeight="1">
      <c r="A44" s="1"/>
      <c r="B44" s="45">
        <f t="shared" si="3"/>
        <v>36</v>
      </c>
      <c r="C44" s="93">
        <v>45715.0</v>
      </c>
      <c r="D44" s="60" t="s">
        <v>472</v>
      </c>
      <c r="E44" s="57" t="s">
        <v>40</v>
      </c>
      <c r="F44" s="60" t="s">
        <v>473</v>
      </c>
      <c r="G44" s="57" t="s">
        <v>26</v>
      </c>
      <c r="H44" s="60" t="s">
        <v>472</v>
      </c>
      <c r="I44" s="60" t="s">
        <v>53</v>
      </c>
      <c r="J44" s="60"/>
      <c r="K44" s="60"/>
      <c r="L44" s="64" t="s">
        <v>85</v>
      </c>
      <c r="M44" s="59" t="s">
        <v>120</v>
      </c>
      <c r="N44" s="60"/>
      <c r="O44" s="60"/>
      <c r="P44" s="60"/>
      <c r="Q44" s="62"/>
      <c r="R44" s="81" t="s">
        <v>474</v>
      </c>
      <c r="S44" s="81" t="s">
        <v>475</v>
      </c>
      <c r="T44" s="82" t="s">
        <v>309</v>
      </c>
      <c r="U44" s="1"/>
      <c r="V44" s="3"/>
      <c r="W44" s="1"/>
      <c r="X44" s="1"/>
    </row>
    <row r="45" ht="30.0" customHeight="1">
      <c r="A45" s="1"/>
      <c r="B45" s="45">
        <f t="shared" si="3"/>
        <v>37</v>
      </c>
      <c r="C45" s="93">
        <v>45726.0</v>
      </c>
      <c r="D45" s="57" t="s">
        <v>476</v>
      </c>
      <c r="E45" s="57" t="s">
        <v>47</v>
      </c>
      <c r="F45" s="57" t="s">
        <v>477</v>
      </c>
      <c r="G45" s="57" t="s">
        <v>42</v>
      </c>
      <c r="H45" s="60"/>
      <c r="I45" s="60"/>
      <c r="J45" s="60"/>
      <c r="K45" s="60"/>
      <c r="L45" s="64"/>
      <c r="M45" s="65"/>
      <c r="N45" s="60"/>
      <c r="O45" s="60" t="s">
        <v>22</v>
      </c>
      <c r="P45" s="60"/>
      <c r="Q45" s="66"/>
      <c r="R45" s="81" t="s">
        <v>478</v>
      </c>
      <c r="S45" s="81" t="s">
        <v>479</v>
      </c>
      <c r="T45" s="82" t="s">
        <v>102</v>
      </c>
      <c r="U45" s="1"/>
      <c r="V45" s="3"/>
      <c r="W45" s="1"/>
      <c r="X45" s="1"/>
    </row>
    <row r="46" ht="30.0" customHeight="1">
      <c r="A46" s="1"/>
      <c r="B46" s="45">
        <f t="shared" si="3"/>
        <v>38</v>
      </c>
      <c r="C46" s="93">
        <v>45726.0</v>
      </c>
      <c r="D46" s="60" t="s">
        <v>480</v>
      </c>
      <c r="E46" s="57" t="s">
        <v>140</v>
      </c>
      <c r="F46" s="60" t="s">
        <v>481</v>
      </c>
      <c r="G46" s="57" t="s">
        <v>33</v>
      </c>
      <c r="H46" s="60"/>
      <c r="I46" s="60"/>
      <c r="J46" s="57"/>
      <c r="K46" s="60"/>
      <c r="L46" s="5"/>
      <c r="M46" s="59"/>
      <c r="N46" s="60"/>
      <c r="O46" s="60"/>
      <c r="P46" s="60"/>
      <c r="Q46" s="62"/>
      <c r="R46" s="81" t="s">
        <v>482</v>
      </c>
      <c r="S46" s="80" t="s">
        <v>483</v>
      </c>
      <c r="T46" s="82" t="s">
        <v>358</v>
      </c>
      <c r="U46" s="1"/>
      <c r="V46" s="3"/>
      <c r="W46" s="1"/>
      <c r="X46" s="1"/>
    </row>
    <row r="47" ht="30.0" customHeight="1">
      <c r="A47" s="1"/>
      <c r="B47" s="45">
        <f t="shared" si="3"/>
        <v>39</v>
      </c>
      <c r="C47" s="93">
        <v>45726.0</v>
      </c>
      <c r="D47" s="60" t="s">
        <v>359</v>
      </c>
      <c r="E47" s="57" t="s">
        <v>47</v>
      </c>
      <c r="F47" s="57" t="s">
        <v>360</v>
      </c>
      <c r="G47" s="57" t="s">
        <v>26</v>
      </c>
      <c r="H47" s="57" t="s">
        <v>359</v>
      </c>
      <c r="I47" s="60" t="s">
        <v>60</v>
      </c>
      <c r="J47" s="60" t="s">
        <v>61</v>
      </c>
      <c r="K47" s="60" t="s">
        <v>55</v>
      </c>
      <c r="L47" s="64" t="s">
        <v>85</v>
      </c>
      <c r="M47" s="59" t="s">
        <v>120</v>
      </c>
      <c r="N47" s="60"/>
      <c r="O47" s="60"/>
      <c r="P47" s="60"/>
      <c r="Q47" s="62"/>
      <c r="R47" s="81" t="s">
        <v>484</v>
      </c>
      <c r="S47" s="81" t="s">
        <v>485</v>
      </c>
      <c r="T47" s="82" t="s">
        <v>102</v>
      </c>
      <c r="U47" s="1"/>
      <c r="V47" s="3"/>
      <c r="W47" s="1"/>
      <c r="X47" s="1"/>
    </row>
    <row r="48" ht="30.0" customHeight="1">
      <c r="A48" s="1"/>
      <c r="B48" s="45">
        <f t="shared" si="3"/>
        <v>40</v>
      </c>
      <c r="C48" s="93">
        <v>45728.0</v>
      </c>
      <c r="D48" s="57" t="s">
        <v>486</v>
      </c>
      <c r="E48" s="60" t="s">
        <v>47</v>
      </c>
      <c r="F48" s="57" t="s">
        <v>487</v>
      </c>
      <c r="G48" s="57" t="s">
        <v>26</v>
      </c>
      <c r="H48" s="60" t="s">
        <v>486</v>
      </c>
      <c r="I48" s="60" t="s">
        <v>119</v>
      </c>
      <c r="J48" s="57" t="s">
        <v>61</v>
      </c>
      <c r="K48" s="57" t="s">
        <v>55</v>
      </c>
      <c r="L48" s="64" t="s">
        <v>160</v>
      </c>
      <c r="M48" s="65" t="s">
        <v>120</v>
      </c>
      <c r="N48" s="60"/>
      <c r="O48" s="57"/>
      <c r="P48" s="60"/>
      <c r="Q48" s="62"/>
      <c r="R48" s="81" t="s">
        <v>488</v>
      </c>
      <c r="S48" s="80" t="s">
        <v>489</v>
      </c>
      <c r="T48" s="82" t="s">
        <v>102</v>
      </c>
      <c r="U48" s="1"/>
      <c r="V48" s="3"/>
      <c r="W48" s="1"/>
      <c r="X48" s="1"/>
    </row>
    <row r="49" ht="30.0" customHeight="1">
      <c r="A49" s="1"/>
      <c r="B49" s="45">
        <f t="shared" si="3"/>
        <v>41</v>
      </c>
      <c r="C49" s="93">
        <v>45729.0</v>
      </c>
      <c r="D49" s="57"/>
      <c r="E49" s="57" t="s">
        <v>490</v>
      </c>
      <c r="F49" s="57" t="s">
        <v>491</v>
      </c>
      <c r="G49" s="57" t="s">
        <v>33</v>
      </c>
      <c r="H49" s="57" t="s">
        <v>492</v>
      </c>
      <c r="I49" s="57"/>
      <c r="J49" s="60"/>
      <c r="K49" s="60"/>
      <c r="L49" s="64"/>
      <c r="M49" s="65" t="s">
        <v>203</v>
      </c>
      <c r="N49" s="60"/>
      <c r="O49" s="57" t="s">
        <v>27</v>
      </c>
      <c r="P49" s="60"/>
      <c r="Q49" s="62"/>
      <c r="R49" s="81" t="s">
        <v>493</v>
      </c>
      <c r="S49" s="81" t="s">
        <v>494</v>
      </c>
      <c r="T49" s="82" t="s">
        <v>102</v>
      </c>
      <c r="U49" s="1"/>
      <c r="V49" s="3"/>
      <c r="W49" s="1"/>
      <c r="X49" s="1"/>
    </row>
    <row r="50" ht="30.0" customHeight="1">
      <c r="A50" s="1"/>
      <c r="B50" s="45">
        <f t="shared" si="3"/>
        <v>42</v>
      </c>
      <c r="C50" s="93">
        <v>45730.0</v>
      </c>
      <c r="D50" s="57"/>
      <c r="E50" s="60" t="s">
        <v>495</v>
      </c>
      <c r="F50" s="57" t="s">
        <v>496</v>
      </c>
      <c r="G50" s="57" t="s">
        <v>215</v>
      </c>
      <c r="H50" s="60"/>
      <c r="I50" s="60"/>
      <c r="J50" s="60"/>
      <c r="K50" s="60"/>
      <c r="L50" s="64"/>
      <c r="M50" s="65" t="s">
        <v>203</v>
      </c>
      <c r="N50" s="57"/>
      <c r="O50" s="60" t="s">
        <v>417</v>
      </c>
      <c r="P50" s="60"/>
      <c r="Q50" s="62"/>
      <c r="R50" s="81" t="s">
        <v>497</v>
      </c>
      <c r="S50" s="81" t="s">
        <v>498</v>
      </c>
      <c r="T50" s="82" t="s">
        <v>102</v>
      </c>
      <c r="U50" s="1"/>
      <c r="V50" s="3"/>
      <c r="W50" s="1"/>
      <c r="X50" s="1"/>
    </row>
    <row r="51" ht="57.75" customHeight="1">
      <c r="A51" s="1"/>
      <c r="B51" s="45">
        <f t="shared" si="3"/>
        <v>43</v>
      </c>
      <c r="C51" s="93">
        <v>45730.0</v>
      </c>
      <c r="D51" s="60" t="s">
        <v>499</v>
      </c>
      <c r="E51" s="57" t="s">
        <v>40</v>
      </c>
      <c r="F51" s="60" t="s">
        <v>500</v>
      </c>
      <c r="G51" s="57" t="s">
        <v>26</v>
      </c>
      <c r="H51" s="60" t="s">
        <v>499</v>
      </c>
      <c r="I51" s="60" t="s">
        <v>53</v>
      </c>
      <c r="J51" s="60" t="s">
        <v>61</v>
      </c>
      <c r="K51" s="60" t="s">
        <v>55</v>
      </c>
      <c r="L51" s="64" t="s">
        <v>85</v>
      </c>
      <c r="M51" s="59" t="s">
        <v>71</v>
      </c>
      <c r="N51" s="60"/>
      <c r="O51" s="60"/>
      <c r="P51" s="60"/>
      <c r="Q51" s="62"/>
      <c r="R51" s="81" t="s">
        <v>501</v>
      </c>
      <c r="S51" s="81" t="s">
        <v>502</v>
      </c>
      <c r="T51" s="82" t="s">
        <v>102</v>
      </c>
      <c r="U51" s="1"/>
      <c r="V51" s="3"/>
      <c r="W51" s="1"/>
      <c r="X51" s="1"/>
    </row>
    <row r="52" ht="30.0" customHeight="1">
      <c r="A52" s="1"/>
      <c r="B52" s="45">
        <f t="shared" si="3"/>
        <v>44</v>
      </c>
      <c r="C52" s="93">
        <v>45734.0</v>
      </c>
      <c r="D52" s="60" t="s">
        <v>503</v>
      </c>
      <c r="E52" s="60" t="s">
        <v>288</v>
      </c>
      <c r="F52" s="60" t="s">
        <v>504</v>
      </c>
      <c r="G52" s="57" t="s">
        <v>26</v>
      </c>
      <c r="H52" s="57" t="s">
        <v>503</v>
      </c>
      <c r="I52" s="60" t="s">
        <v>60</v>
      </c>
      <c r="J52" s="60" t="s">
        <v>83</v>
      </c>
      <c r="K52" s="60" t="s">
        <v>55</v>
      </c>
      <c r="L52" s="64" t="s">
        <v>85</v>
      </c>
      <c r="M52" s="65"/>
      <c r="N52" s="57"/>
      <c r="O52" s="60" t="s">
        <v>27</v>
      </c>
      <c r="P52" s="60"/>
      <c r="Q52" s="62"/>
      <c r="R52" s="81" t="s">
        <v>505</v>
      </c>
      <c r="S52" s="81" t="s">
        <v>506</v>
      </c>
      <c r="T52" s="82" t="s">
        <v>102</v>
      </c>
      <c r="U52" s="1"/>
      <c r="V52" s="3"/>
      <c r="W52" s="1"/>
      <c r="X52" s="1"/>
    </row>
    <row r="53" ht="30.0" customHeight="1">
      <c r="A53" s="1"/>
      <c r="B53" s="45">
        <f t="shared" si="3"/>
        <v>45</v>
      </c>
      <c r="C53" s="93">
        <v>45735.0</v>
      </c>
      <c r="D53" s="60"/>
      <c r="E53" s="60"/>
      <c r="F53" s="57" t="s">
        <v>66</v>
      </c>
      <c r="G53" s="80" t="s">
        <v>26</v>
      </c>
      <c r="H53" s="57"/>
      <c r="I53" s="60"/>
      <c r="J53" s="60"/>
      <c r="K53" s="60"/>
      <c r="L53" s="64"/>
      <c r="M53" s="65" t="s">
        <v>203</v>
      </c>
      <c r="N53" s="57"/>
      <c r="O53" s="60" t="s">
        <v>27</v>
      </c>
      <c r="P53" s="60"/>
      <c r="Q53" s="62"/>
      <c r="R53" s="81" t="s">
        <v>507</v>
      </c>
      <c r="S53" s="81" t="s">
        <v>508</v>
      </c>
      <c r="T53" s="82" t="s">
        <v>45</v>
      </c>
      <c r="U53" s="1"/>
      <c r="V53" s="3"/>
      <c r="W53" s="1"/>
      <c r="X53" s="1"/>
    </row>
    <row r="54" ht="30.0" customHeight="1">
      <c r="A54" s="1"/>
      <c r="B54" s="45">
        <f t="shared" si="3"/>
        <v>46</v>
      </c>
      <c r="C54" s="93">
        <v>45736.0</v>
      </c>
      <c r="D54" s="60" t="s">
        <v>509</v>
      </c>
      <c r="E54" s="57" t="s">
        <v>510</v>
      </c>
      <c r="F54" s="60" t="s">
        <v>511</v>
      </c>
      <c r="G54" s="57" t="s">
        <v>33</v>
      </c>
      <c r="H54" s="60"/>
      <c r="I54" s="60"/>
      <c r="J54" s="60"/>
      <c r="K54" s="60"/>
      <c r="L54" s="64"/>
      <c r="M54" s="65" t="s">
        <v>203</v>
      </c>
      <c r="N54" s="60"/>
      <c r="O54" s="60" t="s">
        <v>512</v>
      </c>
      <c r="P54" s="60"/>
      <c r="Q54" s="62"/>
      <c r="R54" s="81" t="s">
        <v>513</v>
      </c>
      <c r="S54" s="81" t="s">
        <v>467</v>
      </c>
      <c r="T54" s="107" t="s">
        <v>45</v>
      </c>
      <c r="U54" s="1"/>
      <c r="V54" s="3"/>
      <c r="W54" s="1"/>
      <c r="X54" s="1"/>
    </row>
    <row r="55">
      <c r="A55" s="1"/>
      <c r="B55" s="45">
        <f t="shared" si="3"/>
        <v>47</v>
      </c>
      <c r="C55" s="93">
        <v>45737.0</v>
      </c>
      <c r="D55" s="60"/>
      <c r="E55" s="57" t="s">
        <v>47</v>
      </c>
      <c r="F55" s="57" t="s">
        <v>514</v>
      </c>
      <c r="G55" s="57" t="s">
        <v>42</v>
      </c>
      <c r="H55" s="60"/>
      <c r="I55" s="60"/>
      <c r="J55" s="60"/>
      <c r="K55" s="60"/>
      <c r="L55" s="64" t="s">
        <v>160</v>
      </c>
      <c r="M55" s="65" t="s">
        <v>203</v>
      </c>
      <c r="N55" s="60"/>
      <c r="O55" s="60" t="s">
        <v>152</v>
      </c>
      <c r="P55" s="60"/>
      <c r="Q55" s="66"/>
      <c r="R55" s="81" t="s">
        <v>515</v>
      </c>
      <c r="S55" s="81" t="s">
        <v>516</v>
      </c>
      <c r="T55" s="82" t="s">
        <v>45</v>
      </c>
      <c r="U55" s="1"/>
      <c r="V55" s="3"/>
      <c r="W55" s="1"/>
      <c r="X55" s="1"/>
    </row>
    <row r="56" ht="30.0" customHeight="1">
      <c r="A56" s="1"/>
      <c r="B56" s="45">
        <f t="shared" si="3"/>
        <v>48</v>
      </c>
      <c r="C56" s="93">
        <v>45742.0</v>
      </c>
      <c r="D56" s="117" t="s">
        <v>517</v>
      </c>
      <c r="E56" s="57" t="s">
        <v>518</v>
      </c>
      <c r="F56" s="57" t="s">
        <v>519</v>
      </c>
      <c r="G56" s="57" t="s">
        <v>33</v>
      </c>
      <c r="H56" s="60"/>
      <c r="I56" s="60"/>
      <c r="J56" s="60"/>
      <c r="K56" s="60"/>
      <c r="L56" s="64"/>
      <c r="M56" s="65" t="s">
        <v>203</v>
      </c>
      <c r="N56" s="60"/>
      <c r="O56" s="60" t="s">
        <v>27</v>
      </c>
      <c r="P56" s="60"/>
      <c r="Q56" s="66"/>
      <c r="R56" s="81" t="s">
        <v>466</v>
      </c>
      <c r="S56" s="81" t="s">
        <v>520</v>
      </c>
      <c r="T56" s="82" t="s">
        <v>45</v>
      </c>
      <c r="U56" s="1"/>
      <c r="V56" s="3"/>
      <c r="W56" s="1"/>
      <c r="X56" s="1"/>
    </row>
    <row r="57" ht="30.0" customHeight="1">
      <c r="A57" s="1"/>
      <c r="B57" s="45">
        <f t="shared" si="3"/>
        <v>49</v>
      </c>
      <c r="C57" s="93">
        <v>45742.0</v>
      </c>
      <c r="D57" s="57"/>
      <c r="E57" s="57" t="s">
        <v>47</v>
      </c>
      <c r="F57" s="57" t="s">
        <v>521</v>
      </c>
      <c r="G57" s="57" t="s">
        <v>42</v>
      </c>
      <c r="H57" s="60"/>
      <c r="I57" s="60"/>
      <c r="J57" s="60"/>
      <c r="K57" s="60"/>
      <c r="L57" s="64" t="s">
        <v>160</v>
      </c>
      <c r="M57" s="65" t="s">
        <v>203</v>
      </c>
      <c r="N57" s="60"/>
      <c r="O57" s="57" t="s">
        <v>152</v>
      </c>
      <c r="P57" s="60"/>
      <c r="Q57" s="62"/>
      <c r="R57" s="81" t="s">
        <v>522</v>
      </c>
      <c r="S57" s="81" t="s">
        <v>523</v>
      </c>
      <c r="T57" s="82" t="s">
        <v>45</v>
      </c>
      <c r="U57" s="1"/>
      <c r="V57" s="3"/>
      <c r="W57" s="1"/>
      <c r="X57" s="1"/>
    </row>
    <row r="58" ht="30.0" customHeight="1">
      <c r="A58" s="1"/>
      <c r="B58" s="45">
        <f t="shared" si="3"/>
        <v>50</v>
      </c>
      <c r="C58" s="93">
        <v>45743.0</v>
      </c>
      <c r="D58" s="57"/>
      <c r="E58" s="60" t="s">
        <v>524</v>
      </c>
      <c r="F58" s="60" t="s">
        <v>525</v>
      </c>
      <c r="G58" s="57" t="s">
        <v>70</v>
      </c>
      <c r="H58" s="60"/>
      <c r="I58" s="60"/>
      <c r="J58" s="60"/>
      <c r="K58" s="60"/>
      <c r="L58" s="64" t="s">
        <v>160</v>
      </c>
      <c r="M58" s="59" t="s">
        <v>203</v>
      </c>
      <c r="N58" s="60"/>
      <c r="O58" s="60" t="s">
        <v>152</v>
      </c>
      <c r="P58" s="60"/>
      <c r="Q58" s="62"/>
      <c r="R58" s="81" t="s">
        <v>526</v>
      </c>
      <c r="S58" s="81" t="s">
        <v>527</v>
      </c>
      <c r="T58" s="82" t="s">
        <v>45</v>
      </c>
      <c r="U58" s="1"/>
      <c r="V58" s="3"/>
      <c r="W58" s="1"/>
      <c r="X58" s="1"/>
    </row>
    <row r="59" ht="30.0" customHeight="1">
      <c r="A59" s="1"/>
      <c r="B59" s="45">
        <f t="shared" si="3"/>
        <v>51</v>
      </c>
      <c r="C59" s="93">
        <v>45743.0</v>
      </c>
      <c r="D59" s="60" t="s">
        <v>198</v>
      </c>
      <c r="E59" s="60" t="s">
        <v>40</v>
      </c>
      <c r="F59" s="57" t="s">
        <v>528</v>
      </c>
      <c r="G59" s="57" t="s">
        <v>42</v>
      </c>
      <c r="H59" s="57"/>
      <c r="I59" s="60"/>
      <c r="J59" s="60"/>
      <c r="K59" s="60"/>
      <c r="L59" s="64" t="s">
        <v>160</v>
      </c>
      <c r="M59" s="59" t="s">
        <v>22</v>
      </c>
      <c r="N59" s="60"/>
      <c r="O59" s="60" t="s">
        <v>22</v>
      </c>
      <c r="P59" s="60"/>
      <c r="Q59" s="62"/>
      <c r="R59" s="81" t="s">
        <v>529</v>
      </c>
      <c r="S59" s="81" t="s">
        <v>530</v>
      </c>
      <c r="T59" s="82" t="s">
        <v>45</v>
      </c>
      <c r="U59" s="1"/>
      <c r="V59" s="3"/>
      <c r="W59" s="1"/>
      <c r="X59" s="1"/>
    </row>
    <row r="60" ht="16.5" customHeight="1">
      <c r="A60" s="1"/>
      <c r="B60" s="45">
        <f t="shared" si="3"/>
        <v>52</v>
      </c>
      <c r="C60" s="93">
        <v>45744.0</v>
      </c>
      <c r="D60" s="57"/>
      <c r="E60" s="57" t="s">
        <v>531</v>
      </c>
      <c r="F60" s="60" t="s">
        <v>532</v>
      </c>
      <c r="G60" s="57" t="s">
        <v>42</v>
      </c>
      <c r="H60" s="60" t="s">
        <v>533</v>
      </c>
      <c r="I60" s="60"/>
      <c r="J60" s="60" t="s">
        <v>61</v>
      </c>
      <c r="K60" s="60" t="s">
        <v>291</v>
      </c>
      <c r="L60" s="64" t="s">
        <v>85</v>
      </c>
      <c r="M60" s="59" t="s">
        <v>120</v>
      </c>
      <c r="N60" s="60"/>
      <c r="O60" s="60"/>
      <c r="P60" s="60"/>
      <c r="Q60" s="62"/>
      <c r="R60" s="81" t="s">
        <v>534</v>
      </c>
      <c r="S60" s="81" t="s">
        <v>535</v>
      </c>
      <c r="T60" s="82" t="s">
        <v>45</v>
      </c>
      <c r="U60" s="1"/>
      <c r="V60" s="3"/>
      <c r="W60" s="1"/>
      <c r="X60" s="1"/>
    </row>
    <row r="61" ht="30.0" customHeight="1">
      <c r="A61" s="1"/>
      <c r="B61" s="45">
        <f t="shared" si="3"/>
        <v>53</v>
      </c>
      <c r="C61" s="93">
        <v>45756.0</v>
      </c>
      <c r="D61" s="80" t="s">
        <v>536</v>
      </c>
      <c r="E61" s="57" t="s">
        <v>65</v>
      </c>
      <c r="F61" s="57" t="s">
        <v>537</v>
      </c>
      <c r="G61" s="57" t="s">
        <v>42</v>
      </c>
      <c r="H61" s="57" t="s">
        <v>538</v>
      </c>
      <c r="I61" s="57"/>
      <c r="J61" s="57"/>
      <c r="K61" s="57"/>
      <c r="L61" s="64"/>
      <c r="M61" s="65"/>
      <c r="N61" s="60"/>
      <c r="O61" s="57"/>
      <c r="P61" s="60"/>
      <c r="Q61" s="62"/>
      <c r="R61" s="81" t="s">
        <v>539</v>
      </c>
      <c r="S61" s="80" t="s">
        <v>540</v>
      </c>
      <c r="T61" s="107" t="s">
        <v>358</v>
      </c>
      <c r="U61" s="1"/>
      <c r="V61" s="3"/>
      <c r="W61" s="1"/>
      <c r="X61" s="1"/>
    </row>
    <row r="62" ht="16.5" customHeight="1">
      <c r="A62" s="1"/>
      <c r="B62" s="45">
        <f t="shared" si="3"/>
        <v>54</v>
      </c>
      <c r="C62" s="93">
        <v>45756.0</v>
      </c>
      <c r="D62" s="57"/>
      <c r="E62" s="57" t="s">
        <v>40</v>
      </c>
      <c r="F62" s="60" t="s">
        <v>541</v>
      </c>
      <c r="G62" s="57" t="s">
        <v>42</v>
      </c>
      <c r="H62" s="60" t="s">
        <v>542</v>
      </c>
      <c r="I62" s="60"/>
      <c r="J62" s="60"/>
      <c r="K62" s="60"/>
      <c r="L62" s="64"/>
      <c r="M62" s="65"/>
      <c r="N62" s="60"/>
      <c r="O62" s="57"/>
      <c r="P62" s="60"/>
      <c r="Q62" s="62"/>
      <c r="R62" s="81" t="s">
        <v>543</v>
      </c>
      <c r="S62" s="81" t="s">
        <v>544</v>
      </c>
      <c r="T62" s="82" t="s">
        <v>358</v>
      </c>
      <c r="U62" s="1"/>
      <c r="V62" s="3"/>
      <c r="W62" s="1"/>
      <c r="X62" s="1"/>
    </row>
    <row r="63" ht="21.75" customHeight="1">
      <c r="A63" s="1"/>
      <c r="B63" s="45">
        <f t="shared" si="3"/>
        <v>55</v>
      </c>
      <c r="C63" s="93">
        <v>45757.0</v>
      </c>
      <c r="D63" s="57" t="s">
        <v>545</v>
      </c>
      <c r="E63" s="57"/>
      <c r="F63" s="60" t="s">
        <v>546</v>
      </c>
      <c r="G63" s="57" t="s">
        <v>26</v>
      </c>
      <c r="H63" s="60" t="s">
        <v>545</v>
      </c>
      <c r="I63" s="60"/>
      <c r="J63" s="57"/>
      <c r="K63" s="57"/>
      <c r="L63" s="5" t="s">
        <v>85</v>
      </c>
      <c r="M63" s="65" t="s">
        <v>71</v>
      </c>
      <c r="N63" s="60"/>
      <c r="O63" s="57"/>
      <c r="P63" s="60"/>
      <c r="Q63" s="62"/>
      <c r="R63" s="81" t="s">
        <v>547</v>
      </c>
      <c r="S63" s="81" t="s">
        <v>548</v>
      </c>
      <c r="T63" s="82" t="s">
        <v>30</v>
      </c>
      <c r="U63" s="1"/>
      <c r="V63" s="3"/>
      <c r="W63" s="1"/>
      <c r="X63" s="1"/>
    </row>
    <row r="64" ht="30.0" customHeight="1">
      <c r="A64" s="1"/>
      <c r="B64" s="45">
        <f t="shared" si="3"/>
        <v>56</v>
      </c>
      <c r="C64" s="93">
        <v>45757.0</v>
      </c>
      <c r="D64" s="80"/>
      <c r="E64" s="60" t="s">
        <v>549</v>
      </c>
      <c r="F64" s="60" t="s">
        <v>550</v>
      </c>
      <c r="G64" s="57" t="s">
        <v>33</v>
      </c>
      <c r="H64" s="60"/>
      <c r="I64" s="60"/>
      <c r="J64" s="60"/>
      <c r="K64" s="60"/>
      <c r="L64" s="64" t="s">
        <v>160</v>
      </c>
      <c r="M64" s="59"/>
      <c r="N64" s="60"/>
      <c r="O64" s="60"/>
      <c r="P64" s="60"/>
      <c r="Q64" s="62"/>
      <c r="R64" s="81" t="s">
        <v>551</v>
      </c>
      <c r="S64" s="81" t="s">
        <v>520</v>
      </c>
      <c r="T64" s="82" t="s">
        <v>45</v>
      </c>
      <c r="U64" s="1"/>
      <c r="V64" s="3"/>
      <c r="W64" s="1"/>
      <c r="X64" s="1"/>
    </row>
    <row r="65" ht="30.0" customHeight="1">
      <c r="A65" s="1"/>
      <c r="B65" s="45">
        <f t="shared" si="3"/>
        <v>57</v>
      </c>
      <c r="C65" s="93">
        <v>45757.0</v>
      </c>
      <c r="D65" s="57"/>
      <c r="E65" s="57" t="s">
        <v>40</v>
      </c>
      <c r="F65" s="60" t="s">
        <v>552</v>
      </c>
      <c r="G65" s="57" t="s">
        <v>42</v>
      </c>
      <c r="H65" s="60"/>
      <c r="I65" s="60"/>
      <c r="J65" s="57"/>
      <c r="K65" s="57"/>
      <c r="L65" s="5" t="s">
        <v>160</v>
      </c>
      <c r="M65" s="65" t="s">
        <v>203</v>
      </c>
      <c r="N65" s="60"/>
      <c r="O65" s="57" t="s">
        <v>152</v>
      </c>
      <c r="P65" s="60"/>
      <c r="Q65" s="62"/>
      <c r="R65" s="81" t="s">
        <v>553</v>
      </c>
      <c r="S65" s="81" t="s">
        <v>554</v>
      </c>
      <c r="T65" s="82" t="s">
        <v>45</v>
      </c>
      <c r="U65" s="1"/>
      <c r="V65" s="3"/>
      <c r="W65" s="1"/>
      <c r="X65" s="1"/>
    </row>
    <row r="66" ht="30.0" customHeight="1">
      <c r="A66" s="1"/>
      <c r="B66" s="45">
        <f t="shared" si="3"/>
        <v>58</v>
      </c>
      <c r="C66" s="93">
        <v>45758.0</v>
      </c>
      <c r="D66" s="57" t="s">
        <v>555</v>
      </c>
      <c r="E66" s="57"/>
      <c r="F66" s="60" t="s">
        <v>556</v>
      </c>
      <c r="G66" s="57" t="s">
        <v>26</v>
      </c>
      <c r="H66" s="57" t="s">
        <v>555</v>
      </c>
      <c r="I66" s="57"/>
      <c r="J66" s="57"/>
      <c r="K66" s="60"/>
      <c r="L66" s="5"/>
      <c r="M66" s="65" t="s">
        <v>71</v>
      </c>
      <c r="N66" s="60"/>
      <c r="O66" s="57"/>
      <c r="P66" s="60"/>
      <c r="Q66" s="62"/>
      <c r="R66" s="81" t="s">
        <v>557</v>
      </c>
      <c r="S66" s="81" t="s">
        <v>558</v>
      </c>
      <c r="T66" s="82" t="s">
        <v>358</v>
      </c>
      <c r="U66" s="1"/>
      <c r="V66" s="3"/>
      <c r="W66" s="1"/>
      <c r="X66" s="1"/>
    </row>
    <row r="67" ht="23.25" customHeight="1">
      <c r="A67" s="1"/>
      <c r="B67" s="45">
        <f t="shared" si="3"/>
        <v>59</v>
      </c>
      <c r="C67" s="93">
        <v>45761.0</v>
      </c>
      <c r="D67" s="57" t="s">
        <v>559</v>
      </c>
      <c r="E67" s="57"/>
      <c r="F67" s="57" t="s">
        <v>560</v>
      </c>
      <c r="G67" s="57" t="s">
        <v>26</v>
      </c>
      <c r="H67" s="57" t="s">
        <v>559</v>
      </c>
      <c r="I67" s="57"/>
      <c r="J67" s="57"/>
      <c r="K67" s="57"/>
      <c r="L67" s="5"/>
      <c r="M67" s="65"/>
      <c r="N67" s="60"/>
      <c r="O67" s="57"/>
      <c r="P67" s="60"/>
      <c r="Q67" s="62"/>
      <c r="R67" s="81" t="s">
        <v>561</v>
      </c>
      <c r="S67" s="81" t="s">
        <v>562</v>
      </c>
      <c r="T67" s="82" t="s">
        <v>30</v>
      </c>
      <c r="U67" s="1"/>
      <c r="V67" s="3"/>
      <c r="W67" s="1"/>
      <c r="X67" s="1"/>
    </row>
    <row r="68" ht="47.25" customHeight="1">
      <c r="A68" s="1"/>
      <c r="B68" s="45">
        <f t="shared" si="3"/>
        <v>60</v>
      </c>
      <c r="C68" s="93">
        <v>45768.0</v>
      </c>
      <c r="D68" s="80" t="s">
        <v>563</v>
      </c>
      <c r="E68" s="57" t="s">
        <v>564</v>
      </c>
      <c r="F68" s="57" t="s">
        <v>565</v>
      </c>
      <c r="G68" s="57" t="s">
        <v>215</v>
      </c>
      <c r="H68" s="57"/>
      <c r="I68" s="57"/>
      <c r="J68" s="57"/>
      <c r="K68" s="57"/>
      <c r="L68" s="5"/>
      <c r="M68" s="59"/>
      <c r="N68" s="60" t="s">
        <v>71</v>
      </c>
      <c r="O68" s="60"/>
      <c r="P68" s="60"/>
      <c r="Q68" s="62"/>
      <c r="R68" s="81" t="s">
        <v>566</v>
      </c>
      <c r="S68" s="81" t="s">
        <v>567</v>
      </c>
      <c r="T68" s="82" t="s">
        <v>358</v>
      </c>
      <c r="U68" s="1"/>
      <c r="V68" s="3"/>
      <c r="W68" s="1"/>
      <c r="X68" s="1"/>
    </row>
    <row r="69" ht="16.5" customHeight="1">
      <c r="A69" s="1"/>
      <c r="B69" s="45">
        <f t="shared" si="3"/>
        <v>61</v>
      </c>
      <c r="C69" s="93">
        <v>45768.0</v>
      </c>
      <c r="D69" s="57" t="s">
        <v>568</v>
      </c>
      <c r="E69" s="57" t="s">
        <v>40</v>
      </c>
      <c r="F69" s="57" t="s">
        <v>113</v>
      </c>
      <c r="G69" s="57" t="s">
        <v>42</v>
      </c>
      <c r="H69" s="60"/>
      <c r="I69" s="60"/>
      <c r="J69" s="57"/>
      <c r="K69" s="57"/>
      <c r="L69" s="5"/>
      <c r="M69" s="65"/>
      <c r="N69" s="60"/>
      <c r="O69" s="60" t="s">
        <v>27</v>
      </c>
      <c r="P69" s="60"/>
      <c r="Q69" s="62"/>
      <c r="R69" s="81" t="s">
        <v>551</v>
      </c>
      <c r="S69" s="81" t="s">
        <v>569</v>
      </c>
      <c r="T69" s="82" t="s">
        <v>30</v>
      </c>
      <c r="U69" s="1"/>
      <c r="V69" s="3"/>
      <c r="W69" s="1"/>
      <c r="X69" s="1"/>
    </row>
    <row r="70" ht="30.0" customHeight="1">
      <c r="A70" s="1"/>
      <c r="B70" s="45">
        <f t="shared" si="3"/>
        <v>62</v>
      </c>
      <c r="C70" s="93">
        <v>45771.0</v>
      </c>
      <c r="D70" s="57" t="s">
        <v>570</v>
      </c>
      <c r="E70" s="57" t="s">
        <v>571</v>
      </c>
      <c r="F70" s="57" t="s">
        <v>572</v>
      </c>
      <c r="G70" s="57" t="s">
        <v>33</v>
      </c>
      <c r="H70" s="60"/>
      <c r="I70" s="60"/>
      <c r="J70" s="60"/>
      <c r="K70" s="60"/>
      <c r="L70" s="64"/>
      <c r="M70" s="59" t="s">
        <v>203</v>
      </c>
      <c r="N70" s="60"/>
      <c r="O70" s="60" t="s">
        <v>105</v>
      </c>
      <c r="P70" s="60"/>
      <c r="Q70" s="62"/>
      <c r="R70" s="81" t="s">
        <v>573</v>
      </c>
      <c r="S70" s="81" t="s">
        <v>467</v>
      </c>
      <c r="T70" s="82" t="s">
        <v>45</v>
      </c>
      <c r="U70" s="1"/>
      <c r="V70" s="3"/>
      <c r="W70" s="1"/>
      <c r="X70" s="1"/>
    </row>
    <row r="71" ht="16.5" customHeight="1">
      <c r="A71" s="1"/>
      <c r="B71" s="45">
        <f t="shared" si="3"/>
        <v>63</v>
      </c>
      <c r="C71" s="93">
        <v>45775.0</v>
      </c>
      <c r="D71" s="80"/>
      <c r="E71" s="57" t="s">
        <v>24</v>
      </c>
      <c r="F71" s="60" t="s">
        <v>574</v>
      </c>
      <c r="G71" s="57" t="s">
        <v>33</v>
      </c>
      <c r="H71" s="60"/>
      <c r="I71" s="60"/>
      <c r="J71" s="60"/>
      <c r="K71" s="60"/>
      <c r="L71" s="64"/>
      <c r="M71" s="65" t="s">
        <v>120</v>
      </c>
      <c r="N71" s="60"/>
      <c r="O71" s="57"/>
      <c r="P71" s="60"/>
      <c r="Q71" s="62"/>
      <c r="R71" s="81" t="s">
        <v>575</v>
      </c>
      <c r="S71" s="81" t="s">
        <v>576</v>
      </c>
      <c r="T71" s="82" t="s">
        <v>30</v>
      </c>
      <c r="U71" s="1"/>
      <c r="V71" s="3"/>
      <c r="W71" s="1"/>
      <c r="X71" s="1"/>
    </row>
    <row r="72" ht="39.0" customHeight="1">
      <c r="A72" s="1"/>
      <c r="B72" s="45">
        <f t="shared" si="3"/>
        <v>64</v>
      </c>
      <c r="C72" s="93">
        <v>45775.0</v>
      </c>
      <c r="D72" s="80"/>
      <c r="E72" s="60" t="s">
        <v>40</v>
      </c>
      <c r="F72" s="60" t="s">
        <v>577</v>
      </c>
      <c r="G72" s="57" t="s">
        <v>42</v>
      </c>
      <c r="H72" s="60"/>
      <c r="I72" s="60"/>
      <c r="J72" s="60"/>
      <c r="K72" s="60"/>
      <c r="L72" s="64"/>
      <c r="M72" s="59" t="s">
        <v>203</v>
      </c>
      <c r="N72" s="60"/>
      <c r="O72" s="60"/>
      <c r="P72" s="60"/>
      <c r="Q72" s="62"/>
      <c r="R72" s="81" t="s">
        <v>578</v>
      </c>
      <c r="S72" s="81" t="s">
        <v>579</v>
      </c>
      <c r="T72" s="82" t="s">
        <v>45</v>
      </c>
      <c r="U72" s="1"/>
      <c r="V72" s="3"/>
      <c r="W72" s="1"/>
      <c r="X72" s="1"/>
    </row>
    <row r="73" ht="64.5" customHeight="1">
      <c r="A73" s="1"/>
      <c r="B73" s="45">
        <f t="shared" si="3"/>
        <v>65</v>
      </c>
      <c r="C73" s="93">
        <v>45776.0</v>
      </c>
      <c r="D73" s="57"/>
      <c r="E73" s="57" t="s">
        <v>47</v>
      </c>
      <c r="F73" s="57" t="s">
        <v>580</v>
      </c>
      <c r="G73" s="57" t="s">
        <v>42</v>
      </c>
      <c r="H73" s="57" t="s">
        <v>581</v>
      </c>
      <c r="I73" s="57"/>
      <c r="J73" s="60"/>
      <c r="K73" s="57"/>
      <c r="L73" s="5"/>
      <c r="M73" s="65"/>
      <c r="N73" s="60"/>
      <c r="O73" s="60" t="s">
        <v>22</v>
      </c>
      <c r="P73" s="83"/>
      <c r="Q73" s="62"/>
      <c r="R73" s="81" t="s">
        <v>582</v>
      </c>
      <c r="S73" s="81" t="s">
        <v>583</v>
      </c>
      <c r="T73" s="82" t="s">
        <v>30</v>
      </c>
      <c r="U73" s="1"/>
      <c r="V73" s="3"/>
      <c r="W73" s="1"/>
      <c r="X73" s="1"/>
    </row>
    <row r="74" ht="44.25" customHeight="1">
      <c r="A74" s="1"/>
      <c r="B74" s="45">
        <f t="shared" si="3"/>
        <v>66</v>
      </c>
      <c r="C74" s="93">
        <v>45779.0</v>
      </c>
      <c r="D74" s="80"/>
      <c r="E74" s="60" t="s">
        <v>40</v>
      </c>
      <c r="F74" s="60" t="s">
        <v>69</v>
      </c>
      <c r="G74" s="57" t="s">
        <v>70</v>
      </c>
      <c r="H74" s="60" t="s">
        <v>114</v>
      </c>
      <c r="I74" s="60"/>
      <c r="J74" s="60"/>
      <c r="K74" s="60"/>
      <c r="L74" s="64"/>
      <c r="M74" s="59" t="s">
        <v>120</v>
      </c>
      <c r="N74" s="60"/>
      <c r="O74" s="60"/>
      <c r="P74" s="60"/>
      <c r="Q74" s="62"/>
      <c r="R74" s="81" t="s">
        <v>584</v>
      </c>
      <c r="S74" s="81" t="s">
        <v>585</v>
      </c>
      <c r="T74" s="82" t="s">
        <v>45</v>
      </c>
      <c r="U74" s="1"/>
      <c r="V74" s="3"/>
      <c r="W74" s="1"/>
      <c r="X74" s="1"/>
    </row>
    <row r="75" ht="50.25" customHeight="1">
      <c r="A75" s="1"/>
      <c r="B75" s="45">
        <f t="shared" si="3"/>
        <v>67</v>
      </c>
      <c r="C75" s="93">
        <v>45779.0</v>
      </c>
      <c r="D75" s="60" t="s">
        <v>586</v>
      </c>
      <c r="E75" s="60" t="s">
        <v>47</v>
      </c>
      <c r="F75" s="60" t="s">
        <v>587</v>
      </c>
      <c r="G75" s="57" t="s">
        <v>26</v>
      </c>
      <c r="H75" s="60" t="s">
        <v>586</v>
      </c>
      <c r="I75" s="60"/>
      <c r="J75" s="57"/>
      <c r="K75" s="60"/>
      <c r="L75" s="5"/>
      <c r="M75" s="59"/>
      <c r="N75" s="60"/>
      <c r="O75" s="60" t="s">
        <v>27</v>
      </c>
      <c r="P75" s="60"/>
      <c r="Q75" s="62"/>
      <c r="R75" s="81" t="s">
        <v>588</v>
      </c>
      <c r="S75" s="81" t="s">
        <v>589</v>
      </c>
      <c r="T75" s="82" t="s">
        <v>30</v>
      </c>
      <c r="U75" s="1"/>
      <c r="V75" s="3"/>
      <c r="W75" s="1"/>
      <c r="X75" s="1"/>
    </row>
    <row r="76" ht="16.5" customHeight="1">
      <c r="A76" s="1"/>
      <c r="B76" s="45">
        <f t="shared" si="3"/>
        <v>68</v>
      </c>
      <c r="C76" s="93">
        <v>45779.0</v>
      </c>
      <c r="D76" s="57" t="s">
        <v>590</v>
      </c>
      <c r="E76" s="57" t="s">
        <v>40</v>
      </c>
      <c r="F76" s="57" t="s">
        <v>577</v>
      </c>
      <c r="G76" s="57" t="s">
        <v>42</v>
      </c>
      <c r="H76" s="57" t="s">
        <v>201</v>
      </c>
      <c r="I76" s="60"/>
      <c r="J76" s="60"/>
      <c r="K76" s="60"/>
      <c r="L76" s="64" t="s">
        <v>202</v>
      </c>
      <c r="M76" s="65"/>
      <c r="N76" s="60"/>
      <c r="O76" s="57" t="s">
        <v>27</v>
      </c>
      <c r="P76" s="60"/>
      <c r="Q76" s="62"/>
      <c r="R76" s="81" t="s">
        <v>591</v>
      </c>
      <c r="S76" s="81" t="s">
        <v>592</v>
      </c>
      <c r="T76" s="82" t="s">
        <v>30</v>
      </c>
      <c r="U76" s="1"/>
      <c r="V76" s="3"/>
      <c r="W76" s="1"/>
      <c r="X76" s="1"/>
    </row>
    <row r="77" ht="60.0" customHeight="1">
      <c r="A77" s="1"/>
      <c r="B77" s="45">
        <f t="shared" si="3"/>
        <v>69</v>
      </c>
      <c r="C77" s="93">
        <v>45779.0</v>
      </c>
      <c r="D77" s="60" t="s">
        <v>324</v>
      </c>
      <c r="E77" s="57" t="s">
        <v>47</v>
      </c>
      <c r="F77" s="57" t="s">
        <v>416</v>
      </c>
      <c r="G77" s="57" t="s">
        <v>26</v>
      </c>
      <c r="H77" s="60" t="s">
        <v>324</v>
      </c>
      <c r="I77" s="60" t="s">
        <v>53</v>
      </c>
      <c r="J77" s="57" t="s">
        <v>83</v>
      </c>
      <c r="K77" s="57" t="s">
        <v>55</v>
      </c>
      <c r="L77" s="5" t="s">
        <v>85</v>
      </c>
      <c r="M77" s="59"/>
      <c r="N77" s="60"/>
      <c r="O77" s="60" t="s">
        <v>27</v>
      </c>
      <c r="P77" s="60"/>
      <c r="Q77" s="62"/>
      <c r="R77" s="81" t="s">
        <v>593</v>
      </c>
      <c r="S77" s="81" t="s">
        <v>594</v>
      </c>
      <c r="T77" s="82" t="s">
        <v>30</v>
      </c>
      <c r="U77" s="1"/>
      <c r="V77" s="3"/>
      <c r="W77" s="1"/>
      <c r="X77" s="1"/>
    </row>
    <row r="78" ht="30.0" customHeight="1">
      <c r="A78" s="1"/>
      <c r="B78" s="45">
        <f t="shared" si="3"/>
        <v>70</v>
      </c>
      <c r="C78" s="93">
        <v>45786.0</v>
      </c>
      <c r="D78" s="57"/>
      <c r="E78" s="57" t="s">
        <v>40</v>
      </c>
      <c r="F78" s="57" t="s">
        <v>595</v>
      </c>
      <c r="G78" s="57" t="s">
        <v>33</v>
      </c>
      <c r="H78" s="57" t="s">
        <v>596</v>
      </c>
      <c r="I78" s="45" t="s">
        <v>53</v>
      </c>
      <c r="J78" s="45" t="s">
        <v>83</v>
      </c>
      <c r="K78" s="45"/>
      <c r="L78" s="85"/>
      <c r="M78" s="86" t="s">
        <v>203</v>
      </c>
      <c r="N78" s="45"/>
      <c r="O78" s="57" t="s">
        <v>152</v>
      </c>
      <c r="P78" s="45"/>
      <c r="Q78" s="87"/>
      <c r="R78" s="95" t="s">
        <v>597</v>
      </c>
      <c r="S78" s="92" t="s">
        <v>598</v>
      </c>
      <c r="T78" s="82" t="s">
        <v>45</v>
      </c>
      <c r="U78" s="1"/>
      <c r="V78" s="3"/>
      <c r="W78" s="1"/>
      <c r="X78" s="1"/>
    </row>
    <row r="79" ht="30.0" customHeight="1">
      <c r="A79" s="1"/>
      <c r="B79" s="45">
        <f t="shared" si="3"/>
        <v>71</v>
      </c>
      <c r="C79" s="93">
        <v>45786.0</v>
      </c>
      <c r="D79" s="94"/>
      <c r="E79" s="94"/>
      <c r="F79" s="45" t="s">
        <v>599</v>
      </c>
      <c r="G79" s="45" t="s">
        <v>42</v>
      </c>
      <c r="H79" s="45"/>
      <c r="I79" s="45"/>
      <c r="J79" s="45"/>
      <c r="K79" s="45"/>
      <c r="L79" s="85"/>
      <c r="M79" s="86"/>
      <c r="N79" s="45" t="s">
        <v>203</v>
      </c>
      <c r="O79" s="57"/>
      <c r="P79" s="45"/>
      <c r="Q79" s="87"/>
      <c r="R79" s="95" t="s">
        <v>600</v>
      </c>
      <c r="S79" s="92" t="s">
        <v>601</v>
      </c>
      <c r="T79" s="82" t="s">
        <v>358</v>
      </c>
      <c r="U79" s="1"/>
      <c r="V79" s="3"/>
      <c r="W79" s="1"/>
      <c r="X79" s="1"/>
    </row>
    <row r="80" ht="33.75" customHeight="1">
      <c r="A80" s="1"/>
      <c r="B80" s="45">
        <f t="shared" si="3"/>
        <v>72</v>
      </c>
      <c r="C80" s="93">
        <v>45790.0</v>
      </c>
      <c r="D80" s="94"/>
      <c r="E80" s="94" t="s">
        <v>47</v>
      </c>
      <c r="F80" s="45" t="s">
        <v>602</v>
      </c>
      <c r="G80" s="57" t="s">
        <v>33</v>
      </c>
      <c r="H80" s="45" t="s">
        <v>603</v>
      </c>
      <c r="I80" s="45"/>
      <c r="J80" s="45"/>
      <c r="K80" s="45"/>
      <c r="L80" s="85"/>
      <c r="M80" s="86"/>
      <c r="N80" s="45"/>
      <c r="O80" s="45" t="s">
        <v>27</v>
      </c>
      <c r="P80" s="45"/>
      <c r="Q80" s="87"/>
      <c r="R80" s="95" t="s">
        <v>604</v>
      </c>
      <c r="S80" s="92" t="s">
        <v>605</v>
      </c>
      <c r="T80" s="82" t="s">
        <v>45</v>
      </c>
      <c r="U80" s="1"/>
      <c r="V80" s="3"/>
      <c r="W80" s="1"/>
      <c r="X80" s="1"/>
    </row>
    <row r="81">
      <c r="A81" s="1"/>
      <c r="B81" s="45">
        <f t="shared" si="3"/>
        <v>73</v>
      </c>
      <c r="C81" s="93">
        <v>45791.0</v>
      </c>
      <c r="D81" s="94" t="s">
        <v>396</v>
      </c>
      <c r="E81" s="94" t="s">
        <v>40</v>
      </c>
      <c r="F81" s="45" t="s">
        <v>397</v>
      </c>
      <c r="G81" s="57" t="s">
        <v>26</v>
      </c>
      <c r="H81" s="45" t="s">
        <v>396</v>
      </c>
      <c r="I81" s="45"/>
      <c r="J81" s="45"/>
      <c r="K81" s="45"/>
      <c r="L81" s="85"/>
      <c r="M81" s="86"/>
      <c r="N81" s="45"/>
      <c r="O81" s="45" t="s">
        <v>128</v>
      </c>
      <c r="P81" s="45"/>
      <c r="Q81" s="87"/>
      <c r="R81" s="95" t="s">
        <v>606</v>
      </c>
      <c r="S81" s="92" t="s">
        <v>605</v>
      </c>
      <c r="T81" s="82" t="s">
        <v>30</v>
      </c>
      <c r="U81" s="1"/>
      <c r="V81" s="3"/>
      <c r="W81" s="1"/>
      <c r="X81" s="1"/>
    </row>
    <row r="82" ht="16.5" customHeight="1">
      <c r="A82" s="96"/>
      <c r="B82" s="97">
        <f t="shared" si="3"/>
        <v>74</v>
      </c>
      <c r="C82" s="93">
        <v>45791.0</v>
      </c>
      <c r="D82" s="98" t="s">
        <v>607</v>
      </c>
      <c r="E82" s="98" t="s">
        <v>24</v>
      </c>
      <c r="F82" s="97" t="s">
        <v>608</v>
      </c>
      <c r="G82" s="99" t="s">
        <v>42</v>
      </c>
      <c r="H82" s="97"/>
      <c r="I82" s="97"/>
      <c r="J82" s="97"/>
      <c r="K82" s="97"/>
      <c r="L82" s="100"/>
      <c r="M82" s="101"/>
      <c r="N82" s="97"/>
      <c r="O82" s="97"/>
      <c r="P82" s="97"/>
      <c r="Q82" s="102"/>
      <c r="R82" s="103" t="s">
        <v>609</v>
      </c>
      <c r="S82" s="104" t="s">
        <v>610</v>
      </c>
      <c r="T82" s="105" t="s">
        <v>30</v>
      </c>
      <c r="U82" s="96"/>
      <c r="V82" s="106"/>
      <c r="W82" s="96"/>
      <c r="X82" s="96"/>
    </row>
    <row r="83" ht="30.0" customHeight="1">
      <c r="A83" s="1"/>
      <c r="B83" s="45">
        <f t="shared" si="3"/>
        <v>75</v>
      </c>
      <c r="C83" s="93">
        <v>45793.0</v>
      </c>
      <c r="D83" s="94"/>
      <c r="E83" s="94" t="s">
        <v>611</v>
      </c>
      <c r="F83" s="45" t="s">
        <v>282</v>
      </c>
      <c r="G83" s="45" t="s">
        <v>33</v>
      </c>
      <c r="H83" s="45"/>
      <c r="I83" s="45"/>
      <c r="J83" s="45"/>
      <c r="K83" s="45"/>
      <c r="L83" s="85"/>
      <c r="M83" s="86"/>
      <c r="N83" s="45"/>
      <c r="O83" s="45" t="s">
        <v>105</v>
      </c>
      <c r="P83" s="45"/>
      <c r="Q83" s="87"/>
      <c r="R83" s="95" t="s">
        <v>612</v>
      </c>
      <c r="S83" s="92" t="s">
        <v>613</v>
      </c>
      <c r="T83" s="107" t="s">
        <v>45</v>
      </c>
      <c r="U83" s="1"/>
      <c r="V83" s="3"/>
      <c r="W83" s="1"/>
      <c r="X83" s="1"/>
    </row>
    <row r="84" ht="78.75" customHeight="1">
      <c r="A84" s="1"/>
      <c r="B84" s="45">
        <f t="shared" si="3"/>
        <v>76</v>
      </c>
      <c r="C84" s="93">
        <v>45793.0</v>
      </c>
      <c r="D84" s="94" t="s">
        <v>614</v>
      </c>
      <c r="E84" s="94" t="s">
        <v>387</v>
      </c>
      <c r="F84" s="45" t="s">
        <v>615</v>
      </c>
      <c r="G84" s="45" t="s">
        <v>42</v>
      </c>
      <c r="H84" s="45"/>
      <c r="I84" s="45"/>
      <c r="J84" s="45"/>
      <c r="K84" s="45"/>
      <c r="L84" s="85"/>
      <c r="M84" s="86"/>
      <c r="N84" s="45"/>
      <c r="O84" s="45" t="s">
        <v>27</v>
      </c>
      <c r="P84" s="45"/>
      <c r="Q84" s="87"/>
      <c r="R84" s="95" t="s">
        <v>616</v>
      </c>
      <c r="S84" s="92" t="s">
        <v>617</v>
      </c>
      <c r="T84" s="105" t="s">
        <v>30</v>
      </c>
      <c r="U84" s="1"/>
      <c r="V84" s="3"/>
      <c r="W84" s="1"/>
      <c r="X84" s="1"/>
    </row>
    <row r="85" ht="16.5" customHeight="1">
      <c r="A85" s="1"/>
      <c r="B85" s="45">
        <f t="shared" si="3"/>
        <v>77</v>
      </c>
      <c r="C85" s="93">
        <v>45798.0</v>
      </c>
      <c r="D85" s="94"/>
      <c r="E85" s="94" t="s">
        <v>618</v>
      </c>
      <c r="F85" s="45" t="s">
        <v>619</v>
      </c>
      <c r="G85" s="45" t="s">
        <v>33</v>
      </c>
      <c r="H85" s="45"/>
      <c r="I85" s="45"/>
      <c r="J85" s="45"/>
      <c r="K85" s="45"/>
      <c r="L85" s="85"/>
      <c r="M85" s="86"/>
      <c r="N85" s="45"/>
      <c r="O85" s="45" t="s">
        <v>27</v>
      </c>
      <c r="P85" s="45"/>
      <c r="Q85" s="87"/>
      <c r="R85" s="95" t="s">
        <v>620</v>
      </c>
      <c r="S85" s="92" t="s">
        <v>621</v>
      </c>
      <c r="T85" s="105" t="s">
        <v>45</v>
      </c>
      <c r="U85" s="1"/>
      <c r="V85" s="3"/>
      <c r="W85" s="1"/>
      <c r="X85" s="1"/>
    </row>
    <row r="86" ht="71.25" customHeight="1">
      <c r="A86" s="1"/>
      <c r="B86" s="45">
        <f t="shared" si="3"/>
        <v>78</v>
      </c>
      <c r="C86" s="93">
        <v>45799.0</v>
      </c>
      <c r="D86" s="94"/>
      <c r="E86" s="94" t="s">
        <v>622</v>
      </c>
      <c r="F86" s="45" t="s">
        <v>623</v>
      </c>
      <c r="G86" s="45" t="s">
        <v>70</v>
      </c>
      <c r="H86" s="45"/>
      <c r="I86" s="45"/>
      <c r="J86" s="45"/>
      <c r="K86" s="45"/>
      <c r="L86" s="85"/>
      <c r="M86" s="86" t="s">
        <v>71</v>
      </c>
      <c r="N86" s="45"/>
      <c r="O86" s="45"/>
      <c r="P86" s="45"/>
      <c r="Q86" s="87"/>
      <c r="R86" s="95" t="s">
        <v>624</v>
      </c>
      <c r="S86" s="108" t="s">
        <v>625</v>
      </c>
      <c r="T86" s="109" t="s">
        <v>45</v>
      </c>
      <c r="U86" s="1"/>
      <c r="V86" s="3"/>
      <c r="W86" s="1"/>
      <c r="X86" s="1"/>
    </row>
    <row r="87" ht="30.0" customHeight="1">
      <c r="A87" s="1"/>
      <c r="B87" s="45">
        <f t="shared" si="3"/>
        <v>79</v>
      </c>
      <c r="C87" s="93">
        <v>45800.0</v>
      </c>
      <c r="D87" s="94"/>
      <c r="E87" s="94" t="s">
        <v>626</v>
      </c>
      <c r="F87" s="45" t="s">
        <v>627</v>
      </c>
      <c r="G87" s="45" t="s">
        <v>33</v>
      </c>
      <c r="H87" s="45"/>
      <c r="I87" s="45"/>
      <c r="J87" s="45"/>
      <c r="K87" s="45"/>
      <c r="L87" s="85"/>
      <c r="M87" s="86"/>
      <c r="N87" s="45"/>
      <c r="O87" s="45" t="s">
        <v>27</v>
      </c>
      <c r="P87" s="45"/>
      <c r="Q87" s="87"/>
      <c r="R87" s="95" t="s">
        <v>628</v>
      </c>
      <c r="S87" s="92" t="s">
        <v>629</v>
      </c>
      <c r="T87" s="107" t="s">
        <v>45</v>
      </c>
      <c r="U87" s="1"/>
      <c r="V87" s="3"/>
      <c r="W87" s="1"/>
      <c r="X87" s="1"/>
    </row>
    <row r="88" ht="47.25" customHeight="1">
      <c r="A88" s="1"/>
      <c r="B88" s="45">
        <f t="shared" si="3"/>
        <v>80</v>
      </c>
      <c r="C88" s="110">
        <v>45803.0</v>
      </c>
      <c r="D88" s="94"/>
      <c r="E88" s="94" t="s">
        <v>47</v>
      </c>
      <c r="F88" s="45" t="s">
        <v>630</v>
      </c>
      <c r="G88" s="45" t="s">
        <v>42</v>
      </c>
      <c r="H88" s="45"/>
      <c r="I88" s="45"/>
      <c r="J88" s="45"/>
      <c r="K88" s="45"/>
      <c r="L88" s="85"/>
      <c r="M88" s="86"/>
      <c r="N88" s="45"/>
      <c r="O88" s="45" t="s">
        <v>27</v>
      </c>
      <c r="P88" s="45"/>
      <c r="Q88" s="87"/>
      <c r="R88" s="95" t="s">
        <v>631</v>
      </c>
      <c r="S88" s="92" t="s">
        <v>632</v>
      </c>
      <c r="T88" s="107" t="s">
        <v>45</v>
      </c>
      <c r="U88" s="1"/>
      <c r="V88" s="3"/>
      <c r="W88" s="1"/>
      <c r="X88" s="1"/>
    </row>
    <row r="89" ht="30.0" customHeight="1">
      <c r="A89" s="1"/>
      <c r="B89" s="45">
        <f t="shared" si="3"/>
        <v>81</v>
      </c>
      <c r="C89" s="93">
        <v>45803.0</v>
      </c>
      <c r="D89" s="94"/>
      <c r="E89" s="94" t="s">
        <v>571</v>
      </c>
      <c r="F89" s="45" t="s">
        <v>633</v>
      </c>
      <c r="G89" s="45" t="s">
        <v>42</v>
      </c>
      <c r="H89" s="45"/>
      <c r="I89" s="45"/>
      <c r="J89" s="45"/>
      <c r="K89" s="45"/>
      <c r="L89" s="85"/>
      <c r="M89" s="86"/>
      <c r="N89" s="45"/>
      <c r="O89" s="45"/>
      <c r="P89" s="45"/>
      <c r="Q89" s="87" t="s">
        <v>634</v>
      </c>
      <c r="R89" s="95" t="s">
        <v>635</v>
      </c>
      <c r="S89" s="92" t="s">
        <v>636</v>
      </c>
      <c r="T89" s="107" t="s">
        <v>45</v>
      </c>
      <c r="U89" s="1"/>
      <c r="V89" s="3"/>
      <c r="W89" s="1"/>
      <c r="X89" s="1"/>
    </row>
    <row r="90" ht="30.0" customHeight="1">
      <c r="A90" s="1"/>
      <c r="B90" s="45">
        <f t="shared" si="3"/>
        <v>82</v>
      </c>
      <c r="C90" s="93">
        <v>45803.0</v>
      </c>
      <c r="D90" s="94"/>
      <c r="E90" s="94" t="s">
        <v>47</v>
      </c>
      <c r="F90" s="45" t="s">
        <v>637</v>
      </c>
      <c r="G90" s="57" t="s">
        <v>42</v>
      </c>
      <c r="H90" s="45"/>
      <c r="I90" s="45"/>
      <c r="J90" s="45"/>
      <c r="K90" s="45"/>
      <c r="L90" s="85"/>
      <c r="M90" s="86"/>
      <c r="N90" s="45"/>
      <c r="O90" s="45" t="s">
        <v>27</v>
      </c>
      <c r="P90" s="45"/>
      <c r="Q90" s="87"/>
      <c r="R90" s="95" t="s">
        <v>638</v>
      </c>
      <c r="S90" s="92" t="s">
        <v>639</v>
      </c>
      <c r="T90" s="107" t="s">
        <v>45</v>
      </c>
      <c r="U90" s="1"/>
      <c r="V90" s="3"/>
      <c r="W90" s="1"/>
      <c r="X90" s="1"/>
    </row>
    <row r="91" ht="45.75" customHeight="1">
      <c r="A91" s="1"/>
      <c r="B91" s="45">
        <f t="shared" si="3"/>
        <v>83</v>
      </c>
      <c r="C91" s="93">
        <v>45804.0</v>
      </c>
      <c r="D91" s="45"/>
      <c r="E91" s="94" t="s">
        <v>640</v>
      </c>
      <c r="F91" s="45" t="s">
        <v>641</v>
      </c>
      <c r="G91" s="45" t="s">
        <v>70</v>
      </c>
      <c r="H91" s="45"/>
      <c r="I91" s="45"/>
      <c r="J91" s="45"/>
      <c r="K91" s="45"/>
      <c r="L91" s="85"/>
      <c r="M91" s="86" t="s">
        <v>642</v>
      </c>
      <c r="N91" s="45"/>
      <c r="O91" s="45"/>
      <c r="P91" s="45"/>
      <c r="Q91" s="87"/>
      <c r="R91" s="95" t="s">
        <v>643</v>
      </c>
      <c r="S91" s="92" t="s">
        <v>644</v>
      </c>
      <c r="T91" s="107" t="s">
        <v>74</v>
      </c>
      <c r="U91" s="1"/>
      <c r="V91" s="3"/>
      <c r="W91" s="1"/>
      <c r="X91" s="1"/>
    </row>
    <row r="92" ht="30.0" customHeight="1">
      <c r="A92" s="1"/>
      <c r="B92" s="45">
        <f t="shared" si="3"/>
        <v>84</v>
      </c>
      <c r="C92" s="93">
        <v>45807.0</v>
      </c>
      <c r="D92" s="94" t="s">
        <v>645</v>
      </c>
      <c r="E92" s="94" t="s">
        <v>47</v>
      </c>
      <c r="F92" s="45" t="s">
        <v>334</v>
      </c>
      <c r="G92" s="57" t="s">
        <v>42</v>
      </c>
      <c r="H92" s="45"/>
      <c r="I92" s="45"/>
      <c r="J92" s="45"/>
      <c r="K92" s="45"/>
      <c r="L92" s="85"/>
      <c r="M92" s="86"/>
      <c r="N92" s="45"/>
      <c r="O92" s="45"/>
      <c r="P92" s="45"/>
      <c r="Q92" s="87" t="s">
        <v>634</v>
      </c>
      <c r="R92" s="95" t="s">
        <v>646</v>
      </c>
      <c r="S92" s="92" t="s">
        <v>647</v>
      </c>
      <c r="T92" s="107" t="s">
        <v>45</v>
      </c>
      <c r="U92" s="1"/>
      <c r="V92" s="3"/>
      <c r="W92" s="1"/>
      <c r="X92" s="1"/>
    </row>
    <row r="93" ht="36.75" customHeight="1">
      <c r="A93" s="1"/>
      <c r="B93" s="45">
        <f t="shared" si="3"/>
        <v>85</v>
      </c>
      <c r="C93" s="93">
        <v>45812.0</v>
      </c>
      <c r="D93" s="94"/>
      <c r="E93" s="94" t="s">
        <v>648</v>
      </c>
      <c r="F93" s="45" t="s">
        <v>649</v>
      </c>
      <c r="G93" s="57" t="s">
        <v>42</v>
      </c>
      <c r="H93" s="45"/>
      <c r="I93" s="45"/>
      <c r="J93" s="45"/>
      <c r="K93" s="45"/>
      <c r="L93" s="85"/>
      <c r="M93" s="86" t="s">
        <v>71</v>
      </c>
      <c r="N93" s="45"/>
      <c r="O93" s="45"/>
      <c r="P93" s="45"/>
      <c r="Q93" s="87"/>
      <c r="R93" s="95" t="s">
        <v>650</v>
      </c>
      <c r="S93" s="92" t="s">
        <v>651</v>
      </c>
      <c r="T93" s="107" t="s">
        <v>45</v>
      </c>
      <c r="U93" s="1"/>
      <c r="V93" s="3"/>
      <c r="W93" s="1"/>
      <c r="X93" s="1"/>
    </row>
    <row r="94" ht="54.75" customHeight="1">
      <c r="A94" s="1"/>
      <c r="B94" s="45">
        <f t="shared" si="3"/>
        <v>86</v>
      </c>
      <c r="C94" s="93">
        <v>45812.0</v>
      </c>
      <c r="D94" s="94"/>
      <c r="E94" s="94" t="s">
        <v>652</v>
      </c>
      <c r="F94" s="45" t="s">
        <v>653</v>
      </c>
      <c r="G94" s="57" t="s">
        <v>70</v>
      </c>
      <c r="H94" s="45"/>
      <c r="I94" s="45"/>
      <c r="J94" s="45"/>
      <c r="K94" s="45"/>
      <c r="L94" s="85"/>
      <c r="M94" s="86" t="s">
        <v>71</v>
      </c>
      <c r="N94" s="45"/>
      <c r="O94" s="45"/>
      <c r="P94" s="45"/>
      <c r="Q94" s="87"/>
      <c r="R94" s="95" t="s">
        <v>654</v>
      </c>
      <c r="S94" s="92" t="s">
        <v>655</v>
      </c>
      <c r="T94" s="107" t="s">
        <v>45</v>
      </c>
      <c r="U94" s="1"/>
      <c r="V94" s="3"/>
      <c r="W94" s="1"/>
      <c r="X94" s="1"/>
    </row>
    <row r="95" ht="57.75" customHeight="1">
      <c r="A95" s="1"/>
      <c r="B95" s="45">
        <f t="shared" si="3"/>
        <v>87</v>
      </c>
      <c r="C95" s="93">
        <v>45812.0</v>
      </c>
      <c r="D95" s="94"/>
      <c r="E95" s="94" t="s">
        <v>65</v>
      </c>
      <c r="F95" s="45" t="s">
        <v>656</v>
      </c>
      <c r="G95" s="57" t="s">
        <v>70</v>
      </c>
      <c r="H95" s="45"/>
      <c r="I95" s="45"/>
      <c r="J95" s="45"/>
      <c r="K95" s="45"/>
      <c r="L95" s="85"/>
      <c r="M95" s="86" t="s">
        <v>71</v>
      </c>
      <c r="N95" s="45"/>
      <c r="O95" s="45"/>
      <c r="P95" s="45"/>
      <c r="Q95" s="87"/>
      <c r="R95" s="95" t="s">
        <v>657</v>
      </c>
      <c r="S95" s="92" t="s">
        <v>658</v>
      </c>
      <c r="T95" s="107" t="s">
        <v>45</v>
      </c>
      <c r="U95" s="1"/>
      <c r="V95" s="3"/>
      <c r="W95" s="1"/>
      <c r="X95" s="1"/>
    </row>
    <row r="96" ht="30.0" customHeight="1">
      <c r="A96" s="1"/>
      <c r="B96" s="45">
        <f t="shared" si="3"/>
        <v>88</v>
      </c>
      <c r="C96" s="93">
        <v>45812.0</v>
      </c>
      <c r="D96" s="94"/>
      <c r="E96" s="94" t="s">
        <v>659</v>
      </c>
      <c r="F96" s="45" t="s">
        <v>660</v>
      </c>
      <c r="G96" s="57" t="s">
        <v>33</v>
      </c>
      <c r="H96" s="45"/>
      <c r="I96" s="45"/>
      <c r="J96" s="45"/>
      <c r="K96" s="45"/>
      <c r="L96" s="85"/>
      <c r="M96" s="86" t="s">
        <v>71</v>
      </c>
      <c r="N96" s="45"/>
      <c r="O96" s="45"/>
      <c r="P96" s="45"/>
      <c r="Q96" s="87"/>
      <c r="R96" s="95" t="s">
        <v>661</v>
      </c>
      <c r="S96" s="92" t="s">
        <v>662</v>
      </c>
      <c r="T96" s="107" t="s">
        <v>45</v>
      </c>
      <c r="U96" s="1"/>
      <c r="V96" s="3"/>
      <c r="W96" s="1"/>
      <c r="X96" s="1"/>
    </row>
    <row r="97" ht="51.0" customHeight="1">
      <c r="A97" s="1"/>
      <c r="B97" s="45">
        <f t="shared" si="3"/>
        <v>89</v>
      </c>
      <c r="C97" s="93">
        <v>45817.0</v>
      </c>
      <c r="D97" s="94"/>
      <c r="E97" s="94" t="s">
        <v>47</v>
      </c>
      <c r="F97" s="45" t="s">
        <v>663</v>
      </c>
      <c r="G97" s="57" t="s">
        <v>42</v>
      </c>
      <c r="H97" s="45"/>
      <c r="I97" s="45"/>
      <c r="J97" s="45"/>
      <c r="K97" s="45"/>
      <c r="L97" s="85"/>
      <c r="M97" s="86"/>
      <c r="N97" s="45"/>
      <c r="O97" s="45" t="s">
        <v>27</v>
      </c>
      <c r="P97" s="45"/>
      <c r="Q97" s="87"/>
      <c r="R97" s="95" t="s">
        <v>664</v>
      </c>
      <c r="S97" s="92" t="s">
        <v>665</v>
      </c>
      <c r="T97" s="107" t="s">
        <v>45</v>
      </c>
      <c r="U97" s="1"/>
      <c r="V97" s="3"/>
      <c r="W97" s="1"/>
      <c r="X97" s="1"/>
    </row>
    <row r="98" ht="45.0" customHeight="1">
      <c r="A98" s="1"/>
      <c r="B98" s="45">
        <f t="shared" si="3"/>
        <v>90</v>
      </c>
      <c r="C98" s="93">
        <v>45817.0</v>
      </c>
      <c r="D98" s="94"/>
      <c r="E98" s="94" t="s">
        <v>65</v>
      </c>
      <c r="F98" s="45" t="s">
        <v>666</v>
      </c>
      <c r="G98" s="57" t="s">
        <v>42</v>
      </c>
      <c r="H98" s="45"/>
      <c r="I98" s="45"/>
      <c r="J98" s="45"/>
      <c r="K98" s="45"/>
      <c r="L98" s="85"/>
      <c r="M98" s="86"/>
      <c r="N98" s="45"/>
      <c r="O98" s="45" t="s">
        <v>27</v>
      </c>
      <c r="P98" s="45"/>
      <c r="Q98" s="87"/>
      <c r="R98" s="95" t="s">
        <v>667</v>
      </c>
      <c r="S98" s="92" t="s">
        <v>668</v>
      </c>
      <c r="T98" s="107" t="s">
        <v>45</v>
      </c>
      <c r="U98" s="1"/>
      <c r="V98" s="3"/>
      <c r="W98" s="1"/>
      <c r="X98" s="1"/>
    </row>
    <row r="99" ht="30.0" customHeight="1">
      <c r="A99" s="1"/>
      <c r="B99" s="45">
        <f t="shared" si="3"/>
        <v>91</v>
      </c>
      <c r="C99" s="93">
        <v>45818.0</v>
      </c>
      <c r="D99" s="94"/>
      <c r="E99" s="94" t="s">
        <v>669</v>
      </c>
      <c r="F99" s="94" t="s">
        <v>670</v>
      </c>
      <c r="G99" s="57" t="s">
        <v>33</v>
      </c>
      <c r="H99" s="45"/>
      <c r="I99" s="45"/>
      <c r="J99" s="45"/>
      <c r="K99" s="45"/>
      <c r="L99" s="85"/>
      <c r="M99" s="86"/>
      <c r="N99" s="45"/>
      <c r="O99" s="45"/>
      <c r="P99" s="45"/>
      <c r="Q99" s="87"/>
      <c r="R99" s="95" t="s">
        <v>671</v>
      </c>
      <c r="S99" s="92" t="s">
        <v>672</v>
      </c>
      <c r="T99" s="107" t="s">
        <v>45</v>
      </c>
      <c r="U99" s="1"/>
      <c r="V99" s="3"/>
      <c r="W99" s="1"/>
      <c r="X99" s="1"/>
    </row>
    <row r="100" ht="30.0" customHeight="1">
      <c r="A100" s="1"/>
      <c r="B100" s="45">
        <f t="shared" si="3"/>
        <v>92</v>
      </c>
      <c r="C100" s="93">
        <v>45819.0</v>
      </c>
      <c r="D100" s="94"/>
      <c r="E100" s="94" t="s">
        <v>673</v>
      </c>
      <c r="F100" s="94" t="s">
        <v>674</v>
      </c>
      <c r="G100" s="57" t="s">
        <v>33</v>
      </c>
      <c r="H100" s="45"/>
      <c r="I100" s="45"/>
      <c r="J100" s="45"/>
      <c r="K100" s="45"/>
      <c r="L100" s="85"/>
      <c r="M100" s="86"/>
      <c r="N100" s="45"/>
      <c r="O100" s="45"/>
      <c r="P100" s="45"/>
      <c r="Q100" s="87"/>
      <c r="R100" s="95" t="s">
        <v>675</v>
      </c>
      <c r="S100" s="92" t="s">
        <v>676</v>
      </c>
      <c r="T100" s="107" t="s">
        <v>30</v>
      </c>
      <c r="U100" s="1"/>
      <c r="V100" s="3"/>
      <c r="W100" s="1"/>
      <c r="X100" s="1"/>
    </row>
    <row r="101" ht="30.0" customHeight="1">
      <c r="A101" s="1"/>
      <c r="B101" s="45">
        <f t="shared" si="3"/>
        <v>93</v>
      </c>
      <c r="C101" s="93">
        <v>45819.0</v>
      </c>
      <c r="D101" s="94" t="s">
        <v>677</v>
      </c>
      <c r="E101" s="94"/>
      <c r="F101" s="94" t="s">
        <v>678</v>
      </c>
      <c r="G101" s="57" t="s">
        <v>42</v>
      </c>
      <c r="H101" s="45"/>
      <c r="I101" s="45"/>
      <c r="J101" s="45"/>
      <c r="K101" s="45"/>
      <c r="L101" s="85"/>
      <c r="M101" s="86"/>
      <c r="N101" s="45"/>
      <c r="O101" s="45"/>
      <c r="P101" s="45"/>
      <c r="Q101" s="87"/>
      <c r="R101" s="95" t="s">
        <v>679</v>
      </c>
      <c r="S101" s="92" t="s">
        <v>680</v>
      </c>
      <c r="T101" s="107" t="s">
        <v>30</v>
      </c>
      <c r="U101" s="1"/>
      <c r="V101" s="3"/>
      <c r="W101" s="1"/>
      <c r="X101" s="1"/>
    </row>
    <row r="102" ht="40.5" customHeight="1">
      <c r="A102" s="1"/>
      <c r="B102" s="45">
        <f t="shared" si="3"/>
        <v>94</v>
      </c>
      <c r="C102" s="93">
        <v>45819.0</v>
      </c>
      <c r="D102" s="94"/>
      <c r="E102" s="94" t="s">
        <v>681</v>
      </c>
      <c r="F102" s="94" t="s">
        <v>682</v>
      </c>
      <c r="G102" s="57" t="s">
        <v>33</v>
      </c>
      <c r="H102" s="45"/>
      <c r="I102" s="45"/>
      <c r="J102" s="45"/>
      <c r="K102" s="45"/>
      <c r="L102" s="85"/>
      <c r="M102" s="86"/>
      <c r="N102" s="45"/>
      <c r="O102" s="45" t="s">
        <v>105</v>
      </c>
      <c r="P102" s="45"/>
      <c r="Q102" s="87"/>
      <c r="R102" s="95" t="s">
        <v>683</v>
      </c>
      <c r="S102" s="92" t="s">
        <v>684</v>
      </c>
      <c r="T102" s="107" t="s">
        <v>30</v>
      </c>
      <c r="U102" s="1"/>
      <c r="V102" s="3"/>
      <c r="W102" s="1"/>
      <c r="X102" s="1"/>
    </row>
    <row r="103" ht="70.5" customHeight="1">
      <c r="A103" s="1"/>
      <c r="B103" s="45">
        <f t="shared" si="3"/>
        <v>95</v>
      </c>
      <c r="C103" s="93">
        <v>45821.0</v>
      </c>
      <c r="D103" s="94"/>
      <c r="E103" s="94" t="s">
        <v>685</v>
      </c>
      <c r="F103" s="45" t="s">
        <v>686</v>
      </c>
      <c r="G103" s="57" t="s">
        <v>70</v>
      </c>
      <c r="H103" s="45"/>
      <c r="I103" s="45"/>
      <c r="J103" s="45"/>
      <c r="K103" s="45"/>
      <c r="L103" s="85"/>
      <c r="M103" s="86"/>
      <c r="N103" s="45"/>
      <c r="O103" s="45" t="s">
        <v>687</v>
      </c>
      <c r="P103" s="45"/>
      <c r="Q103" s="87"/>
      <c r="R103" s="95" t="s">
        <v>688</v>
      </c>
      <c r="S103" s="92" t="s">
        <v>689</v>
      </c>
      <c r="T103" s="107" t="s">
        <v>45</v>
      </c>
      <c r="U103" s="1"/>
      <c r="V103" s="3"/>
      <c r="W103" s="1"/>
      <c r="X103" s="1"/>
    </row>
    <row r="104" ht="46.5" customHeight="1">
      <c r="A104" s="1"/>
      <c r="B104" s="45">
        <f t="shared" si="3"/>
        <v>96</v>
      </c>
      <c r="C104" s="93">
        <v>45824.0</v>
      </c>
      <c r="D104" s="94" t="s">
        <v>690</v>
      </c>
      <c r="E104" s="94"/>
      <c r="F104" s="45" t="s">
        <v>691</v>
      </c>
      <c r="G104" s="57" t="s">
        <v>42</v>
      </c>
      <c r="H104" s="45"/>
      <c r="I104" s="45" t="s">
        <v>53</v>
      </c>
      <c r="J104" s="45" t="s">
        <v>692</v>
      </c>
      <c r="K104" s="45" t="s">
        <v>84</v>
      </c>
      <c r="L104" s="85" t="s">
        <v>693</v>
      </c>
      <c r="M104" s="86"/>
      <c r="N104" s="45"/>
      <c r="O104" s="45" t="s">
        <v>152</v>
      </c>
      <c r="P104" s="45"/>
      <c r="Q104" s="87"/>
      <c r="R104" s="95" t="s">
        <v>694</v>
      </c>
      <c r="S104" s="92" t="s">
        <v>695</v>
      </c>
      <c r="T104" s="107" t="s">
        <v>45</v>
      </c>
      <c r="U104" s="1"/>
      <c r="V104" s="3"/>
      <c r="W104" s="1"/>
      <c r="X104" s="1"/>
    </row>
    <row r="105" ht="94.5" customHeight="1">
      <c r="A105" s="1"/>
      <c r="B105" s="45">
        <f t="shared" si="3"/>
        <v>97</v>
      </c>
      <c r="C105" s="93">
        <v>45824.0</v>
      </c>
      <c r="D105" s="94" t="s">
        <v>59</v>
      </c>
      <c r="E105" s="94"/>
      <c r="F105" s="45" t="s">
        <v>696</v>
      </c>
      <c r="G105" s="57" t="s">
        <v>42</v>
      </c>
      <c r="H105" s="45"/>
      <c r="I105" s="45"/>
      <c r="J105" s="45"/>
      <c r="K105" s="45"/>
      <c r="L105" s="85"/>
      <c r="M105" s="86"/>
      <c r="N105" s="45"/>
      <c r="O105" s="45" t="s">
        <v>27</v>
      </c>
      <c r="P105" s="45"/>
      <c r="Q105" s="87"/>
      <c r="R105" s="95" t="s">
        <v>697</v>
      </c>
      <c r="S105" s="92" t="s">
        <v>698</v>
      </c>
      <c r="T105" s="107" t="s">
        <v>30</v>
      </c>
      <c r="U105" s="1"/>
      <c r="V105" s="3"/>
      <c r="W105" s="1"/>
      <c r="X105" s="1"/>
    </row>
    <row r="106" ht="70.5" customHeight="1">
      <c r="A106" s="1"/>
      <c r="B106" s="45">
        <f t="shared" si="3"/>
        <v>98</v>
      </c>
      <c r="C106" s="93">
        <v>45824.0</v>
      </c>
      <c r="D106" s="45" t="s">
        <v>699</v>
      </c>
      <c r="E106" s="45"/>
      <c r="F106" s="45" t="s">
        <v>700</v>
      </c>
      <c r="G106" s="57" t="s">
        <v>26</v>
      </c>
      <c r="H106" s="45"/>
      <c r="I106" s="45" t="s">
        <v>60</v>
      </c>
      <c r="J106" s="45" t="s">
        <v>61</v>
      </c>
      <c r="K106" s="45" t="s">
        <v>55</v>
      </c>
      <c r="L106" s="85"/>
      <c r="M106" s="86"/>
      <c r="N106" s="45"/>
      <c r="O106" s="45" t="s">
        <v>27</v>
      </c>
      <c r="P106" s="45"/>
      <c r="Q106" s="87"/>
      <c r="R106" s="95" t="s">
        <v>701</v>
      </c>
      <c r="S106" s="92" t="s">
        <v>702</v>
      </c>
      <c r="T106" s="107"/>
      <c r="U106" s="1"/>
      <c r="V106" s="3"/>
      <c r="W106" s="1"/>
      <c r="X106" s="1"/>
    </row>
    <row r="107" ht="30.0" customHeight="1">
      <c r="A107" s="1"/>
      <c r="B107" s="45">
        <f t="shared" si="3"/>
        <v>99</v>
      </c>
      <c r="C107" s="93">
        <v>45832.0</v>
      </c>
      <c r="D107" s="94"/>
      <c r="E107" s="94"/>
      <c r="F107" s="45" t="s">
        <v>703</v>
      </c>
      <c r="G107" s="57" t="s">
        <v>42</v>
      </c>
      <c r="H107" s="45"/>
      <c r="I107" s="45" t="s">
        <v>60</v>
      </c>
      <c r="J107" s="45"/>
      <c r="K107" s="45"/>
      <c r="L107" s="85"/>
      <c r="M107" s="86"/>
      <c r="N107" s="45"/>
      <c r="O107" s="45" t="s">
        <v>27</v>
      </c>
      <c r="P107" s="45"/>
      <c r="Q107" s="87"/>
      <c r="R107" s="95" t="s">
        <v>704</v>
      </c>
      <c r="S107" s="92" t="s">
        <v>705</v>
      </c>
      <c r="T107" s="107" t="s">
        <v>45</v>
      </c>
      <c r="U107" s="1"/>
      <c r="V107" s="3"/>
      <c r="W107" s="1"/>
      <c r="X107" s="1"/>
    </row>
    <row r="108" ht="30.0" customHeight="1">
      <c r="A108" s="1"/>
      <c r="B108" s="45">
        <f t="shared" si="3"/>
        <v>100</v>
      </c>
      <c r="C108" s="93">
        <v>45832.0</v>
      </c>
      <c r="D108" s="94"/>
      <c r="E108" s="94"/>
      <c r="F108" s="45" t="s">
        <v>334</v>
      </c>
      <c r="G108" s="57" t="s">
        <v>42</v>
      </c>
      <c r="H108" s="45"/>
      <c r="I108" s="45"/>
      <c r="J108" s="45"/>
      <c r="K108" s="45"/>
      <c r="L108" s="85"/>
      <c r="M108" s="86"/>
      <c r="N108" s="45"/>
      <c r="O108" s="45" t="s">
        <v>27</v>
      </c>
      <c r="P108" s="45"/>
      <c r="Q108" s="87"/>
      <c r="R108" s="95" t="s">
        <v>706</v>
      </c>
      <c r="S108" s="92" t="s">
        <v>707</v>
      </c>
      <c r="T108" s="107" t="s">
        <v>45</v>
      </c>
      <c r="U108" s="1"/>
      <c r="V108" s="3"/>
      <c r="W108" s="1"/>
      <c r="X108" s="1"/>
    </row>
    <row r="109" ht="30.0" customHeight="1">
      <c r="A109" s="1"/>
      <c r="B109" s="45">
        <f t="shared" si="3"/>
        <v>101</v>
      </c>
      <c r="C109" s="93">
        <v>45832.0</v>
      </c>
      <c r="D109" s="94" t="s">
        <v>708</v>
      </c>
      <c r="E109" s="94" t="s">
        <v>709</v>
      </c>
      <c r="F109" s="45" t="s">
        <v>710</v>
      </c>
      <c r="G109" s="57" t="s">
        <v>33</v>
      </c>
      <c r="H109" s="45"/>
      <c r="I109" s="45"/>
      <c r="J109" s="45" t="s">
        <v>61</v>
      </c>
      <c r="K109" s="45" t="s">
        <v>84</v>
      </c>
      <c r="L109" s="85" t="s">
        <v>711</v>
      </c>
      <c r="M109" s="86" t="s">
        <v>120</v>
      </c>
      <c r="N109" s="45"/>
      <c r="O109" s="45"/>
      <c r="P109" s="45"/>
      <c r="Q109" s="87"/>
      <c r="R109" s="95" t="s">
        <v>712</v>
      </c>
      <c r="S109" s="92" t="s">
        <v>713</v>
      </c>
      <c r="T109" s="107" t="s">
        <v>45</v>
      </c>
      <c r="U109" s="1"/>
      <c r="V109" s="3"/>
      <c r="W109" s="1"/>
      <c r="X109" s="1"/>
    </row>
    <row r="110" ht="30.0" customHeight="1">
      <c r="A110" s="1"/>
      <c r="B110" s="45">
        <f t="shared" si="3"/>
        <v>102</v>
      </c>
      <c r="C110" s="93">
        <v>45835.0</v>
      </c>
      <c r="D110" s="94"/>
      <c r="E110" s="94" t="s">
        <v>714</v>
      </c>
      <c r="F110" s="45" t="s">
        <v>715</v>
      </c>
      <c r="G110" s="57" t="s">
        <v>70</v>
      </c>
      <c r="H110" s="45"/>
      <c r="I110" s="45"/>
      <c r="J110" s="45"/>
      <c r="K110" s="45"/>
      <c r="L110" s="85"/>
      <c r="M110" s="86"/>
      <c r="N110" s="45"/>
      <c r="O110" s="45" t="s">
        <v>152</v>
      </c>
      <c r="P110" s="45"/>
      <c r="Q110" s="87"/>
      <c r="R110" s="95" t="s">
        <v>716</v>
      </c>
      <c r="S110" s="92" t="s">
        <v>717</v>
      </c>
      <c r="T110" s="107" t="s">
        <v>45</v>
      </c>
      <c r="U110" s="1"/>
      <c r="V110" s="3"/>
      <c r="W110" s="1"/>
      <c r="X110" s="1"/>
    </row>
    <row r="111" ht="30.0" customHeight="1">
      <c r="A111" s="1"/>
      <c r="B111" s="45">
        <f t="shared" si="3"/>
        <v>103</v>
      </c>
      <c r="C111" s="93">
        <v>45839.0</v>
      </c>
      <c r="D111" s="94"/>
      <c r="E111" s="94" t="s">
        <v>718</v>
      </c>
      <c r="F111" s="45" t="s">
        <v>719</v>
      </c>
      <c r="G111" s="57" t="s">
        <v>33</v>
      </c>
      <c r="H111" s="45"/>
      <c r="I111" s="45"/>
      <c r="J111" s="45"/>
      <c r="K111" s="45"/>
      <c r="L111" s="85"/>
      <c r="M111" s="86"/>
      <c r="N111" s="45"/>
      <c r="O111" s="45"/>
      <c r="P111" s="45"/>
      <c r="Q111" s="87" t="s">
        <v>720</v>
      </c>
      <c r="R111" s="95" t="s">
        <v>721</v>
      </c>
      <c r="S111" s="92" t="s">
        <v>722</v>
      </c>
      <c r="T111" s="107" t="s">
        <v>74</v>
      </c>
      <c r="U111" s="1"/>
      <c r="V111" s="3"/>
      <c r="W111" s="1"/>
      <c r="X111" s="1"/>
    </row>
    <row r="112" ht="30.0" customHeight="1">
      <c r="A112" s="1"/>
      <c r="B112" s="45">
        <f t="shared" si="3"/>
        <v>104</v>
      </c>
      <c r="C112" s="93">
        <v>45839.0</v>
      </c>
      <c r="D112" s="94"/>
      <c r="E112" s="94" t="s">
        <v>76</v>
      </c>
      <c r="F112" s="45" t="s">
        <v>77</v>
      </c>
      <c r="G112" s="57" t="s">
        <v>42</v>
      </c>
      <c r="H112" s="45"/>
      <c r="I112" s="45"/>
      <c r="J112" s="45"/>
      <c r="K112" s="45"/>
      <c r="L112" s="85"/>
      <c r="M112" s="86"/>
      <c r="N112" s="45"/>
      <c r="O112" s="45" t="s">
        <v>27</v>
      </c>
      <c r="P112" s="45"/>
      <c r="Q112" s="87"/>
      <c r="R112" s="95" t="s">
        <v>723</v>
      </c>
      <c r="S112" s="92" t="s">
        <v>724</v>
      </c>
      <c r="T112" s="107" t="s">
        <v>45</v>
      </c>
      <c r="U112" s="1"/>
      <c r="V112" s="3"/>
      <c r="W112" s="1"/>
      <c r="X112" s="1"/>
    </row>
    <row r="113" ht="45.75" customHeight="1">
      <c r="A113" s="1"/>
      <c r="B113" s="45">
        <f t="shared" si="3"/>
        <v>105</v>
      </c>
      <c r="C113" s="93">
        <v>45841.0</v>
      </c>
      <c r="D113" s="94" t="s">
        <v>257</v>
      </c>
      <c r="E113" s="94" t="s">
        <v>725</v>
      </c>
      <c r="F113" s="45" t="s">
        <v>726</v>
      </c>
      <c r="G113" s="57" t="s">
        <v>33</v>
      </c>
      <c r="H113" s="45"/>
      <c r="I113" s="45"/>
      <c r="J113" s="45"/>
      <c r="K113" s="45"/>
      <c r="L113" s="85"/>
      <c r="M113" s="86"/>
      <c r="N113" s="45"/>
      <c r="O113" s="45" t="s">
        <v>727</v>
      </c>
      <c r="P113" s="45"/>
      <c r="Q113" s="87"/>
      <c r="R113" s="95" t="s">
        <v>728</v>
      </c>
      <c r="S113" s="92" t="s">
        <v>729</v>
      </c>
      <c r="T113" s="107" t="s">
        <v>30</v>
      </c>
      <c r="U113" s="1"/>
      <c r="V113" s="3"/>
      <c r="W113" s="1"/>
      <c r="X113" s="1"/>
    </row>
    <row r="114" ht="80.25" customHeight="1">
      <c r="A114" s="1"/>
      <c r="B114" s="45">
        <f t="shared" si="3"/>
        <v>106</v>
      </c>
      <c r="C114" s="93">
        <v>45841.0</v>
      </c>
      <c r="D114" s="94" t="s">
        <v>730</v>
      </c>
      <c r="E114" s="94"/>
      <c r="F114" s="45" t="s">
        <v>731</v>
      </c>
      <c r="G114" s="57" t="s">
        <v>42</v>
      </c>
      <c r="H114" s="45"/>
      <c r="I114" s="45"/>
      <c r="J114" s="45" t="s">
        <v>61</v>
      </c>
      <c r="K114" s="45"/>
      <c r="L114" s="85"/>
      <c r="M114" s="86"/>
      <c r="N114" s="45"/>
      <c r="O114" s="45" t="s">
        <v>27</v>
      </c>
      <c r="P114" s="45"/>
      <c r="Q114" s="87"/>
      <c r="R114" s="95" t="s">
        <v>732</v>
      </c>
      <c r="S114" s="92" t="s">
        <v>733</v>
      </c>
      <c r="T114" s="107" t="s">
        <v>30</v>
      </c>
      <c r="U114" s="1"/>
      <c r="V114" s="3"/>
      <c r="W114" s="1"/>
      <c r="X114" s="1"/>
    </row>
    <row r="115" ht="16.5" customHeight="1">
      <c r="A115" s="1"/>
      <c r="B115" s="45">
        <f t="shared" si="3"/>
        <v>107</v>
      </c>
      <c r="C115" s="93">
        <v>45842.0</v>
      </c>
      <c r="D115" s="45" t="s">
        <v>734</v>
      </c>
      <c r="E115" s="45"/>
      <c r="F115" s="45" t="s">
        <v>735</v>
      </c>
      <c r="G115" s="57" t="s">
        <v>26</v>
      </c>
      <c r="H115" s="45"/>
      <c r="I115" s="45"/>
      <c r="J115" s="45"/>
      <c r="K115" s="45"/>
      <c r="L115" s="85"/>
      <c r="M115" s="86" t="s">
        <v>22</v>
      </c>
      <c r="N115" s="45"/>
      <c r="O115" s="45"/>
      <c r="P115" s="45"/>
      <c r="Q115" s="87"/>
      <c r="R115" s="95" t="s">
        <v>736</v>
      </c>
      <c r="S115" s="92" t="s">
        <v>737</v>
      </c>
      <c r="T115" s="107" t="s">
        <v>30</v>
      </c>
      <c r="U115" s="1"/>
      <c r="V115" s="3"/>
      <c r="W115" s="1"/>
      <c r="X115" s="1"/>
    </row>
    <row r="116" ht="66.75" customHeight="1">
      <c r="A116" s="1"/>
      <c r="B116" s="45">
        <f t="shared" si="3"/>
        <v>108</v>
      </c>
      <c r="C116" s="93">
        <v>45842.0</v>
      </c>
      <c r="D116" s="45" t="s">
        <v>738</v>
      </c>
      <c r="E116" s="45"/>
      <c r="F116" s="45" t="s">
        <v>739</v>
      </c>
      <c r="G116" s="57" t="s">
        <v>42</v>
      </c>
      <c r="H116" s="45"/>
      <c r="I116" s="45"/>
      <c r="J116" s="45" t="s">
        <v>99</v>
      </c>
      <c r="K116" s="45" t="s">
        <v>55</v>
      </c>
      <c r="L116" s="85" t="s">
        <v>85</v>
      </c>
      <c r="M116" s="86"/>
      <c r="N116" s="45"/>
      <c r="O116" s="45" t="s">
        <v>27</v>
      </c>
      <c r="P116" s="45"/>
      <c r="Q116" s="87"/>
      <c r="R116" s="95" t="s">
        <v>740</v>
      </c>
      <c r="S116" s="92" t="s">
        <v>741</v>
      </c>
      <c r="T116" s="107" t="s">
        <v>30</v>
      </c>
      <c r="U116" s="1"/>
      <c r="V116" s="3"/>
      <c r="W116" s="1"/>
      <c r="X116" s="1"/>
    </row>
    <row r="117" ht="16.5" customHeight="1">
      <c r="A117" s="1"/>
      <c r="B117" s="45">
        <f t="shared" si="3"/>
        <v>109</v>
      </c>
      <c r="C117" s="93">
        <v>45845.0</v>
      </c>
      <c r="D117" s="94"/>
      <c r="E117" s="94" t="s">
        <v>742</v>
      </c>
      <c r="F117" s="45" t="s">
        <v>743</v>
      </c>
      <c r="G117" s="57" t="s">
        <v>70</v>
      </c>
      <c r="H117" s="45"/>
      <c r="I117" s="45"/>
      <c r="J117" s="45" t="s">
        <v>61</v>
      </c>
      <c r="K117" s="45" t="s">
        <v>84</v>
      </c>
      <c r="L117" s="85" t="s">
        <v>85</v>
      </c>
      <c r="M117" s="86" t="s">
        <v>22</v>
      </c>
      <c r="N117" s="45"/>
      <c r="O117" s="45"/>
      <c r="P117" s="45"/>
      <c r="Q117" s="87"/>
      <c r="R117" s="95" t="s">
        <v>744</v>
      </c>
      <c r="S117" s="92" t="s">
        <v>745</v>
      </c>
      <c r="T117" s="107" t="s">
        <v>45</v>
      </c>
      <c r="U117" s="1"/>
      <c r="V117" s="3"/>
      <c r="W117" s="1"/>
      <c r="X117" s="1"/>
    </row>
    <row r="118" ht="30.0" customHeight="1">
      <c r="A118" s="1"/>
      <c r="B118" s="45">
        <f t="shared" si="3"/>
        <v>110</v>
      </c>
      <c r="C118" s="110">
        <v>45847.0</v>
      </c>
      <c r="D118" s="94" t="s">
        <v>746</v>
      </c>
      <c r="E118" s="94" t="s">
        <v>648</v>
      </c>
      <c r="F118" s="45" t="s">
        <v>747</v>
      </c>
      <c r="G118" s="57" t="s">
        <v>26</v>
      </c>
      <c r="H118" s="45"/>
      <c r="I118" s="45"/>
      <c r="J118" s="45"/>
      <c r="K118" s="45"/>
      <c r="L118" s="85"/>
      <c r="M118" s="86"/>
      <c r="N118" s="45"/>
      <c r="O118" s="45" t="s">
        <v>27</v>
      </c>
      <c r="P118" s="45"/>
      <c r="Q118" s="87"/>
      <c r="R118" s="95" t="s">
        <v>748</v>
      </c>
      <c r="S118" s="92" t="s">
        <v>749</v>
      </c>
      <c r="T118" s="107" t="s">
        <v>45</v>
      </c>
      <c r="U118" s="1"/>
      <c r="V118" s="3"/>
      <c r="W118" s="1"/>
      <c r="X118" s="1"/>
    </row>
    <row r="119" ht="30.0" customHeight="1">
      <c r="A119" s="1"/>
      <c r="B119" s="45">
        <f t="shared" si="3"/>
        <v>111</v>
      </c>
      <c r="C119" s="93">
        <v>45852.0</v>
      </c>
      <c r="D119" s="94"/>
      <c r="E119" s="94" t="s">
        <v>47</v>
      </c>
      <c r="F119" s="45" t="s">
        <v>663</v>
      </c>
      <c r="G119" s="57" t="s">
        <v>42</v>
      </c>
      <c r="H119" s="45"/>
      <c r="I119" s="45"/>
      <c r="J119" s="45"/>
      <c r="K119" s="45"/>
      <c r="L119" s="85"/>
      <c r="M119" s="86"/>
      <c r="N119" s="45"/>
      <c r="O119" s="45" t="s">
        <v>27</v>
      </c>
      <c r="P119" s="45"/>
      <c r="Q119" s="87"/>
      <c r="R119" s="95" t="s">
        <v>750</v>
      </c>
      <c r="S119" s="92" t="s">
        <v>751</v>
      </c>
      <c r="T119" s="107" t="s">
        <v>45</v>
      </c>
      <c r="U119" s="1"/>
      <c r="V119" s="3"/>
      <c r="W119" s="1"/>
      <c r="X119" s="1"/>
    </row>
    <row r="120" ht="30.0" customHeight="1">
      <c r="A120" s="1"/>
      <c r="B120" s="45">
        <f t="shared" si="3"/>
        <v>112</v>
      </c>
      <c r="C120" s="93">
        <v>45852.0</v>
      </c>
      <c r="D120" s="94"/>
      <c r="E120" s="94" t="s">
        <v>40</v>
      </c>
      <c r="F120" s="45" t="s">
        <v>752</v>
      </c>
      <c r="G120" s="57" t="s">
        <v>42</v>
      </c>
      <c r="H120" s="45"/>
      <c r="I120" s="45"/>
      <c r="J120" s="45"/>
      <c r="K120" s="45"/>
      <c r="L120" s="85"/>
      <c r="M120" s="86"/>
      <c r="N120" s="45"/>
      <c r="O120" s="45"/>
      <c r="P120" s="45"/>
      <c r="Q120" s="87" t="s">
        <v>634</v>
      </c>
      <c r="R120" s="95" t="s">
        <v>753</v>
      </c>
      <c r="S120" s="92" t="s">
        <v>754</v>
      </c>
      <c r="T120" s="107" t="s">
        <v>45</v>
      </c>
      <c r="U120" s="1"/>
      <c r="V120" s="3"/>
      <c r="W120" s="1"/>
      <c r="X120" s="1"/>
    </row>
    <row r="121" ht="30.0" customHeight="1">
      <c r="A121" s="1"/>
      <c r="B121" s="45">
        <f t="shared" si="3"/>
        <v>113</v>
      </c>
      <c r="C121" s="93">
        <v>45852.0</v>
      </c>
      <c r="D121" s="94" t="s">
        <v>755</v>
      </c>
      <c r="E121" s="94"/>
      <c r="F121" s="45" t="s">
        <v>756</v>
      </c>
      <c r="G121" s="57" t="s">
        <v>42</v>
      </c>
      <c r="H121" s="45"/>
      <c r="I121" s="45"/>
      <c r="J121" s="45" t="s">
        <v>61</v>
      </c>
      <c r="K121" s="45"/>
      <c r="L121" s="85"/>
      <c r="M121" s="86"/>
      <c r="N121" s="45"/>
      <c r="O121" s="45" t="s">
        <v>105</v>
      </c>
      <c r="P121" s="45"/>
      <c r="Q121" s="87"/>
      <c r="R121" s="95" t="s">
        <v>757</v>
      </c>
      <c r="S121" s="92" t="s">
        <v>758</v>
      </c>
      <c r="T121" s="107" t="s">
        <v>30</v>
      </c>
      <c r="U121" s="1"/>
      <c r="V121" s="3"/>
      <c r="W121" s="1"/>
      <c r="X121" s="1"/>
    </row>
    <row r="122" ht="30.0" customHeight="1">
      <c r="A122" s="1"/>
      <c r="B122" s="45">
        <f t="shared" si="3"/>
        <v>114</v>
      </c>
      <c r="C122" s="93">
        <v>45854.0</v>
      </c>
      <c r="D122" s="94" t="s">
        <v>759</v>
      </c>
      <c r="E122" s="94" t="s">
        <v>760</v>
      </c>
      <c r="F122" s="45" t="s">
        <v>761</v>
      </c>
      <c r="G122" s="57" t="s">
        <v>33</v>
      </c>
      <c r="H122" s="45"/>
      <c r="I122" s="45"/>
      <c r="J122" s="45"/>
      <c r="K122" s="45"/>
      <c r="L122" s="85"/>
      <c r="M122" s="86"/>
      <c r="N122" s="45"/>
      <c r="O122" s="45" t="s">
        <v>512</v>
      </c>
      <c r="P122" s="45"/>
      <c r="Q122" s="87"/>
      <c r="R122" s="95" t="s">
        <v>762</v>
      </c>
      <c r="S122" s="92" t="s">
        <v>758</v>
      </c>
      <c r="T122" s="107" t="s">
        <v>102</v>
      </c>
      <c r="U122" s="1"/>
      <c r="V122" s="3"/>
      <c r="W122" s="1"/>
      <c r="X122" s="1"/>
    </row>
    <row r="123" ht="30.0" customHeight="1">
      <c r="A123" s="1"/>
      <c r="B123" s="45">
        <f t="shared" si="3"/>
        <v>115</v>
      </c>
      <c r="C123" s="93">
        <v>45859.0</v>
      </c>
      <c r="D123" s="94"/>
      <c r="E123" s="94" t="s">
        <v>269</v>
      </c>
      <c r="F123" s="45" t="s">
        <v>763</v>
      </c>
      <c r="G123" s="57" t="s">
        <v>42</v>
      </c>
      <c r="H123" s="45"/>
      <c r="I123" s="45"/>
      <c r="J123" s="45"/>
      <c r="K123" s="45"/>
      <c r="L123" s="85"/>
      <c r="M123" s="86"/>
      <c r="N123" s="45"/>
      <c r="O123" s="45" t="s">
        <v>27</v>
      </c>
      <c r="P123" s="45"/>
      <c r="Q123" s="87"/>
      <c r="R123" s="95" t="s">
        <v>764</v>
      </c>
      <c r="S123" s="92" t="s">
        <v>765</v>
      </c>
      <c r="T123" s="107" t="s">
        <v>45</v>
      </c>
      <c r="U123" s="1"/>
      <c r="V123" s="3"/>
      <c r="W123" s="1"/>
      <c r="X123" s="1"/>
    </row>
    <row r="124" ht="45.0" customHeight="1">
      <c r="A124" s="1"/>
      <c r="B124" s="45">
        <f t="shared" si="3"/>
        <v>116</v>
      </c>
      <c r="C124" s="93">
        <v>45862.0</v>
      </c>
      <c r="D124" s="94"/>
      <c r="E124" s="94" t="s">
        <v>301</v>
      </c>
      <c r="F124" s="94" t="s">
        <v>766</v>
      </c>
      <c r="G124" s="57" t="s">
        <v>42</v>
      </c>
      <c r="H124" s="45"/>
      <c r="I124" s="45"/>
      <c r="J124" s="45"/>
      <c r="K124" s="45"/>
      <c r="L124" s="85"/>
      <c r="M124" s="86"/>
      <c r="N124" s="45"/>
      <c r="O124" s="45" t="s">
        <v>27</v>
      </c>
      <c r="P124" s="45"/>
      <c r="Q124" s="87"/>
      <c r="R124" s="95" t="s">
        <v>767</v>
      </c>
      <c r="S124" s="92" t="s">
        <v>768</v>
      </c>
      <c r="T124" s="107" t="s">
        <v>74</v>
      </c>
      <c r="U124" s="1"/>
      <c r="V124" s="3"/>
      <c r="W124" s="1"/>
      <c r="X124" s="1"/>
    </row>
    <row r="125" ht="45.75" customHeight="1">
      <c r="A125" s="1"/>
      <c r="B125" s="45">
        <f t="shared" si="3"/>
        <v>117</v>
      </c>
      <c r="C125" s="93">
        <v>45863.0</v>
      </c>
      <c r="D125" s="94" t="s">
        <v>769</v>
      </c>
      <c r="E125" s="94" t="s">
        <v>47</v>
      </c>
      <c r="F125" s="45" t="s">
        <v>770</v>
      </c>
      <c r="G125" s="57" t="s">
        <v>42</v>
      </c>
      <c r="H125" s="45"/>
      <c r="I125" s="45"/>
      <c r="J125" s="45" t="s">
        <v>61</v>
      </c>
      <c r="K125" s="45"/>
      <c r="L125" s="85"/>
      <c r="M125" s="86"/>
      <c r="N125" s="45"/>
      <c r="O125" s="45" t="s">
        <v>27</v>
      </c>
      <c r="P125" s="45"/>
      <c r="Q125" s="87"/>
      <c r="R125" s="95" t="s">
        <v>771</v>
      </c>
      <c r="S125" s="92" t="s">
        <v>772</v>
      </c>
      <c r="T125" s="107"/>
      <c r="U125" s="1"/>
      <c r="V125" s="3"/>
      <c r="W125" s="1"/>
      <c r="X125" s="1"/>
    </row>
    <row r="126">
      <c r="A126" s="1"/>
      <c r="B126" s="45">
        <f t="shared" si="3"/>
        <v>118</v>
      </c>
      <c r="C126" s="93">
        <v>45868.0</v>
      </c>
      <c r="D126" s="94"/>
      <c r="E126" s="94" t="s">
        <v>47</v>
      </c>
      <c r="F126" s="45" t="s">
        <v>773</v>
      </c>
      <c r="G126" s="57" t="s">
        <v>42</v>
      </c>
      <c r="H126" s="45"/>
      <c r="I126" s="45"/>
      <c r="J126" s="45"/>
      <c r="K126" s="45"/>
      <c r="L126" s="85"/>
      <c r="M126" s="86"/>
      <c r="N126" s="45"/>
      <c r="O126" s="45"/>
      <c r="P126" s="45"/>
      <c r="Q126" s="87"/>
      <c r="R126" s="95" t="s">
        <v>774</v>
      </c>
      <c r="S126" s="92" t="s">
        <v>775</v>
      </c>
      <c r="T126" s="107" t="s">
        <v>45</v>
      </c>
      <c r="U126" s="1"/>
      <c r="V126" s="3"/>
      <c r="W126" s="1"/>
      <c r="X126" s="1"/>
    </row>
    <row r="127" ht="30.0" customHeight="1">
      <c r="A127" s="1"/>
      <c r="B127" s="45">
        <f t="shared" si="3"/>
        <v>119</v>
      </c>
      <c r="C127" s="93">
        <v>45868.0</v>
      </c>
      <c r="D127" s="94" t="s">
        <v>776</v>
      </c>
      <c r="E127" s="94" t="s">
        <v>76</v>
      </c>
      <c r="F127" s="45" t="s">
        <v>777</v>
      </c>
      <c r="G127" s="57" t="s">
        <v>42</v>
      </c>
      <c r="H127" s="45"/>
      <c r="I127" s="45"/>
      <c r="J127" s="45"/>
      <c r="K127" s="45"/>
      <c r="L127" s="85"/>
      <c r="M127" s="86"/>
      <c r="N127" s="45"/>
      <c r="O127" s="45" t="s">
        <v>27</v>
      </c>
      <c r="P127" s="45"/>
      <c r="Q127" s="87"/>
      <c r="R127" s="95" t="s">
        <v>778</v>
      </c>
      <c r="S127" s="92" t="s">
        <v>724</v>
      </c>
      <c r="T127" s="107" t="s">
        <v>45</v>
      </c>
      <c r="U127" s="1"/>
      <c r="V127" s="3"/>
      <c r="W127" s="1"/>
      <c r="X127" s="1"/>
    </row>
    <row r="128" ht="44.25" customHeight="1">
      <c r="A128" s="1"/>
      <c r="B128" s="45">
        <f t="shared" si="3"/>
        <v>120</v>
      </c>
      <c r="C128" s="93">
        <v>45870.0</v>
      </c>
      <c r="D128" s="94" t="s">
        <v>779</v>
      </c>
      <c r="E128" s="94" t="s">
        <v>47</v>
      </c>
      <c r="F128" s="45" t="s">
        <v>780</v>
      </c>
      <c r="G128" s="57" t="s">
        <v>42</v>
      </c>
      <c r="H128" s="45"/>
      <c r="I128" s="45"/>
      <c r="J128" s="45"/>
      <c r="K128" s="45"/>
      <c r="L128" s="85"/>
      <c r="M128" s="86"/>
      <c r="N128" s="45"/>
      <c r="O128" s="45" t="s">
        <v>152</v>
      </c>
      <c r="P128" s="45"/>
      <c r="Q128" s="87"/>
      <c r="R128" s="95" t="s">
        <v>781</v>
      </c>
      <c r="S128" s="92" t="s">
        <v>782</v>
      </c>
      <c r="T128" s="107" t="s">
        <v>45</v>
      </c>
      <c r="U128" s="1"/>
      <c r="V128" s="3"/>
      <c r="W128" s="1"/>
      <c r="X128" s="1"/>
    </row>
    <row r="129" ht="35.25" customHeight="1">
      <c r="A129" s="1"/>
      <c r="B129" s="45">
        <f t="shared" si="3"/>
        <v>121</v>
      </c>
      <c r="C129" s="93">
        <v>45870.0</v>
      </c>
      <c r="D129" s="94" t="s">
        <v>783</v>
      </c>
      <c r="E129" s="94" t="s">
        <v>47</v>
      </c>
      <c r="F129" s="45" t="s">
        <v>784</v>
      </c>
      <c r="G129" s="57" t="s">
        <v>42</v>
      </c>
      <c r="H129" s="45"/>
      <c r="I129" s="45"/>
      <c r="J129" s="45"/>
      <c r="K129" s="45"/>
      <c r="L129" s="85"/>
      <c r="M129" s="86"/>
      <c r="N129" s="45"/>
      <c r="O129" s="45" t="s">
        <v>417</v>
      </c>
      <c r="P129" s="45"/>
      <c r="Q129" s="87"/>
      <c r="R129" s="95" t="s">
        <v>785</v>
      </c>
      <c r="S129" s="92" t="s">
        <v>724</v>
      </c>
      <c r="T129" s="107" t="s">
        <v>45</v>
      </c>
      <c r="U129" s="1"/>
      <c r="V129" s="3"/>
      <c r="W129" s="1"/>
      <c r="X129" s="1"/>
    </row>
    <row r="130" ht="45.75" customHeight="1">
      <c r="A130" s="1"/>
      <c r="B130" s="45">
        <f t="shared" si="3"/>
        <v>122</v>
      </c>
      <c r="C130" s="93">
        <v>45870.0</v>
      </c>
      <c r="D130" s="94"/>
      <c r="E130" s="94" t="s">
        <v>718</v>
      </c>
      <c r="F130" s="45" t="s">
        <v>719</v>
      </c>
      <c r="G130" s="57" t="s">
        <v>33</v>
      </c>
      <c r="H130" s="45"/>
      <c r="I130" s="45"/>
      <c r="J130" s="45"/>
      <c r="K130" s="45"/>
      <c r="L130" s="85"/>
      <c r="M130" s="86"/>
      <c r="N130" s="45"/>
      <c r="O130" s="45"/>
      <c r="P130" s="45"/>
      <c r="Q130" s="87"/>
      <c r="R130" s="95" t="s">
        <v>786</v>
      </c>
      <c r="S130" s="92" t="s">
        <v>787</v>
      </c>
      <c r="T130" s="107" t="s">
        <v>30</v>
      </c>
      <c r="U130" s="1"/>
      <c r="V130" s="3"/>
      <c r="W130" s="1"/>
      <c r="X130" s="1"/>
    </row>
    <row r="131" ht="44.25" customHeight="1">
      <c r="A131" s="1"/>
      <c r="B131" s="45">
        <f t="shared" si="3"/>
        <v>123</v>
      </c>
      <c r="C131" s="93">
        <v>45873.0</v>
      </c>
      <c r="D131" s="94"/>
      <c r="E131" s="94" t="s">
        <v>301</v>
      </c>
      <c r="F131" s="45" t="s">
        <v>788</v>
      </c>
      <c r="G131" s="57" t="s">
        <v>42</v>
      </c>
      <c r="H131" s="45"/>
      <c r="I131" s="45"/>
      <c r="J131" s="45"/>
      <c r="K131" s="45"/>
      <c r="L131" s="85"/>
      <c r="M131" s="86"/>
      <c r="N131" s="45"/>
      <c r="O131" s="45" t="s">
        <v>27</v>
      </c>
      <c r="P131" s="45"/>
      <c r="Q131" s="87"/>
      <c r="R131" s="95" t="s">
        <v>789</v>
      </c>
      <c r="S131" s="92" t="s">
        <v>790</v>
      </c>
      <c r="T131" s="107" t="s">
        <v>45</v>
      </c>
      <c r="U131" s="1"/>
      <c r="V131" s="3"/>
      <c r="W131" s="1"/>
      <c r="X131" s="1"/>
    </row>
    <row r="132" ht="30.0" customHeight="1">
      <c r="A132" s="1"/>
      <c r="B132" s="45">
        <f t="shared" si="3"/>
        <v>124</v>
      </c>
      <c r="C132" s="93">
        <v>45874.0</v>
      </c>
      <c r="D132" s="94"/>
      <c r="E132" s="94" t="s">
        <v>791</v>
      </c>
      <c r="F132" s="45" t="s">
        <v>792</v>
      </c>
      <c r="G132" s="57" t="s">
        <v>42</v>
      </c>
      <c r="H132" s="45"/>
      <c r="I132" s="45"/>
      <c r="J132" s="45"/>
      <c r="K132" s="45"/>
      <c r="L132" s="85"/>
      <c r="M132" s="86"/>
      <c r="N132" s="45"/>
      <c r="O132" s="45" t="s">
        <v>22</v>
      </c>
      <c r="P132" s="45"/>
      <c r="Q132" s="87"/>
      <c r="R132" s="95" t="s">
        <v>793</v>
      </c>
      <c r="S132" s="92" t="s">
        <v>794</v>
      </c>
      <c r="T132" s="107" t="s">
        <v>30</v>
      </c>
      <c r="U132" s="1"/>
      <c r="V132" s="3"/>
      <c r="W132" s="1"/>
      <c r="X132" s="1"/>
    </row>
    <row r="133" ht="42.75" customHeight="1">
      <c r="A133" s="1"/>
      <c r="B133" s="45">
        <f t="shared" si="3"/>
        <v>125</v>
      </c>
      <c r="C133" s="93">
        <v>45875.0</v>
      </c>
      <c r="D133" s="94" t="s">
        <v>795</v>
      </c>
      <c r="E133" s="94" t="s">
        <v>47</v>
      </c>
      <c r="F133" s="45" t="s">
        <v>796</v>
      </c>
      <c r="G133" s="57" t="s">
        <v>26</v>
      </c>
      <c r="H133" s="45" t="s">
        <v>795</v>
      </c>
      <c r="I133" s="45" t="s">
        <v>60</v>
      </c>
      <c r="J133" s="45" t="s">
        <v>99</v>
      </c>
      <c r="K133" s="45" t="s">
        <v>55</v>
      </c>
      <c r="L133" s="85" t="s">
        <v>202</v>
      </c>
      <c r="M133" s="86" t="s">
        <v>449</v>
      </c>
      <c r="N133" s="45"/>
      <c r="O133" s="45"/>
      <c r="P133" s="45"/>
      <c r="Q133" s="87"/>
      <c r="R133" s="95" t="s">
        <v>797</v>
      </c>
      <c r="S133" s="92" t="s">
        <v>798</v>
      </c>
      <c r="T133" s="107" t="s">
        <v>74</v>
      </c>
      <c r="U133" s="1"/>
      <c r="V133" s="3"/>
      <c r="W133" s="1"/>
      <c r="X133" s="1"/>
    </row>
    <row r="134" ht="30.0" customHeight="1">
      <c r="A134" s="1"/>
      <c r="B134" s="45">
        <f t="shared" si="3"/>
        <v>126</v>
      </c>
      <c r="C134" s="93">
        <v>45875.0</v>
      </c>
      <c r="D134" s="94"/>
      <c r="E134" s="94" t="s">
        <v>799</v>
      </c>
      <c r="F134" s="45" t="s">
        <v>800</v>
      </c>
      <c r="G134" s="57" t="s">
        <v>33</v>
      </c>
      <c r="H134" s="45" t="s">
        <v>801</v>
      </c>
      <c r="I134" s="45" t="s">
        <v>60</v>
      </c>
      <c r="J134" s="45" t="s">
        <v>83</v>
      </c>
      <c r="K134" s="45" t="s">
        <v>181</v>
      </c>
      <c r="L134" s="85"/>
      <c r="M134" s="86"/>
      <c r="N134" s="45"/>
      <c r="O134" s="45" t="s">
        <v>27</v>
      </c>
      <c r="P134" s="45"/>
      <c r="Q134" s="87"/>
      <c r="R134" s="95" t="s">
        <v>802</v>
      </c>
      <c r="S134" s="92" t="s">
        <v>803</v>
      </c>
      <c r="T134" s="107" t="s">
        <v>30</v>
      </c>
      <c r="U134" s="1"/>
      <c r="V134" s="3"/>
      <c r="W134" s="1"/>
      <c r="X134" s="1"/>
    </row>
    <row r="135" ht="30.0" customHeight="1">
      <c r="A135" s="1"/>
      <c r="B135" s="45">
        <f t="shared" si="3"/>
        <v>127</v>
      </c>
      <c r="C135" s="93">
        <v>45877.0</v>
      </c>
      <c r="D135" s="94"/>
      <c r="E135" s="94"/>
      <c r="F135" s="45" t="s">
        <v>804</v>
      </c>
      <c r="G135" s="57" t="s">
        <v>42</v>
      </c>
      <c r="H135" s="45"/>
      <c r="I135" s="45"/>
      <c r="J135" s="45"/>
      <c r="K135" s="45"/>
      <c r="L135" s="85"/>
      <c r="M135" s="86"/>
      <c r="N135" s="45"/>
      <c r="O135" s="45" t="s">
        <v>27</v>
      </c>
      <c r="P135" s="45"/>
      <c r="Q135" s="87"/>
      <c r="R135" s="95" t="s">
        <v>805</v>
      </c>
      <c r="S135" s="92" t="s">
        <v>806</v>
      </c>
      <c r="T135" s="107" t="s">
        <v>30</v>
      </c>
      <c r="U135" s="1"/>
      <c r="V135" s="3"/>
      <c r="W135" s="1"/>
      <c r="X135" s="1"/>
    </row>
    <row r="136" ht="30.0" customHeight="1">
      <c r="A136" s="1"/>
      <c r="B136" s="45">
        <f t="shared" si="3"/>
        <v>128</v>
      </c>
      <c r="C136" s="93">
        <v>45881.0</v>
      </c>
      <c r="D136" s="94"/>
      <c r="E136" s="94" t="s">
        <v>807</v>
      </c>
      <c r="F136" s="45" t="s">
        <v>808</v>
      </c>
      <c r="G136" s="57" t="s">
        <v>33</v>
      </c>
      <c r="H136" s="45" t="s">
        <v>809</v>
      </c>
      <c r="I136" s="45" t="s">
        <v>53</v>
      </c>
      <c r="J136" s="45" t="s">
        <v>99</v>
      </c>
      <c r="K136" s="45"/>
      <c r="L136" s="85"/>
      <c r="M136" s="86"/>
      <c r="N136" s="45"/>
      <c r="O136" s="45" t="s">
        <v>105</v>
      </c>
      <c r="P136" s="45"/>
      <c r="Q136" s="87"/>
      <c r="R136" s="95" t="s">
        <v>810</v>
      </c>
      <c r="S136" s="92" t="s">
        <v>811</v>
      </c>
      <c r="T136" s="107" t="s">
        <v>74</v>
      </c>
      <c r="U136" s="1"/>
      <c r="V136" s="3"/>
      <c r="W136" s="1"/>
      <c r="X136" s="1"/>
    </row>
    <row r="137" ht="47.25" customHeight="1">
      <c r="A137" s="1"/>
      <c r="B137" s="45">
        <f t="shared" si="3"/>
        <v>129</v>
      </c>
      <c r="C137" s="93">
        <v>45883.0</v>
      </c>
      <c r="D137" s="94"/>
      <c r="E137" s="94"/>
      <c r="F137" s="45" t="s">
        <v>812</v>
      </c>
      <c r="G137" s="57" t="s">
        <v>42</v>
      </c>
      <c r="H137" s="94"/>
      <c r="I137" s="45"/>
      <c r="J137" s="45" t="s">
        <v>83</v>
      </c>
      <c r="K137" s="45" t="s">
        <v>55</v>
      </c>
      <c r="L137" s="85"/>
      <c r="M137" s="86"/>
      <c r="N137" s="45"/>
      <c r="O137" s="45" t="s">
        <v>27</v>
      </c>
      <c r="P137" s="45"/>
      <c r="Q137" s="87"/>
      <c r="R137" s="95" t="s">
        <v>813</v>
      </c>
      <c r="S137" s="92" t="s">
        <v>814</v>
      </c>
      <c r="T137" s="107" t="s">
        <v>74</v>
      </c>
      <c r="U137" s="1"/>
      <c r="V137" s="3"/>
      <c r="W137" s="1"/>
      <c r="X137" s="1"/>
    </row>
    <row r="138" ht="49.5" customHeight="1">
      <c r="A138" s="1"/>
      <c r="B138" s="45">
        <f t="shared" si="3"/>
        <v>130</v>
      </c>
      <c r="C138" s="93">
        <v>45889.0</v>
      </c>
      <c r="D138" s="94"/>
      <c r="E138" s="94" t="s">
        <v>815</v>
      </c>
      <c r="F138" s="45" t="s">
        <v>816</v>
      </c>
      <c r="G138" s="57" t="s">
        <v>42</v>
      </c>
      <c r="H138" s="45" t="s">
        <v>817</v>
      </c>
      <c r="I138" s="45" t="s">
        <v>60</v>
      </c>
      <c r="J138" s="45" t="s">
        <v>818</v>
      </c>
      <c r="K138" s="45"/>
      <c r="L138" s="85" t="s">
        <v>160</v>
      </c>
      <c r="M138" s="86"/>
      <c r="N138" s="45"/>
      <c r="O138" s="45" t="s">
        <v>27</v>
      </c>
      <c r="P138" s="45"/>
      <c r="Q138" s="87"/>
      <c r="R138" s="95" t="s">
        <v>819</v>
      </c>
      <c r="S138" s="92" t="s">
        <v>820</v>
      </c>
      <c r="T138" s="107" t="s">
        <v>74</v>
      </c>
      <c r="U138" s="1"/>
      <c r="V138" s="3"/>
      <c r="W138" s="1"/>
      <c r="X138" s="1"/>
    </row>
    <row r="139" ht="16.5" customHeight="1">
      <c r="A139" s="1"/>
      <c r="B139" s="45">
        <f t="shared" si="3"/>
        <v>131</v>
      </c>
      <c r="C139" s="93">
        <v>45894.0</v>
      </c>
      <c r="D139" s="94"/>
      <c r="E139" s="94" t="s">
        <v>40</v>
      </c>
      <c r="F139" s="45" t="s">
        <v>821</v>
      </c>
      <c r="G139" s="57" t="s">
        <v>42</v>
      </c>
      <c r="H139" s="45" t="s">
        <v>822</v>
      </c>
      <c r="I139" s="45" t="s">
        <v>60</v>
      </c>
      <c r="J139" s="45" t="s">
        <v>99</v>
      </c>
      <c r="K139" s="45" t="s">
        <v>84</v>
      </c>
      <c r="L139" s="85"/>
      <c r="M139" s="86"/>
      <c r="N139" s="45"/>
      <c r="O139" s="45" t="s">
        <v>27</v>
      </c>
      <c r="P139" s="45"/>
      <c r="Q139" s="87"/>
      <c r="R139" s="95" t="s">
        <v>823</v>
      </c>
      <c r="S139" s="92" t="s">
        <v>824</v>
      </c>
      <c r="T139" s="107" t="s">
        <v>30</v>
      </c>
      <c r="U139" s="1"/>
      <c r="V139" s="3"/>
      <c r="W139" s="1"/>
      <c r="X139" s="1"/>
    </row>
    <row r="140" ht="30.0" customHeight="1">
      <c r="A140" s="1"/>
      <c r="B140" s="45">
        <f t="shared" si="3"/>
        <v>132</v>
      </c>
      <c r="C140" s="93">
        <v>45902.0</v>
      </c>
      <c r="D140" s="94"/>
      <c r="E140" s="94" t="s">
        <v>140</v>
      </c>
      <c r="F140" s="45" t="s">
        <v>825</v>
      </c>
      <c r="G140" s="57" t="s">
        <v>42</v>
      </c>
      <c r="H140" s="45" t="s">
        <v>826</v>
      </c>
      <c r="I140" s="45" t="s">
        <v>60</v>
      </c>
      <c r="J140" s="45"/>
      <c r="K140" s="45"/>
      <c r="L140" s="85"/>
      <c r="M140" s="86"/>
      <c r="N140" s="45"/>
      <c r="O140" s="45" t="s">
        <v>105</v>
      </c>
      <c r="P140" s="45"/>
      <c r="Q140" s="87"/>
      <c r="R140" s="95" t="s">
        <v>827</v>
      </c>
      <c r="S140" s="92" t="s">
        <v>467</v>
      </c>
      <c r="T140" s="107" t="s">
        <v>45</v>
      </c>
      <c r="U140" s="1"/>
      <c r="V140" s="3"/>
      <c r="W140" s="1"/>
      <c r="X140" s="1"/>
    </row>
    <row r="141" ht="30.0" customHeight="1">
      <c r="A141" s="1"/>
      <c r="B141" s="45">
        <f t="shared" si="3"/>
        <v>133</v>
      </c>
      <c r="C141" s="93">
        <v>45902.0</v>
      </c>
      <c r="D141" s="94"/>
      <c r="E141" s="94" t="s">
        <v>40</v>
      </c>
      <c r="F141" s="45" t="s">
        <v>828</v>
      </c>
      <c r="G141" s="57" t="s">
        <v>26</v>
      </c>
      <c r="H141" s="45"/>
      <c r="I141" s="45" t="s">
        <v>53</v>
      </c>
      <c r="J141" s="45"/>
      <c r="K141" s="45"/>
      <c r="L141" s="85"/>
      <c r="M141" s="86" t="s">
        <v>71</v>
      </c>
      <c r="N141" s="45"/>
      <c r="O141" s="45"/>
      <c r="P141" s="45"/>
      <c r="Q141" s="87"/>
      <c r="R141" s="95" t="s">
        <v>829</v>
      </c>
      <c r="S141" s="92" t="s">
        <v>830</v>
      </c>
      <c r="T141" s="107" t="s">
        <v>45</v>
      </c>
      <c r="U141" s="1"/>
      <c r="V141" s="3"/>
      <c r="W141" s="1"/>
      <c r="X141" s="1"/>
    </row>
    <row r="142" ht="30.0" customHeight="1">
      <c r="A142" s="1"/>
      <c r="B142" s="45">
        <f t="shared" si="3"/>
        <v>134</v>
      </c>
      <c r="C142" s="93">
        <v>45905.0</v>
      </c>
      <c r="D142" s="94"/>
      <c r="E142" s="94" t="s">
        <v>40</v>
      </c>
      <c r="F142" s="45" t="s">
        <v>831</v>
      </c>
      <c r="G142" s="57" t="s">
        <v>26</v>
      </c>
      <c r="H142" s="45"/>
      <c r="I142" s="45" t="s">
        <v>53</v>
      </c>
      <c r="J142" s="45"/>
      <c r="K142" s="45"/>
      <c r="L142" s="85"/>
      <c r="M142" s="86" t="s">
        <v>71</v>
      </c>
      <c r="N142" s="45"/>
      <c r="O142" s="45"/>
      <c r="P142" s="45"/>
      <c r="Q142" s="87"/>
      <c r="R142" s="95" t="s">
        <v>829</v>
      </c>
      <c r="S142" s="92" t="s">
        <v>830</v>
      </c>
      <c r="T142" s="107" t="s">
        <v>45</v>
      </c>
      <c r="U142" s="1"/>
      <c r="V142" s="3"/>
      <c r="W142" s="1"/>
      <c r="X142" s="1"/>
    </row>
    <row r="143" ht="30.0" customHeight="1">
      <c r="A143" s="1"/>
      <c r="B143" s="45">
        <f t="shared" si="3"/>
        <v>135</v>
      </c>
      <c r="C143" s="93">
        <v>45910.0</v>
      </c>
      <c r="D143" s="94"/>
      <c r="E143" s="94" t="s">
        <v>47</v>
      </c>
      <c r="F143" s="45" t="s">
        <v>832</v>
      </c>
      <c r="G143" s="57" t="s">
        <v>42</v>
      </c>
      <c r="H143" s="45"/>
      <c r="I143" s="45" t="s">
        <v>60</v>
      </c>
      <c r="J143" s="45"/>
      <c r="K143" s="45"/>
      <c r="L143" s="85"/>
      <c r="M143" s="86"/>
      <c r="N143" s="45"/>
      <c r="O143" s="45"/>
      <c r="P143" s="45"/>
      <c r="Q143" s="111"/>
      <c r="R143" s="95" t="s">
        <v>833</v>
      </c>
      <c r="S143" s="92" t="s">
        <v>834</v>
      </c>
      <c r="T143" s="107" t="s">
        <v>45</v>
      </c>
      <c r="U143" s="1"/>
      <c r="V143" s="3"/>
      <c r="W143" s="1"/>
      <c r="X143" s="1"/>
    </row>
    <row r="144" ht="30.0" customHeight="1">
      <c r="A144" s="1"/>
      <c r="B144" s="45">
        <f t="shared" si="3"/>
        <v>136</v>
      </c>
      <c r="C144" s="93">
        <v>45930.0</v>
      </c>
      <c r="D144" s="94" t="s">
        <v>835</v>
      </c>
      <c r="E144" s="94" t="s">
        <v>47</v>
      </c>
      <c r="F144" s="45" t="s">
        <v>836</v>
      </c>
      <c r="G144" s="57" t="s">
        <v>42</v>
      </c>
      <c r="H144" s="45"/>
      <c r="I144" s="45" t="s">
        <v>60</v>
      </c>
      <c r="J144" s="45"/>
      <c r="K144" s="45"/>
      <c r="L144" s="85"/>
      <c r="M144" s="86"/>
      <c r="N144" s="45"/>
      <c r="O144" s="45" t="s">
        <v>27</v>
      </c>
      <c r="P144" s="45"/>
      <c r="Q144" s="111"/>
      <c r="R144" s="95" t="s">
        <v>837</v>
      </c>
      <c r="S144" s="92" t="s">
        <v>838</v>
      </c>
      <c r="T144" s="107" t="s">
        <v>30</v>
      </c>
      <c r="U144" s="1"/>
      <c r="V144" s="3"/>
      <c r="W144" s="1"/>
      <c r="X144" s="1"/>
    </row>
    <row r="145" ht="60.0" customHeight="1">
      <c r="A145" s="1"/>
      <c r="B145" s="45">
        <f t="shared" si="3"/>
        <v>137</v>
      </c>
      <c r="C145" s="93">
        <v>45931.0</v>
      </c>
      <c r="D145" s="94"/>
      <c r="E145" s="94" t="s">
        <v>301</v>
      </c>
      <c r="F145" s="45" t="s">
        <v>766</v>
      </c>
      <c r="G145" s="57" t="s">
        <v>42</v>
      </c>
      <c r="H145" s="45"/>
      <c r="I145" s="45"/>
      <c r="J145" s="45"/>
      <c r="K145" s="45"/>
      <c r="L145" s="85"/>
      <c r="M145" s="86"/>
      <c r="N145" s="45"/>
      <c r="O145" s="45" t="s">
        <v>27</v>
      </c>
      <c r="P145" s="45"/>
      <c r="Q145" s="111"/>
      <c r="R145" s="95" t="s">
        <v>839</v>
      </c>
      <c r="S145" s="92" t="s">
        <v>840</v>
      </c>
      <c r="T145" s="107" t="s">
        <v>74</v>
      </c>
      <c r="U145" s="1"/>
      <c r="V145" s="3"/>
      <c r="W145" s="1"/>
      <c r="X145" s="1"/>
    </row>
    <row r="146" ht="48.75" customHeight="1">
      <c r="A146" s="1"/>
      <c r="B146" s="45">
        <f t="shared" si="3"/>
        <v>138</v>
      </c>
      <c r="C146" s="93">
        <v>45931.0</v>
      </c>
      <c r="D146" s="94" t="s">
        <v>841</v>
      </c>
      <c r="E146" s="94" t="s">
        <v>842</v>
      </c>
      <c r="F146" s="45" t="s">
        <v>843</v>
      </c>
      <c r="G146" s="57" t="s">
        <v>33</v>
      </c>
      <c r="H146" s="45"/>
      <c r="I146" s="45"/>
      <c r="J146" s="45"/>
      <c r="K146" s="45"/>
      <c r="L146" s="85"/>
      <c r="M146" s="86"/>
      <c r="N146" s="45"/>
      <c r="O146" s="45"/>
      <c r="P146" s="45" t="s">
        <v>318</v>
      </c>
      <c r="Q146" s="111"/>
      <c r="R146" s="95" t="s">
        <v>844</v>
      </c>
      <c r="S146" s="92" t="s">
        <v>845</v>
      </c>
      <c r="T146" s="107" t="s">
        <v>74</v>
      </c>
      <c r="U146" s="1"/>
      <c r="V146" s="3"/>
      <c r="W146" s="1"/>
      <c r="X146" s="1"/>
    </row>
    <row r="147" ht="38.25" customHeight="1">
      <c r="A147" s="1"/>
      <c r="B147" s="45">
        <f t="shared" si="3"/>
        <v>139</v>
      </c>
      <c r="C147" s="93">
        <v>45931.0</v>
      </c>
      <c r="D147" s="94" t="s">
        <v>846</v>
      </c>
      <c r="E147" s="94" t="s">
        <v>47</v>
      </c>
      <c r="F147" s="45" t="s">
        <v>847</v>
      </c>
      <c r="G147" s="57" t="s">
        <v>26</v>
      </c>
      <c r="H147" s="45" t="s">
        <v>848</v>
      </c>
      <c r="I147" s="45" t="s">
        <v>53</v>
      </c>
      <c r="J147" s="45" t="s">
        <v>83</v>
      </c>
      <c r="K147" s="45"/>
      <c r="L147" s="85"/>
      <c r="M147" s="86"/>
      <c r="N147" s="45"/>
      <c r="O147" s="45" t="s">
        <v>27</v>
      </c>
      <c r="P147" s="45"/>
      <c r="Q147" s="87"/>
      <c r="R147" s="95" t="s">
        <v>849</v>
      </c>
      <c r="S147" s="92" t="s">
        <v>850</v>
      </c>
      <c r="T147" s="107" t="s">
        <v>74</v>
      </c>
      <c r="U147" s="1"/>
      <c r="V147" s="3"/>
      <c r="W147" s="1"/>
      <c r="X147" s="1"/>
    </row>
    <row r="148" ht="30.0" customHeight="1">
      <c r="A148" s="1"/>
      <c r="B148" s="45">
        <f t="shared" si="3"/>
        <v>140</v>
      </c>
      <c r="C148" s="93">
        <v>45932.0</v>
      </c>
      <c r="D148" s="94"/>
      <c r="E148" s="94"/>
      <c r="F148" s="45" t="s">
        <v>851</v>
      </c>
      <c r="G148" s="57" t="s">
        <v>42</v>
      </c>
      <c r="H148" s="45" t="s">
        <v>852</v>
      </c>
      <c r="I148" s="45" t="s">
        <v>60</v>
      </c>
      <c r="J148" s="45" t="s">
        <v>61</v>
      </c>
      <c r="K148" s="45"/>
      <c r="L148" s="85"/>
      <c r="M148" s="86"/>
      <c r="N148" s="45"/>
      <c r="O148" s="45" t="s">
        <v>727</v>
      </c>
      <c r="P148" s="45"/>
      <c r="Q148" s="87"/>
      <c r="R148" s="95" t="s">
        <v>853</v>
      </c>
      <c r="S148" s="92" t="s">
        <v>854</v>
      </c>
      <c r="T148" s="107" t="s">
        <v>30</v>
      </c>
      <c r="U148" s="1"/>
      <c r="V148" s="3"/>
      <c r="W148" s="1"/>
      <c r="X148" s="1"/>
    </row>
    <row r="149" ht="30.0" customHeight="1">
      <c r="A149" s="1"/>
      <c r="B149" s="45">
        <f t="shared" si="3"/>
        <v>141</v>
      </c>
      <c r="C149" s="93">
        <v>45940.0</v>
      </c>
      <c r="D149" s="94"/>
      <c r="E149" s="94" t="s">
        <v>40</v>
      </c>
      <c r="F149" s="45" t="s">
        <v>855</v>
      </c>
      <c r="G149" s="57" t="s">
        <v>42</v>
      </c>
      <c r="H149" s="45"/>
      <c r="I149" s="45" t="s">
        <v>60</v>
      </c>
      <c r="J149" s="45" t="s">
        <v>61</v>
      </c>
      <c r="K149" s="45"/>
      <c r="L149" s="85"/>
      <c r="M149" s="86"/>
      <c r="N149" s="45"/>
      <c r="O149" s="45" t="s">
        <v>27</v>
      </c>
      <c r="P149" s="45"/>
      <c r="Q149" s="87"/>
      <c r="R149" s="95" t="s">
        <v>856</v>
      </c>
      <c r="S149" s="92" t="s">
        <v>857</v>
      </c>
      <c r="T149" s="107" t="s">
        <v>30</v>
      </c>
      <c r="U149" s="1"/>
      <c r="V149" s="3"/>
      <c r="W149" s="1"/>
      <c r="X149" s="1"/>
    </row>
    <row r="150" ht="30.0" customHeight="1">
      <c r="A150" s="1"/>
      <c r="B150" s="45">
        <f t="shared" si="3"/>
        <v>142</v>
      </c>
      <c r="C150" s="93">
        <v>45947.0</v>
      </c>
      <c r="D150" s="94"/>
      <c r="E150" s="94" t="s">
        <v>40</v>
      </c>
      <c r="F150" s="45" t="s">
        <v>858</v>
      </c>
      <c r="G150" s="57" t="s">
        <v>42</v>
      </c>
      <c r="H150" s="45" t="s">
        <v>859</v>
      </c>
      <c r="I150" s="45"/>
      <c r="J150" s="45" t="s">
        <v>99</v>
      </c>
      <c r="K150" s="45"/>
      <c r="L150" s="85"/>
      <c r="M150" s="86"/>
      <c r="N150" s="45"/>
      <c r="O150" s="45" t="s">
        <v>27</v>
      </c>
      <c r="P150" s="45"/>
      <c r="Q150" s="87"/>
      <c r="R150" s="95" t="s">
        <v>860</v>
      </c>
      <c r="S150" s="92" t="s">
        <v>861</v>
      </c>
      <c r="T150" s="107"/>
      <c r="U150" s="1"/>
      <c r="V150" s="3"/>
      <c r="W150" s="1"/>
      <c r="X150" s="1"/>
    </row>
    <row r="151" ht="30.0" customHeight="1">
      <c r="A151" s="1"/>
      <c r="B151" s="45">
        <f t="shared" si="3"/>
        <v>143</v>
      </c>
      <c r="C151" s="93">
        <v>45950.0</v>
      </c>
      <c r="D151" s="94"/>
      <c r="E151" s="94" t="s">
        <v>862</v>
      </c>
      <c r="F151" s="45" t="s">
        <v>863</v>
      </c>
      <c r="G151" s="57" t="s">
        <v>33</v>
      </c>
      <c r="H151" s="45"/>
      <c r="I151" s="45"/>
      <c r="J151" s="45"/>
      <c r="K151" s="45"/>
      <c r="L151" s="85"/>
      <c r="M151" s="86"/>
      <c r="N151" s="45"/>
      <c r="O151" s="45" t="s">
        <v>27</v>
      </c>
      <c r="P151" s="45"/>
      <c r="Q151" s="87"/>
      <c r="R151" s="95" t="s">
        <v>864</v>
      </c>
      <c r="S151" s="92" t="s">
        <v>865</v>
      </c>
      <c r="T151" s="107" t="s">
        <v>45</v>
      </c>
      <c r="U151" s="1"/>
      <c r="V151" s="3"/>
      <c r="W151" s="1"/>
      <c r="X151" s="1"/>
    </row>
    <row r="152" ht="30.0" customHeight="1">
      <c r="A152" s="1"/>
      <c r="B152" s="45">
        <f t="shared" si="3"/>
        <v>144</v>
      </c>
      <c r="C152" s="93">
        <v>45950.0</v>
      </c>
      <c r="D152" s="94"/>
      <c r="E152" s="94" t="s">
        <v>866</v>
      </c>
      <c r="F152" s="94" t="s">
        <v>867</v>
      </c>
      <c r="G152" s="57" t="s">
        <v>70</v>
      </c>
      <c r="H152" s="45"/>
      <c r="I152" s="45"/>
      <c r="J152" s="45"/>
      <c r="K152" s="45"/>
      <c r="L152" s="85"/>
      <c r="M152" s="86"/>
      <c r="N152" s="45" t="s">
        <v>203</v>
      </c>
      <c r="O152" s="45"/>
      <c r="P152" s="45"/>
      <c r="Q152" s="87"/>
      <c r="R152" s="95" t="s">
        <v>868</v>
      </c>
      <c r="S152" s="92" t="s">
        <v>869</v>
      </c>
      <c r="T152" s="107" t="s">
        <v>358</v>
      </c>
      <c r="U152" s="1"/>
      <c r="V152" s="3"/>
      <c r="W152" s="1"/>
      <c r="X152" s="1"/>
    </row>
    <row r="153" ht="30.0" customHeight="1">
      <c r="A153" s="1"/>
      <c r="B153" s="45">
        <f t="shared" si="3"/>
        <v>145</v>
      </c>
      <c r="C153" s="93">
        <v>45957.0</v>
      </c>
      <c r="D153" s="94" t="s">
        <v>870</v>
      </c>
      <c r="E153" s="94" t="s">
        <v>24</v>
      </c>
      <c r="F153" s="45" t="s">
        <v>871</v>
      </c>
      <c r="G153" s="57" t="s">
        <v>26</v>
      </c>
      <c r="H153" s="45"/>
      <c r="I153" s="45"/>
      <c r="J153" s="45"/>
      <c r="K153" s="45"/>
      <c r="L153" s="85"/>
      <c r="M153" s="86"/>
      <c r="N153" s="45"/>
      <c r="O153" s="45" t="s">
        <v>27</v>
      </c>
      <c r="P153" s="45"/>
      <c r="Q153" s="87"/>
      <c r="R153" s="95" t="s">
        <v>771</v>
      </c>
      <c r="S153" s="92" t="s">
        <v>872</v>
      </c>
      <c r="T153" s="107" t="s">
        <v>45</v>
      </c>
      <c r="U153" s="1"/>
      <c r="V153" s="3"/>
      <c r="W153" s="1"/>
      <c r="X153" s="1"/>
    </row>
    <row r="154" ht="30.0" customHeight="1">
      <c r="A154" s="1"/>
      <c r="B154" s="45">
        <f t="shared" si="3"/>
        <v>146</v>
      </c>
      <c r="C154" s="93">
        <v>45957.0</v>
      </c>
      <c r="D154" s="94" t="s">
        <v>873</v>
      </c>
      <c r="E154" s="94"/>
      <c r="F154" s="45" t="s">
        <v>874</v>
      </c>
      <c r="G154" s="57" t="s">
        <v>42</v>
      </c>
      <c r="H154" s="45"/>
      <c r="I154" s="45"/>
      <c r="J154" s="45"/>
      <c r="K154" s="45"/>
      <c r="L154" s="85"/>
      <c r="M154" s="86"/>
      <c r="N154" s="45"/>
      <c r="O154" s="45" t="s">
        <v>152</v>
      </c>
      <c r="P154" s="45"/>
      <c r="Q154" s="87"/>
      <c r="R154" s="95" t="s">
        <v>875</v>
      </c>
      <c r="S154" s="92" t="s">
        <v>876</v>
      </c>
      <c r="T154" s="107" t="s">
        <v>45</v>
      </c>
      <c r="U154" s="1"/>
      <c r="V154" s="3"/>
      <c r="W154" s="1"/>
      <c r="X154" s="1"/>
    </row>
    <row r="155" ht="30.0" customHeight="1">
      <c r="A155" s="1"/>
      <c r="B155" s="45">
        <f t="shared" si="3"/>
        <v>147</v>
      </c>
      <c r="C155" s="93">
        <v>45958.0</v>
      </c>
      <c r="D155" s="94" t="s">
        <v>877</v>
      </c>
      <c r="E155" s="94" t="s">
        <v>288</v>
      </c>
      <c r="F155" s="45" t="s">
        <v>878</v>
      </c>
      <c r="G155" s="57" t="s">
        <v>22</v>
      </c>
      <c r="H155" s="45"/>
      <c r="I155" s="45"/>
      <c r="J155" s="45"/>
      <c r="K155" s="45"/>
      <c r="L155" s="85"/>
      <c r="M155" s="86"/>
      <c r="N155" s="45"/>
      <c r="O155" s="45" t="s">
        <v>22</v>
      </c>
      <c r="P155" s="45"/>
      <c r="Q155" s="87"/>
      <c r="R155" s="95" t="s">
        <v>879</v>
      </c>
      <c r="S155" s="92" t="s">
        <v>880</v>
      </c>
      <c r="T155" s="107" t="s">
        <v>30</v>
      </c>
      <c r="U155" s="1"/>
      <c r="V155" s="3"/>
      <c r="W155" s="1"/>
      <c r="X155" s="1"/>
    </row>
    <row r="156" ht="26.25" customHeight="1">
      <c r="A156" s="1"/>
      <c r="B156" s="45">
        <f t="shared" si="3"/>
        <v>148</v>
      </c>
      <c r="C156" s="93">
        <v>45959.0</v>
      </c>
      <c r="D156" s="94"/>
      <c r="E156" s="94" t="s">
        <v>47</v>
      </c>
      <c r="F156" s="45" t="s">
        <v>881</v>
      </c>
      <c r="G156" s="57" t="s">
        <v>33</v>
      </c>
      <c r="H156" s="45"/>
      <c r="I156" s="45"/>
      <c r="J156" s="45"/>
      <c r="K156" s="45"/>
      <c r="L156" s="85"/>
      <c r="M156" s="86"/>
      <c r="N156" s="45"/>
      <c r="O156" s="45"/>
      <c r="P156" s="45"/>
      <c r="Q156" s="87"/>
      <c r="R156" s="95" t="s">
        <v>882</v>
      </c>
      <c r="S156" s="92" t="s">
        <v>883</v>
      </c>
      <c r="T156" s="107" t="s">
        <v>45</v>
      </c>
      <c r="U156" s="1"/>
      <c r="V156" s="3"/>
      <c r="W156" s="1"/>
      <c r="X156" s="1"/>
    </row>
    <row r="157" ht="30.0" customHeight="1">
      <c r="A157" s="1"/>
      <c r="B157" s="45">
        <f t="shared" si="3"/>
        <v>149</v>
      </c>
      <c r="C157" s="93">
        <v>45961.0</v>
      </c>
      <c r="D157" s="94" t="s">
        <v>884</v>
      </c>
      <c r="E157" s="94" t="s">
        <v>40</v>
      </c>
      <c r="F157" s="45" t="s">
        <v>885</v>
      </c>
      <c r="G157" s="57" t="s">
        <v>42</v>
      </c>
      <c r="H157" s="45" t="s">
        <v>886</v>
      </c>
      <c r="I157" s="45" t="s">
        <v>60</v>
      </c>
      <c r="J157" s="45" t="s">
        <v>887</v>
      </c>
      <c r="K157" s="45"/>
      <c r="L157" s="85"/>
      <c r="M157" s="86"/>
      <c r="N157" s="45"/>
      <c r="O157" s="45" t="s">
        <v>27</v>
      </c>
      <c r="P157" s="45"/>
      <c r="Q157" s="87"/>
      <c r="R157" s="95" t="s">
        <v>888</v>
      </c>
      <c r="S157" s="92" t="s">
        <v>889</v>
      </c>
      <c r="T157" s="107" t="s">
        <v>30</v>
      </c>
      <c r="U157" s="1"/>
      <c r="V157" s="3"/>
      <c r="W157" s="1"/>
      <c r="X157" s="1"/>
    </row>
    <row r="158" ht="30.0" customHeight="1">
      <c r="A158" s="1"/>
      <c r="B158" s="45">
        <f t="shared" si="3"/>
        <v>150</v>
      </c>
      <c r="C158" s="93">
        <v>45971.0</v>
      </c>
      <c r="D158" s="94"/>
      <c r="E158" s="94" t="s">
        <v>890</v>
      </c>
      <c r="F158" s="45" t="s">
        <v>602</v>
      </c>
      <c r="G158" s="57" t="s">
        <v>33</v>
      </c>
      <c r="H158" s="45"/>
      <c r="I158" s="45"/>
      <c r="J158" s="45"/>
      <c r="K158" s="45"/>
      <c r="L158" s="85"/>
      <c r="M158" s="86"/>
      <c r="N158" s="45"/>
      <c r="O158" s="45" t="s">
        <v>27</v>
      </c>
      <c r="P158" s="45"/>
      <c r="Q158" s="87"/>
      <c r="R158" s="95" t="s">
        <v>891</v>
      </c>
      <c r="S158" s="92" t="s">
        <v>892</v>
      </c>
      <c r="T158" s="107" t="s">
        <v>45</v>
      </c>
      <c r="U158" s="1"/>
      <c r="V158" s="3"/>
      <c r="W158" s="1"/>
      <c r="X158" s="1"/>
    </row>
    <row r="159" ht="37.5" customHeight="1">
      <c r="A159" s="1"/>
      <c r="B159" s="45">
        <f t="shared" si="3"/>
        <v>151</v>
      </c>
      <c r="C159" s="93">
        <v>45972.0</v>
      </c>
      <c r="D159" s="94"/>
      <c r="E159" s="94" t="s">
        <v>893</v>
      </c>
      <c r="F159" s="45" t="s">
        <v>894</v>
      </c>
      <c r="G159" s="57" t="s">
        <v>33</v>
      </c>
      <c r="H159" s="45"/>
      <c r="I159" s="45"/>
      <c r="J159" s="45"/>
      <c r="K159" s="45"/>
      <c r="L159" s="85"/>
      <c r="M159" s="86"/>
      <c r="N159" s="45"/>
      <c r="O159" s="45"/>
      <c r="P159" s="45"/>
      <c r="Q159" s="87"/>
      <c r="R159" s="95" t="s">
        <v>895</v>
      </c>
      <c r="S159" s="92" t="s">
        <v>896</v>
      </c>
      <c r="T159" s="107" t="s">
        <v>45</v>
      </c>
      <c r="U159" s="1"/>
      <c r="V159" s="3"/>
      <c r="W159" s="1"/>
      <c r="X159" s="1"/>
    </row>
    <row r="160" ht="30.0" customHeight="1">
      <c r="A160" s="1"/>
      <c r="B160" s="45">
        <f t="shared" si="3"/>
        <v>152</v>
      </c>
      <c r="C160" s="93">
        <v>45987.0</v>
      </c>
      <c r="D160" s="94" t="s">
        <v>897</v>
      </c>
      <c r="E160" s="94" t="s">
        <v>344</v>
      </c>
      <c r="F160" s="45" t="s">
        <v>898</v>
      </c>
      <c r="G160" s="57" t="s">
        <v>42</v>
      </c>
      <c r="H160" s="45"/>
      <c r="I160" s="45"/>
      <c r="J160" s="45"/>
      <c r="K160" s="45"/>
      <c r="L160" s="85"/>
      <c r="M160" s="86"/>
      <c r="N160" s="45"/>
      <c r="O160" s="45" t="s">
        <v>27</v>
      </c>
      <c r="P160" s="45"/>
      <c r="Q160" s="87"/>
      <c r="R160" s="95" t="s">
        <v>899</v>
      </c>
      <c r="S160" s="92" t="s">
        <v>900</v>
      </c>
      <c r="T160" s="107" t="s">
        <v>358</v>
      </c>
      <c r="U160" s="1"/>
      <c r="V160" s="3"/>
      <c r="W160" s="1"/>
      <c r="X160" s="1"/>
    </row>
    <row r="161" ht="30.0" customHeight="1">
      <c r="A161" s="1"/>
      <c r="B161" s="45">
        <f t="shared" si="3"/>
        <v>153</v>
      </c>
      <c r="C161" s="93">
        <v>45992.0</v>
      </c>
      <c r="D161" s="94" t="s">
        <v>901</v>
      </c>
      <c r="E161" s="94" t="s">
        <v>669</v>
      </c>
      <c r="F161" s="45" t="s">
        <v>670</v>
      </c>
      <c r="G161" s="57" t="s">
        <v>33</v>
      </c>
      <c r="H161" s="45"/>
      <c r="I161" s="45"/>
      <c r="J161" s="45"/>
      <c r="K161" s="45"/>
      <c r="L161" s="85"/>
      <c r="M161" s="86"/>
      <c r="N161" s="45"/>
      <c r="O161" s="45" t="s">
        <v>105</v>
      </c>
      <c r="P161" s="45"/>
      <c r="Q161" s="87"/>
      <c r="R161" s="95" t="s">
        <v>902</v>
      </c>
      <c r="S161" s="92" t="s">
        <v>903</v>
      </c>
      <c r="T161" s="107" t="s">
        <v>102</v>
      </c>
      <c r="U161" s="1"/>
      <c r="V161" s="3"/>
      <c r="W161" s="1"/>
      <c r="X161" s="1"/>
    </row>
    <row r="162" ht="30.0" customHeight="1">
      <c r="A162" s="1"/>
      <c r="B162" s="45">
        <f t="shared" si="3"/>
        <v>154</v>
      </c>
      <c r="C162" s="93">
        <v>45993.0</v>
      </c>
      <c r="D162" s="94" t="s">
        <v>904</v>
      </c>
      <c r="E162" s="94" t="s">
        <v>47</v>
      </c>
      <c r="F162" s="45" t="s">
        <v>905</v>
      </c>
      <c r="G162" s="57" t="s">
        <v>26</v>
      </c>
      <c r="H162" s="94" t="s">
        <v>904</v>
      </c>
      <c r="I162" s="45" t="s">
        <v>53</v>
      </c>
      <c r="J162" s="45" t="s">
        <v>61</v>
      </c>
      <c r="K162" s="45"/>
      <c r="L162" s="85"/>
      <c r="M162" s="86"/>
      <c r="N162" s="45"/>
      <c r="O162" s="45" t="s">
        <v>105</v>
      </c>
      <c r="P162" s="45"/>
      <c r="Q162" s="87"/>
      <c r="R162" s="95" t="s">
        <v>906</v>
      </c>
      <c r="S162" s="92" t="s">
        <v>907</v>
      </c>
      <c r="T162" s="107" t="s">
        <v>102</v>
      </c>
      <c r="U162" s="1"/>
      <c r="V162" s="3"/>
      <c r="W162" s="1"/>
      <c r="X162" s="1"/>
    </row>
    <row r="163" ht="30.0" customHeight="1">
      <c r="A163" s="1"/>
      <c r="B163" s="45">
        <f t="shared" si="3"/>
        <v>155</v>
      </c>
      <c r="C163" s="93">
        <v>45993.0</v>
      </c>
      <c r="D163" s="94" t="s">
        <v>908</v>
      </c>
      <c r="E163" s="94" t="s">
        <v>81</v>
      </c>
      <c r="F163" s="45" t="s">
        <v>909</v>
      </c>
      <c r="G163" s="57" t="s">
        <v>26</v>
      </c>
      <c r="H163" s="45" t="s">
        <v>908</v>
      </c>
      <c r="I163" s="45" t="s">
        <v>53</v>
      </c>
      <c r="J163" s="45"/>
      <c r="K163" s="45"/>
      <c r="L163" s="85"/>
      <c r="M163" s="86"/>
      <c r="N163" s="45"/>
      <c r="O163" s="45"/>
      <c r="P163" s="45"/>
      <c r="Q163" s="87"/>
      <c r="R163" s="95" t="s">
        <v>910</v>
      </c>
      <c r="S163" s="92" t="s">
        <v>911</v>
      </c>
      <c r="T163" s="107" t="s">
        <v>45</v>
      </c>
      <c r="U163" s="1"/>
      <c r="V163" s="3"/>
      <c r="W163" s="1"/>
      <c r="X163" s="1"/>
    </row>
    <row r="164" ht="30.0" customHeight="1">
      <c r="A164" s="1"/>
      <c r="B164" s="45">
        <f t="shared" si="3"/>
        <v>156</v>
      </c>
      <c r="C164" s="93">
        <v>45994.0</v>
      </c>
      <c r="D164" s="94" t="s">
        <v>912</v>
      </c>
      <c r="E164" s="94" t="s">
        <v>47</v>
      </c>
      <c r="F164" s="45" t="s">
        <v>913</v>
      </c>
      <c r="G164" s="57" t="s">
        <v>42</v>
      </c>
      <c r="H164" s="45" t="s">
        <v>372</v>
      </c>
      <c r="I164" s="45" t="s">
        <v>53</v>
      </c>
      <c r="J164" s="45" t="s">
        <v>61</v>
      </c>
      <c r="K164" s="45"/>
      <c r="L164" s="85"/>
      <c r="M164" s="86"/>
      <c r="N164" s="45"/>
      <c r="O164" s="45" t="s">
        <v>22</v>
      </c>
      <c r="P164" s="45"/>
      <c r="Q164" s="87"/>
      <c r="R164" s="95" t="s">
        <v>914</v>
      </c>
      <c r="S164" s="92" t="s">
        <v>915</v>
      </c>
      <c r="T164" s="107" t="s">
        <v>30</v>
      </c>
      <c r="U164" s="1"/>
      <c r="V164" s="3"/>
      <c r="W164" s="1"/>
      <c r="X164" s="1"/>
    </row>
    <row r="165" ht="45.0" customHeight="1">
      <c r="A165" s="1"/>
      <c r="B165" s="45">
        <f t="shared" si="3"/>
        <v>157</v>
      </c>
      <c r="C165" s="93">
        <v>45994.0</v>
      </c>
      <c r="D165" s="94" t="s">
        <v>916</v>
      </c>
      <c r="E165" s="94" t="s">
        <v>40</v>
      </c>
      <c r="F165" s="45" t="s">
        <v>917</v>
      </c>
      <c r="G165" s="57" t="s">
        <v>33</v>
      </c>
      <c r="H165" s="45"/>
      <c r="I165" s="45"/>
      <c r="J165" s="45"/>
      <c r="K165" s="45"/>
      <c r="L165" s="85"/>
      <c r="M165" s="86"/>
      <c r="N165" s="45"/>
      <c r="O165" s="45"/>
      <c r="P165" s="45"/>
      <c r="Q165" s="87"/>
      <c r="R165" s="95" t="s">
        <v>918</v>
      </c>
      <c r="S165" s="92" t="s">
        <v>919</v>
      </c>
      <c r="T165" s="107" t="s">
        <v>45</v>
      </c>
      <c r="U165" s="1"/>
      <c r="V165" s="3"/>
      <c r="W165" s="1"/>
      <c r="X165" s="1"/>
    </row>
    <row r="166" ht="34.5" customHeight="1">
      <c r="A166" s="1"/>
      <c r="B166" s="45">
        <f t="shared" si="3"/>
        <v>158</v>
      </c>
      <c r="C166" s="93">
        <v>45996.0</v>
      </c>
      <c r="D166" s="94" t="s">
        <v>920</v>
      </c>
      <c r="E166" s="94"/>
      <c r="F166" s="45" t="s">
        <v>921</v>
      </c>
      <c r="G166" s="57" t="s">
        <v>42</v>
      </c>
      <c r="H166" s="45"/>
      <c r="I166" s="45"/>
      <c r="J166" s="45"/>
      <c r="K166" s="45"/>
      <c r="L166" s="85"/>
      <c r="M166" s="86"/>
      <c r="N166" s="45"/>
      <c r="O166" s="45" t="s">
        <v>27</v>
      </c>
      <c r="P166" s="45"/>
      <c r="Q166" s="87"/>
      <c r="R166" s="95" t="s">
        <v>922</v>
      </c>
      <c r="S166" s="92" t="s">
        <v>923</v>
      </c>
      <c r="T166" s="107" t="s">
        <v>30</v>
      </c>
      <c r="U166" s="1"/>
      <c r="V166" s="3"/>
      <c r="W166" s="1"/>
      <c r="X166" s="1"/>
    </row>
    <row r="167" ht="30.0" customHeight="1">
      <c r="A167" s="1"/>
      <c r="B167" s="45">
        <f t="shared" si="3"/>
        <v>159</v>
      </c>
      <c r="C167" s="93">
        <v>45996.0</v>
      </c>
      <c r="D167" s="94" t="s">
        <v>924</v>
      </c>
      <c r="E167" s="94" t="s">
        <v>344</v>
      </c>
      <c r="F167" s="45" t="s">
        <v>898</v>
      </c>
      <c r="G167" s="57" t="s">
        <v>42</v>
      </c>
      <c r="H167" s="45" t="s">
        <v>897</v>
      </c>
      <c r="I167" s="45" t="s">
        <v>53</v>
      </c>
      <c r="J167" s="45" t="s">
        <v>99</v>
      </c>
      <c r="K167" s="45"/>
      <c r="L167" s="85"/>
      <c r="M167" s="86"/>
      <c r="N167" s="45"/>
      <c r="O167" s="45" t="s">
        <v>27</v>
      </c>
      <c r="P167" s="45"/>
      <c r="Q167" s="87"/>
      <c r="R167" s="95" t="s">
        <v>925</v>
      </c>
      <c r="S167" s="92" t="s">
        <v>926</v>
      </c>
      <c r="T167" s="107" t="s">
        <v>30</v>
      </c>
      <c r="U167" s="1"/>
      <c r="V167" s="3"/>
      <c r="W167" s="1"/>
      <c r="X167" s="1"/>
    </row>
    <row r="168" ht="30.0" customHeight="1">
      <c r="A168" s="1"/>
      <c r="B168" s="45">
        <f t="shared" si="3"/>
        <v>160</v>
      </c>
      <c r="C168" s="93">
        <v>45996.0</v>
      </c>
      <c r="D168" s="94" t="s">
        <v>927</v>
      </c>
      <c r="E168" s="94" t="s">
        <v>40</v>
      </c>
      <c r="F168" s="45" t="s">
        <v>858</v>
      </c>
      <c r="G168" s="57" t="s">
        <v>42</v>
      </c>
      <c r="H168" s="45"/>
      <c r="I168" s="45"/>
      <c r="J168" s="45"/>
      <c r="K168" s="45"/>
      <c r="L168" s="85"/>
      <c r="M168" s="86"/>
      <c r="N168" s="45"/>
      <c r="O168" s="45" t="s">
        <v>27</v>
      </c>
      <c r="P168" s="45"/>
      <c r="Q168" s="87"/>
      <c r="R168" s="95" t="s">
        <v>925</v>
      </c>
      <c r="S168" s="92" t="s">
        <v>928</v>
      </c>
      <c r="T168" s="107" t="s">
        <v>30</v>
      </c>
      <c r="U168" s="1"/>
      <c r="V168" s="3"/>
      <c r="W168" s="1"/>
      <c r="X168" s="1"/>
    </row>
    <row r="169" ht="30.0" customHeight="1">
      <c r="A169" s="1"/>
      <c r="B169" s="45">
        <f t="shared" si="3"/>
        <v>161</v>
      </c>
      <c r="C169" s="93">
        <v>45999.0</v>
      </c>
      <c r="D169" s="94" t="s">
        <v>929</v>
      </c>
      <c r="E169" s="94" t="s">
        <v>47</v>
      </c>
      <c r="F169" s="45" t="s">
        <v>930</v>
      </c>
      <c r="G169" s="57" t="s">
        <v>42</v>
      </c>
      <c r="H169" s="45"/>
      <c r="I169" s="45"/>
      <c r="J169" s="45"/>
      <c r="K169" s="45"/>
      <c r="L169" s="85"/>
      <c r="M169" s="86"/>
      <c r="N169" s="45"/>
      <c r="O169" s="45" t="s">
        <v>152</v>
      </c>
      <c r="P169" s="45"/>
      <c r="Q169" s="87"/>
      <c r="R169" s="95" t="s">
        <v>931</v>
      </c>
      <c r="S169" s="92" t="s">
        <v>932</v>
      </c>
      <c r="T169" s="107" t="s">
        <v>30</v>
      </c>
      <c r="U169" s="1"/>
      <c r="V169" s="3"/>
      <c r="W169" s="1"/>
      <c r="X169" s="1"/>
    </row>
    <row r="170" ht="30.0" customHeight="1">
      <c r="A170" s="1"/>
      <c r="B170" s="45">
        <f t="shared" si="3"/>
        <v>162</v>
      </c>
      <c r="C170" s="93">
        <v>45999.0</v>
      </c>
      <c r="D170" s="94" t="s">
        <v>933</v>
      </c>
      <c r="E170" s="94" t="s">
        <v>387</v>
      </c>
      <c r="F170" s="45" t="s">
        <v>934</v>
      </c>
      <c r="G170" s="57" t="s">
        <v>26</v>
      </c>
      <c r="H170" s="45" t="s">
        <v>933</v>
      </c>
      <c r="I170" s="45" t="s">
        <v>53</v>
      </c>
      <c r="J170" s="45" t="s">
        <v>83</v>
      </c>
      <c r="K170" s="45" t="s">
        <v>84</v>
      </c>
      <c r="L170" s="85"/>
      <c r="M170" s="86"/>
      <c r="N170" s="45"/>
      <c r="O170" s="45" t="s">
        <v>27</v>
      </c>
      <c r="P170" s="45"/>
      <c r="Q170" s="87"/>
      <c r="R170" s="95" t="s">
        <v>505</v>
      </c>
      <c r="S170" s="92" t="s">
        <v>935</v>
      </c>
      <c r="T170" s="107" t="s">
        <v>74</v>
      </c>
      <c r="U170" s="1"/>
      <c r="V170" s="3"/>
      <c r="W170" s="1"/>
      <c r="X170" s="1"/>
    </row>
    <row r="171" ht="30.0" customHeight="1">
      <c r="A171" s="1"/>
      <c r="B171" s="45">
        <f t="shared" si="3"/>
        <v>163</v>
      </c>
      <c r="C171" s="93">
        <v>46002.0</v>
      </c>
      <c r="D171" s="94" t="s">
        <v>936</v>
      </c>
      <c r="E171" s="94" t="s">
        <v>81</v>
      </c>
      <c r="F171" s="45" t="s">
        <v>937</v>
      </c>
      <c r="G171" s="57" t="s">
        <v>26</v>
      </c>
      <c r="H171" s="45" t="s">
        <v>936</v>
      </c>
      <c r="I171" s="45" t="s">
        <v>53</v>
      </c>
      <c r="J171" s="45" t="s">
        <v>692</v>
      </c>
      <c r="K171" s="45"/>
      <c r="L171" s="85"/>
      <c r="M171" s="86"/>
      <c r="N171" s="45"/>
      <c r="O171" s="45" t="s">
        <v>22</v>
      </c>
      <c r="P171" s="45"/>
      <c r="Q171" s="87"/>
      <c r="R171" s="95" t="s">
        <v>938</v>
      </c>
      <c r="S171" s="92" t="s">
        <v>939</v>
      </c>
      <c r="T171" s="107" t="s">
        <v>74</v>
      </c>
      <c r="U171" s="1"/>
      <c r="V171" s="3"/>
      <c r="W171" s="1"/>
      <c r="X171" s="1"/>
    </row>
    <row r="172" ht="30.0" customHeight="1">
      <c r="A172" s="1"/>
      <c r="B172" s="45">
        <f t="shared" si="3"/>
        <v>164</v>
      </c>
      <c r="C172" s="93">
        <v>46003.0</v>
      </c>
      <c r="D172" s="94"/>
      <c r="E172" s="94" t="s">
        <v>47</v>
      </c>
      <c r="F172" s="45" t="s">
        <v>913</v>
      </c>
      <c r="G172" s="57" t="s">
        <v>42</v>
      </c>
      <c r="H172" s="45" t="s">
        <v>372</v>
      </c>
      <c r="I172" s="45" t="s">
        <v>53</v>
      </c>
      <c r="J172" s="45" t="s">
        <v>61</v>
      </c>
      <c r="K172" s="45"/>
      <c r="L172" s="85"/>
      <c r="M172" s="86"/>
      <c r="N172" s="45"/>
      <c r="O172" s="45" t="s">
        <v>687</v>
      </c>
      <c r="P172" s="45"/>
      <c r="Q172" s="87"/>
      <c r="R172" s="95" t="s">
        <v>940</v>
      </c>
      <c r="S172" s="92" t="s">
        <v>941</v>
      </c>
      <c r="T172" s="107" t="s">
        <v>30</v>
      </c>
      <c r="U172" s="1"/>
      <c r="V172" s="3"/>
      <c r="W172" s="1"/>
      <c r="X172" s="1"/>
    </row>
    <row r="173" ht="30.0" customHeight="1">
      <c r="A173" s="1"/>
      <c r="B173" s="45">
        <f t="shared" si="3"/>
        <v>165</v>
      </c>
      <c r="C173" s="93">
        <v>46003.0</v>
      </c>
      <c r="D173" s="94"/>
      <c r="E173" s="94" t="s">
        <v>40</v>
      </c>
      <c r="F173" s="45" t="s">
        <v>942</v>
      </c>
      <c r="G173" s="57" t="s">
        <v>42</v>
      </c>
      <c r="H173" s="45" t="s">
        <v>943</v>
      </c>
      <c r="I173" s="45" t="s">
        <v>53</v>
      </c>
      <c r="J173" s="45"/>
      <c r="K173" s="45"/>
      <c r="L173" s="85"/>
      <c r="M173" s="86"/>
      <c r="N173" s="45"/>
      <c r="O173" s="45" t="s">
        <v>27</v>
      </c>
      <c r="P173" s="45"/>
      <c r="Q173" s="87"/>
      <c r="R173" s="95" t="s">
        <v>944</v>
      </c>
      <c r="S173" s="92" t="s">
        <v>945</v>
      </c>
      <c r="T173" s="107" t="s">
        <v>30</v>
      </c>
      <c r="U173" s="1"/>
      <c r="V173" s="3"/>
      <c r="W173" s="1"/>
      <c r="X173" s="1"/>
    </row>
    <row r="174" ht="30.0" customHeight="1">
      <c r="A174" s="1"/>
      <c r="B174" s="45">
        <f t="shared" si="3"/>
        <v>166</v>
      </c>
      <c r="C174" s="93">
        <v>46006.0</v>
      </c>
      <c r="D174" s="94" t="s">
        <v>936</v>
      </c>
      <c r="E174" s="94" t="s">
        <v>81</v>
      </c>
      <c r="F174" s="45" t="s">
        <v>937</v>
      </c>
      <c r="G174" s="57" t="s">
        <v>26</v>
      </c>
      <c r="H174" s="45" t="s">
        <v>936</v>
      </c>
      <c r="I174" s="45" t="s">
        <v>53</v>
      </c>
      <c r="J174" s="45" t="s">
        <v>692</v>
      </c>
      <c r="K174" s="45"/>
      <c r="L174" s="85"/>
      <c r="M174" s="86"/>
      <c r="N174" s="45"/>
      <c r="O174" s="45" t="s">
        <v>27</v>
      </c>
      <c r="P174" s="45"/>
      <c r="Q174" s="87"/>
      <c r="R174" s="95" t="s">
        <v>946</v>
      </c>
      <c r="S174" s="92" t="s">
        <v>947</v>
      </c>
      <c r="T174" s="107" t="s">
        <v>30</v>
      </c>
      <c r="U174" s="1"/>
      <c r="V174" s="3"/>
      <c r="W174" s="1"/>
      <c r="X174" s="1"/>
    </row>
    <row r="175" ht="30.0" customHeight="1">
      <c r="A175" s="1"/>
      <c r="B175" s="45">
        <f t="shared" si="3"/>
        <v>167</v>
      </c>
      <c r="C175" s="93">
        <v>46007.0</v>
      </c>
      <c r="D175" s="94"/>
      <c r="E175" s="94" t="s">
        <v>40</v>
      </c>
      <c r="F175" s="45" t="s">
        <v>948</v>
      </c>
      <c r="G175" s="57" t="s">
        <v>42</v>
      </c>
      <c r="H175" s="45"/>
      <c r="I175" s="45"/>
      <c r="J175" s="45"/>
      <c r="K175" s="45"/>
      <c r="L175" s="85"/>
      <c r="M175" s="86"/>
      <c r="N175" s="45" t="s">
        <v>71</v>
      </c>
      <c r="O175" s="45"/>
      <c r="P175" s="45"/>
      <c r="Q175" s="87"/>
      <c r="R175" s="95" t="s">
        <v>949</v>
      </c>
      <c r="S175" s="92" t="s">
        <v>950</v>
      </c>
      <c r="T175" s="107" t="s">
        <v>74</v>
      </c>
      <c r="U175" s="1"/>
      <c r="V175" s="3"/>
      <c r="W175" s="1"/>
      <c r="X175" s="1"/>
    </row>
    <row r="176" ht="16.5" customHeight="1">
      <c r="A176" s="1"/>
      <c r="B176" s="45">
        <f t="shared" si="3"/>
        <v>168</v>
      </c>
      <c r="C176" s="93">
        <v>46008.0</v>
      </c>
      <c r="D176" s="94"/>
      <c r="E176" s="94" t="s">
        <v>40</v>
      </c>
      <c r="F176" s="45" t="s">
        <v>858</v>
      </c>
      <c r="G176" s="57" t="s">
        <v>42</v>
      </c>
      <c r="H176" s="45" t="s">
        <v>927</v>
      </c>
      <c r="I176" s="45" t="s">
        <v>53</v>
      </c>
      <c r="J176" s="45"/>
      <c r="K176" s="45"/>
      <c r="L176" s="85"/>
      <c r="M176" s="86"/>
      <c r="N176" s="45" t="s">
        <v>71</v>
      </c>
      <c r="O176" s="45"/>
      <c r="P176" s="45"/>
      <c r="Q176" s="87"/>
      <c r="R176" s="95" t="s">
        <v>949</v>
      </c>
      <c r="S176" s="92" t="s">
        <v>950</v>
      </c>
      <c r="T176" s="107" t="s">
        <v>74</v>
      </c>
      <c r="U176" s="1"/>
      <c r="V176" s="3"/>
      <c r="W176" s="1"/>
      <c r="X176" s="1"/>
    </row>
    <row r="177" ht="30.0" customHeight="1">
      <c r="A177" s="1"/>
      <c r="B177" s="45">
        <f t="shared" si="3"/>
        <v>169</v>
      </c>
      <c r="C177" s="93">
        <v>46009.0</v>
      </c>
      <c r="D177" s="94" t="s">
        <v>951</v>
      </c>
      <c r="E177" s="94" t="s">
        <v>24</v>
      </c>
      <c r="F177" s="45" t="s">
        <v>952</v>
      </c>
      <c r="G177" s="57" t="s">
        <v>26</v>
      </c>
      <c r="H177" s="45"/>
      <c r="I177" s="45"/>
      <c r="J177" s="45"/>
      <c r="K177" s="45"/>
      <c r="L177" s="85"/>
      <c r="M177" s="86"/>
      <c r="N177" s="45"/>
      <c r="O177" s="45" t="s">
        <v>27</v>
      </c>
      <c r="P177" s="45"/>
      <c r="Q177" s="87"/>
      <c r="R177" s="95" t="s">
        <v>953</v>
      </c>
      <c r="S177" s="92" t="s">
        <v>954</v>
      </c>
      <c r="T177" s="107" t="s">
        <v>30</v>
      </c>
      <c r="U177" s="1"/>
      <c r="V177" s="3"/>
      <c r="W177" s="1"/>
      <c r="X177" s="1"/>
    </row>
    <row r="178" ht="30.0" customHeight="1">
      <c r="A178" s="1"/>
      <c r="B178" s="45">
        <f t="shared" si="3"/>
        <v>170</v>
      </c>
      <c r="C178" s="93">
        <v>46010.0</v>
      </c>
      <c r="D178" s="94" t="s">
        <v>324</v>
      </c>
      <c r="E178" s="94" t="s">
        <v>47</v>
      </c>
      <c r="F178" s="45" t="s">
        <v>416</v>
      </c>
      <c r="G178" s="57" t="s">
        <v>26</v>
      </c>
      <c r="H178" s="45"/>
      <c r="I178" s="45"/>
      <c r="J178" s="45"/>
      <c r="K178" s="45"/>
      <c r="L178" s="85"/>
      <c r="M178" s="86"/>
      <c r="N178" s="45"/>
      <c r="O178" s="45" t="s">
        <v>152</v>
      </c>
      <c r="P178" s="45"/>
      <c r="Q178" s="87"/>
      <c r="R178" s="95" t="s">
        <v>955</v>
      </c>
      <c r="S178" s="92" t="s">
        <v>956</v>
      </c>
      <c r="T178" s="107" t="s">
        <v>30</v>
      </c>
      <c r="U178" s="1"/>
      <c r="V178" s="3"/>
      <c r="W178" s="1"/>
      <c r="X178" s="1"/>
    </row>
    <row r="179" ht="30.0" customHeight="1">
      <c r="A179" s="1"/>
      <c r="B179" s="45">
        <f t="shared" si="3"/>
        <v>171</v>
      </c>
      <c r="C179" s="93">
        <v>46020.0</v>
      </c>
      <c r="D179" s="94"/>
      <c r="E179" s="94" t="s">
        <v>377</v>
      </c>
      <c r="F179" s="45" t="s">
        <v>957</v>
      </c>
      <c r="G179" s="57" t="s">
        <v>42</v>
      </c>
      <c r="H179" s="45" t="s">
        <v>958</v>
      </c>
      <c r="I179" s="45" t="s">
        <v>119</v>
      </c>
      <c r="J179" s="45" t="s">
        <v>99</v>
      </c>
      <c r="K179" s="45" t="s">
        <v>55</v>
      </c>
      <c r="L179" s="85"/>
      <c r="M179" s="86"/>
      <c r="N179" s="45"/>
      <c r="O179" s="45" t="s">
        <v>22</v>
      </c>
      <c r="P179" s="45"/>
      <c r="Q179" s="87"/>
      <c r="R179" s="95" t="s">
        <v>959</v>
      </c>
      <c r="S179" s="92" t="s">
        <v>960</v>
      </c>
      <c r="T179" s="107" t="s">
        <v>102</v>
      </c>
      <c r="U179" s="1"/>
      <c r="V179" s="3"/>
      <c r="W179" s="1"/>
      <c r="X179" s="1"/>
    </row>
    <row r="180" ht="30.0" customHeight="1">
      <c r="A180" s="1"/>
      <c r="B180" s="45">
        <f t="shared" si="3"/>
        <v>172</v>
      </c>
      <c r="C180" s="93">
        <v>46020.0</v>
      </c>
      <c r="D180" s="94"/>
      <c r="E180" s="94"/>
      <c r="F180" s="45" t="s">
        <v>961</v>
      </c>
      <c r="G180" s="57" t="s">
        <v>22</v>
      </c>
      <c r="H180" s="45"/>
      <c r="I180" s="45"/>
      <c r="J180" s="45"/>
      <c r="K180" s="45"/>
      <c r="L180" s="85"/>
      <c r="M180" s="86"/>
      <c r="N180" s="45"/>
      <c r="O180" s="45"/>
      <c r="P180" s="45"/>
      <c r="Q180" s="111"/>
      <c r="R180" s="95" t="s">
        <v>962</v>
      </c>
      <c r="S180" s="92" t="s">
        <v>963</v>
      </c>
      <c r="T180" s="107"/>
      <c r="U180" s="1"/>
      <c r="V180" s="3"/>
      <c r="W180" s="1"/>
      <c r="X180" s="1"/>
    </row>
    <row r="181" ht="30.0" customHeight="1">
      <c r="A181" s="1"/>
      <c r="B181" s="45">
        <f t="shared" si="3"/>
        <v>173</v>
      </c>
      <c r="C181" s="93"/>
      <c r="D181" s="94"/>
      <c r="E181" s="94"/>
      <c r="F181" s="45"/>
      <c r="G181" s="57"/>
      <c r="H181" s="45"/>
      <c r="I181" s="45"/>
      <c r="J181" s="45"/>
      <c r="K181" s="45"/>
      <c r="L181" s="85"/>
      <c r="M181" s="86"/>
      <c r="N181" s="45"/>
      <c r="O181" s="45"/>
      <c r="P181" s="45"/>
      <c r="Q181" s="87"/>
      <c r="R181" s="95"/>
      <c r="S181" s="92"/>
      <c r="T181" s="107"/>
      <c r="U181" s="1"/>
      <c r="V181" s="3"/>
      <c r="W181" s="1"/>
      <c r="X181" s="1"/>
    </row>
    <row r="182" ht="30.0" customHeight="1">
      <c r="A182" s="1"/>
      <c r="B182" s="45">
        <f t="shared" si="3"/>
        <v>174</v>
      </c>
      <c r="C182" s="93"/>
      <c r="D182" s="94"/>
      <c r="E182" s="94"/>
      <c r="F182" s="45"/>
      <c r="G182" s="57"/>
      <c r="H182" s="45"/>
      <c r="I182" s="45"/>
      <c r="J182" s="45"/>
      <c r="K182" s="45"/>
      <c r="L182" s="85"/>
      <c r="M182" s="86"/>
      <c r="N182" s="45"/>
      <c r="O182" s="45"/>
      <c r="P182" s="45"/>
      <c r="Q182" s="87"/>
      <c r="R182" s="95"/>
      <c r="S182" s="92"/>
      <c r="T182" s="107"/>
      <c r="U182" s="1"/>
      <c r="V182" s="3"/>
      <c r="W182" s="1"/>
      <c r="X182" s="1"/>
    </row>
    <row r="183" ht="30.0" customHeight="1">
      <c r="A183" s="1"/>
      <c r="B183" s="45">
        <f t="shared" si="3"/>
        <v>175</v>
      </c>
      <c r="C183" s="93"/>
      <c r="D183" s="94"/>
      <c r="E183" s="94"/>
      <c r="F183" s="45"/>
      <c r="G183" s="57"/>
      <c r="H183" s="45"/>
      <c r="I183" s="45"/>
      <c r="J183" s="45"/>
      <c r="K183" s="45"/>
      <c r="L183" s="85"/>
      <c r="M183" s="86"/>
      <c r="N183" s="45"/>
      <c r="O183" s="45"/>
      <c r="P183" s="45"/>
      <c r="Q183" s="87"/>
      <c r="R183" s="95"/>
      <c r="S183" s="92"/>
      <c r="T183" s="107"/>
      <c r="U183" s="1"/>
      <c r="V183" s="3"/>
      <c r="W183" s="1"/>
      <c r="X183" s="1"/>
    </row>
    <row r="184" ht="30.0" customHeight="1">
      <c r="A184" s="1"/>
      <c r="B184" s="45">
        <f t="shared" si="3"/>
        <v>176</v>
      </c>
      <c r="C184" s="93"/>
      <c r="D184" s="94"/>
      <c r="E184" s="94"/>
      <c r="F184" s="45"/>
      <c r="G184" s="57"/>
      <c r="H184" s="45"/>
      <c r="I184" s="45"/>
      <c r="J184" s="45"/>
      <c r="K184" s="45"/>
      <c r="L184" s="85"/>
      <c r="M184" s="86"/>
      <c r="N184" s="45"/>
      <c r="O184" s="45"/>
      <c r="P184" s="45"/>
      <c r="Q184" s="87"/>
      <c r="R184" s="95"/>
      <c r="S184" s="92"/>
      <c r="T184" s="107"/>
      <c r="U184" s="1"/>
      <c r="V184" s="3"/>
      <c r="W184" s="1"/>
      <c r="X184" s="1"/>
    </row>
    <row r="185" ht="16.5" customHeight="1">
      <c r="A185" s="1"/>
      <c r="B185" s="45">
        <f t="shared" si="3"/>
        <v>177</v>
      </c>
      <c r="C185" s="93"/>
      <c r="D185" s="94"/>
      <c r="E185" s="94"/>
      <c r="F185" s="45"/>
      <c r="G185" s="57"/>
      <c r="H185" s="45"/>
      <c r="I185" s="45"/>
      <c r="J185" s="45"/>
      <c r="K185" s="45"/>
      <c r="L185" s="85"/>
      <c r="M185" s="86"/>
      <c r="N185" s="45"/>
      <c r="O185" s="45"/>
      <c r="P185" s="45"/>
      <c r="Q185" s="87"/>
      <c r="R185" s="95"/>
      <c r="S185" s="92"/>
      <c r="T185" s="107"/>
      <c r="U185" s="1"/>
      <c r="V185" s="3"/>
      <c r="W185" s="1"/>
      <c r="X185" s="1"/>
    </row>
    <row r="186" ht="30.0" customHeight="1">
      <c r="A186" s="1"/>
      <c r="B186" s="45">
        <f t="shared" si="3"/>
        <v>178</v>
      </c>
      <c r="C186" s="93"/>
      <c r="D186" s="94"/>
      <c r="E186" s="94"/>
      <c r="F186" s="45"/>
      <c r="G186" s="57"/>
      <c r="H186" s="45"/>
      <c r="I186" s="45"/>
      <c r="J186" s="45"/>
      <c r="K186" s="45"/>
      <c r="L186" s="85"/>
      <c r="M186" s="86"/>
      <c r="N186" s="45"/>
      <c r="O186" s="45"/>
      <c r="P186" s="45"/>
      <c r="Q186" s="87"/>
      <c r="R186" s="95"/>
      <c r="S186" s="92"/>
      <c r="T186" s="107"/>
      <c r="U186" s="1"/>
      <c r="V186" s="3"/>
      <c r="W186" s="1"/>
      <c r="X186" s="1"/>
    </row>
    <row r="187" ht="16.5" customHeight="1">
      <c r="A187" s="1"/>
      <c r="B187" s="45">
        <f t="shared" si="3"/>
        <v>179</v>
      </c>
      <c r="C187" s="93"/>
      <c r="D187" s="94"/>
      <c r="E187" s="94"/>
      <c r="F187" s="45"/>
      <c r="G187" s="57"/>
      <c r="H187" s="45"/>
      <c r="I187" s="45"/>
      <c r="J187" s="45"/>
      <c r="K187" s="45"/>
      <c r="L187" s="85"/>
      <c r="M187" s="86"/>
      <c r="N187" s="45"/>
      <c r="O187" s="45"/>
      <c r="P187" s="45"/>
      <c r="Q187" s="87"/>
      <c r="R187" s="95"/>
      <c r="S187" s="92"/>
      <c r="T187" s="107"/>
      <c r="U187" s="1"/>
      <c r="V187" s="3"/>
      <c r="W187" s="1"/>
      <c r="X187" s="1"/>
    </row>
    <row r="188" ht="30.0" customHeight="1">
      <c r="A188" s="1"/>
      <c r="B188" s="45">
        <f t="shared" si="3"/>
        <v>180</v>
      </c>
      <c r="C188" s="93"/>
      <c r="D188" s="94"/>
      <c r="E188" s="94"/>
      <c r="F188" s="45"/>
      <c r="G188" s="57"/>
      <c r="H188" s="45"/>
      <c r="I188" s="45"/>
      <c r="J188" s="45"/>
      <c r="K188" s="45"/>
      <c r="L188" s="85"/>
      <c r="M188" s="86"/>
      <c r="N188" s="45"/>
      <c r="O188" s="45"/>
      <c r="P188" s="45"/>
      <c r="Q188" s="87"/>
      <c r="R188" s="95"/>
      <c r="S188" s="92"/>
      <c r="T188" s="107"/>
      <c r="U188" s="1"/>
      <c r="V188" s="3"/>
      <c r="W188" s="1"/>
      <c r="X188" s="1"/>
    </row>
    <row r="189" ht="30.0" customHeight="1">
      <c r="A189" s="1"/>
      <c r="B189" s="45">
        <f t="shared" si="3"/>
        <v>181</v>
      </c>
      <c r="C189" s="93"/>
      <c r="D189" s="94"/>
      <c r="E189" s="94"/>
      <c r="F189" s="45"/>
      <c r="G189" s="57"/>
      <c r="H189" s="45"/>
      <c r="I189" s="45"/>
      <c r="J189" s="45"/>
      <c r="K189" s="45"/>
      <c r="L189" s="85"/>
      <c r="M189" s="86"/>
      <c r="N189" s="45"/>
      <c r="O189" s="45"/>
      <c r="P189" s="45"/>
      <c r="Q189" s="87"/>
      <c r="R189" s="95"/>
      <c r="S189" s="92"/>
      <c r="T189" s="107"/>
      <c r="U189" s="1"/>
      <c r="V189" s="3"/>
      <c r="W189" s="1"/>
      <c r="X189" s="1"/>
    </row>
    <row r="190" ht="30.0" customHeight="1">
      <c r="A190" s="1"/>
      <c r="B190" s="45">
        <f t="shared" si="3"/>
        <v>182</v>
      </c>
      <c r="C190" s="93"/>
      <c r="D190" s="94"/>
      <c r="E190" s="94"/>
      <c r="F190" s="45"/>
      <c r="G190" s="57"/>
      <c r="H190" s="45"/>
      <c r="I190" s="45"/>
      <c r="J190" s="94"/>
      <c r="K190" s="45"/>
      <c r="L190" s="85"/>
      <c r="M190" s="86"/>
      <c r="N190" s="45"/>
      <c r="O190" s="45"/>
      <c r="P190" s="45"/>
      <c r="Q190" s="87"/>
      <c r="R190" s="95"/>
      <c r="S190" s="92"/>
      <c r="T190" s="107"/>
      <c r="U190" s="1"/>
      <c r="V190" s="3"/>
      <c r="W190" s="1"/>
      <c r="X190" s="1"/>
    </row>
    <row r="191" ht="30.0" customHeight="1">
      <c r="A191" s="1"/>
      <c r="B191" s="45">
        <f t="shared" si="3"/>
        <v>183</v>
      </c>
      <c r="C191" s="93"/>
      <c r="D191" s="94"/>
      <c r="E191" s="94"/>
      <c r="F191" s="45"/>
      <c r="G191" s="57"/>
      <c r="H191" s="45"/>
      <c r="I191" s="45"/>
      <c r="J191" s="94"/>
      <c r="K191" s="45"/>
      <c r="L191" s="85"/>
      <c r="M191" s="86"/>
      <c r="N191" s="45"/>
      <c r="O191" s="45"/>
      <c r="P191" s="45"/>
      <c r="Q191" s="87"/>
      <c r="R191" s="95"/>
      <c r="S191" s="92"/>
      <c r="T191" s="107"/>
      <c r="U191" s="1"/>
      <c r="V191" s="3"/>
      <c r="W191" s="1"/>
      <c r="X191" s="1"/>
    </row>
    <row r="192" ht="30.0" customHeight="1">
      <c r="A192" s="1"/>
      <c r="B192" s="45">
        <f t="shared" si="3"/>
        <v>184</v>
      </c>
      <c r="C192" s="93"/>
      <c r="D192" s="94"/>
      <c r="E192" s="94"/>
      <c r="F192" s="45"/>
      <c r="G192" s="57"/>
      <c r="H192" s="45"/>
      <c r="I192" s="45"/>
      <c r="J192" s="94"/>
      <c r="K192" s="45"/>
      <c r="L192" s="85"/>
      <c r="M192" s="86"/>
      <c r="N192" s="45"/>
      <c r="O192" s="45"/>
      <c r="P192" s="45"/>
      <c r="Q192" s="87"/>
      <c r="R192" s="95"/>
      <c r="S192" s="92"/>
      <c r="T192" s="107"/>
      <c r="U192" s="1"/>
      <c r="V192" s="3"/>
      <c r="W192" s="1"/>
      <c r="X192" s="1"/>
    </row>
    <row r="193" ht="30.0" customHeight="1">
      <c r="A193" s="1"/>
      <c r="B193" s="45">
        <f t="shared" si="3"/>
        <v>185</v>
      </c>
      <c r="C193" s="93"/>
      <c r="D193" s="94"/>
      <c r="E193" s="94"/>
      <c r="F193" s="45"/>
      <c r="G193" s="57"/>
      <c r="H193" s="45"/>
      <c r="I193" s="45"/>
      <c r="J193" s="94"/>
      <c r="K193" s="45"/>
      <c r="L193" s="85"/>
      <c r="M193" s="86"/>
      <c r="N193" s="45"/>
      <c r="O193" s="45"/>
      <c r="P193" s="45"/>
      <c r="Q193" s="87"/>
      <c r="R193" s="95"/>
      <c r="S193" s="92"/>
      <c r="T193" s="107"/>
      <c r="U193" s="1"/>
      <c r="V193" s="3"/>
      <c r="W193" s="1"/>
      <c r="X193" s="1"/>
    </row>
    <row r="194" ht="24.75" customHeight="1">
      <c r="A194" s="1"/>
      <c r="B194" s="1"/>
      <c r="C194" s="1"/>
      <c r="D194" s="8"/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45"/>
      <c r="P194" s="1"/>
      <c r="Q194" s="1"/>
      <c r="R194" s="8"/>
      <c r="S194" s="1"/>
      <c r="T194" s="107"/>
      <c r="U194" s="1"/>
      <c r="V194" s="3"/>
      <c r="W194" s="1"/>
      <c r="X194" s="1"/>
    </row>
    <row r="195" ht="24.75" customHeight="1">
      <c r="A195" s="1"/>
      <c r="B195" s="1"/>
      <c r="C195" s="1"/>
      <c r="D195" s="8"/>
      <c r="E195" s="8"/>
      <c r="F195" s="1"/>
      <c r="G195" s="1"/>
      <c r="H195" s="1"/>
      <c r="I195" s="1"/>
      <c r="J195" s="1"/>
      <c r="K195" s="1"/>
      <c r="L195" s="1"/>
      <c r="M195" s="1"/>
      <c r="N195" s="1"/>
      <c r="O195" s="45"/>
      <c r="P195" s="1"/>
      <c r="Q195" s="1"/>
      <c r="R195" s="8"/>
      <c r="S195" s="1"/>
      <c r="T195" s="107"/>
      <c r="U195" s="1"/>
      <c r="V195" s="3"/>
      <c r="W195" s="1"/>
      <c r="X195" s="1"/>
    </row>
    <row r="196" ht="24.75" customHeight="1">
      <c r="A196" s="1"/>
      <c r="B196" s="1"/>
      <c r="C196" s="1"/>
      <c r="D196" s="8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45"/>
      <c r="P196" s="1"/>
      <c r="Q196" s="1"/>
      <c r="R196" s="8"/>
      <c r="S196" s="1"/>
      <c r="T196" s="107"/>
      <c r="U196" s="1"/>
      <c r="V196" s="3"/>
      <c r="W196" s="1"/>
      <c r="X196" s="1"/>
    </row>
    <row r="197" ht="24.75" customHeight="1">
      <c r="A197" s="1"/>
      <c r="B197" s="1"/>
      <c r="C197" s="1"/>
      <c r="D197" s="8"/>
      <c r="E197" s="8"/>
      <c r="F197" s="1"/>
      <c r="G197" s="1"/>
      <c r="H197" s="1"/>
      <c r="I197" s="1"/>
      <c r="J197" s="1"/>
      <c r="K197" s="1"/>
      <c r="L197" s="1"/>
      <c r="M197" s="1"/>
      <c r="N197" s="1"/>
      <c r="O197" s="45"/>
      <c r="P197" s="1"/>
      <c r="Q197" s="1"/>
      <c r="R197" s="8"/>
      <c r="S197" s="1"/>
      <c r="T197" s="107"/>
      <c r="U197" s="1"/>
      <c r="V197" s="3"/>
      <c r="W197" s="1"/>
      <c r="X197" s="1"/>
    </row>
    <row r="198" ht="24.75" customHeight="1">
      <c r="A198" s="1"/>
      <c r="B198" s="1"/>
      <c r="C198" s="1"/>
      <c r="D198" s="8"/>
      <c r="E198" s="8"/>
      <c r="F198" s="1"/>
      <c r="G198" s="1"/>
      <c r="H198" s="1"/>
      <c r="I198" s="1"/>
      <c r="J198" s="1"/>
      <c r="K198" s="1"/>
      <c r="L198" s="1"/>
      <c r="M198" s="1"/>
      <c r="N198" s="1"/>
      <c r="O198" s="45"/>
      <c r="P198" s="1"/>
      <c r="Q198" s="1"/>
      <c r="R198" s="8"/>
      <c r="S198" s="1"/>
      <c r="T198" s="107"/>
      <c r="U198" s="1"/>
      <c r="V198" s="3"/>
      <c r="W198" s="1"/>
      <c r="X198" s="1"/>
    </row>
    <row r="199" ht="24.75" customHeight="1">
      <c r="A199" s="1"/>
      <c r="B199" s="1"/>
      <c r="C199" s="1"/>
      <c r="D199" s="8"/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45"/>
      <c r="P199" s="1"/>
      <c r="Q199" s="1"/>
      <c r="R199" s="8"/>
      <c r="S199" s="1"/>
      <c r="T199" s="107"/>
      <c r="U199" s="1"/>
      <c r="V199" s="3"/>
      <c r="W199" s="1"/>
      <c r="X199" s="1"/>
    </row>
    <row r="200" ht="24.75" customHeight="1">
      <c r="A200" s="1"/>
      <c r="B200" s="1"/>
      <c r="C200" s="1"/>
      <c r="D200" s="8"/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45"/>
      <c r="P200" s="1"/>
      <c r="Q200" s="1"/>
      <c r="R200" s="8"/>
      <c r="S200" s="1"/>
      <c r="T200" s="107"/>
      <c r="U200" s="1"/>
      <c r="V200" s="3"/>
      <c r="W200" s="1"/>
      <c r="X200" s="1"/>
    </row>
    <row r="201" ht="24.75" customHeight="1">
      <c r="A201" s="1"/>
      <c r="B201" s="1"/>
      <c r="C201" s="1"/>
      <c r="D201" s="8"/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45"/>
      <c r="P201" s="1"/>
      <c r="Q201" s="1"/>
      <c r="R201" s="8"/>
      <c r="S201" s="1"/>
      <c r="T201" s="107"/>
      <c r="U201" s="1"/>
      <c r="V201" s="3"/>
      <c r="W201" s="1"/>
      <c r="X201" s="1"/>
    </row>
    <row r="202" ht="24.75" customHeight="1">
      <c r="A202" s="1"/>
      <c r="B202" s="1"/>
      <c r="C202" s="1"/>
      <c r="D202" s="8"/>
      <c r="E202" s="8"/>
      <c r="F202" s="1"/>
      <c r="G202" s="1"/>
      <c r="H202" s="1"/>
      <c r="I202" s="1"/>
      <c r="J202" s="1"/>
      <c r="K202" s="1"/>
      <c r="L202" s="1"/>
      <c r="M202" s="1"/>
      <c r="N202" s="1"/>
      <c r="O202" s="45"/>
      <c r="P202" s="1"/>
      <c r="Q202" s="1"/>
      <c r="R202" s="8"/>
      <c r="S202" s="1"/>
      <c r="T202" s="107"/>
      <c r="U202" s="1"/>
      <c r="V202" s="3"/>
      <c r="W202" s="1"/>
      <c r="X202" s="1"/>
    </row>
    <row r="203" ht="24.75" customHeight="1">
      <c r="A203" s="1"/>
      <c r="B203" s="1"/>
      <c r="C203" s="1"/>
      <c r="D203" s="8"/>
      <c r="E203" s="8"/>
      <c r="F203" s="1"/>
      <c r="G203" s="1"/>
      <c r="H203" s="1"/>
      <c r="I203" s="1"/>
      <c r="J203" s="1"/>
      <c r="K203" s="1"/>
      <c r="L203" s="1"/>
      <c r="M203" s="1"/>
      <c r="N203" s="1"/>
      <c r="O203" s="45"/>
      <c r="P203" s="1"/>
      <c r="Q203" s="1"/>
      <c r="R203" s="8"/>
      <c r="S203" s="1"/>
      <c r="T203" s="107"/>
      <c r="U203" s="1"/>
      <c r="V203" s="3"/>
      <c r="W203" s="1"/>
      <c r="X203" s="1"/>
    </row>
    <row r="204" ht="24.75" customHeight="1">
      <c r="A204" s="1"/>
      <c r="B204" s="1"/>
      <c r="C204" s="1"/>
      <c r="D204" s="8"/>
      <c r="E204" s="8"/>
      <c r="F204" s="1"/>
      <c r="G204" s="1"/>
      <c r="H204" s="1"/>
      <c r="I204" s="1"/>
      <c r="J204" s="1"/>
      <c r="K204" s="1"/>
      <c r="L204" s="1"/>
      <c r="M204" s="1"/>
      <c r="N204" s="1"/>
      <c r="O204" s="45"/>
      <c r="P204" s="1"/>
      <c r="Q204" s="1"/>
      <c r="R204" s="8"/>
      <c r="S204" s="1"/>
      <c r="T204" s="107"/>
      <c r="U204" s="1"/>
      <c r="V204" s="3"/>
      <c r="W204" s="1"/>
      <c r="X204" s="1"/>
    </row>
    <row r="205" ht="24.75" customHeight="1">
      <c r="A205" s="1"/>
      <c r="B205" s="1"/>
      <c r="C205" s="1"/>
      <c r="D205" s="8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45"/>
      <c r="P205" s="1"/>
      <c r="Q205" s="1"/>
      <c r="R205" s="8"/>
      <c r="S205" s="1"/>
      <c r="T205" s="107"/>
      <c r="U205" s="1"/>
      <c r="V205" s="3"/>
      <c r="W205" s="1"/>
      <c r="X205" s="1"/>
    </row>
    <row r="206" ht="24.75" customHeight="1">
      <c r="A206" s="1"/>
      <c r="B206" s="1"/>
      <c r="C206" s="1"/>
      <c r="D206" s="8"/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45"/>
      <c r="P206" s="1"/>
      <c r="Q206" s="1"/>
      <c r="R206" s="8"/>
      <c r="S206" s="1"/>
      <c r="T206" s="107"/>
      <c r="U206" s="1"/>
      <c r="V206" s="3"/>
      <c r="W206" s="1"/>
      <c r="X206" s="1"/>
    </row>
    <row r="207" ht="24.75" customHeight="1">
      <c r="A207" s="1"/>
      <c r="B207" s="1"/>
      <c r="C207" s="1"/>
      <c r="D207" s="8"/>
      <c r="E207" s="8"/>
      <c r="F207" s="1"/>
      <c r="G207" s="1"/>
      <c r="H207" s="1"/>
      <c r="I207" s="1"/>
      <c r="J207" s="1"/>
      <c r="K207" s="1"/>
      <c r="L207" s="1"/>
      <c r="M207" s="1"/>
      <c r="N207" s="1"/>
      <c r="O207" s="45"/>
      <c r="P207" s="1"/>
      <c r="Q207" s="1"/>
      <c r="R207" s="8"/>
      <c r="S207" s="1"/>
      <c r="T207" s="107"/>
      <c r="U207" s="1"/>
      <c r="V207" s="3"/>
      <c r="W207" s="1"/>
      <c r="X207" s="1"/>
    </row>
    <row r="208" ht="24.75" customHeight="1">
      <c r="A208" s="1"/>
      <c r="B208" s="1"/>
      <c r="C208" s="1"/>
      <c r="D208" s="8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45"/>
      <c r="P208" s="1"/>
      <c r="Q208" s="1"/>
      <c r="R208" s="8"/>
      <c r="S208" s="1"/>
      <c r="T208" s="107"/>
      <c r="U208" s="1"/>
      <c r="V208" s="3"/>
      <c r="W208" s="1"/>
      <c r="X208" s="1"/>
    </row>
    <row r="209" ht="24.75" customHeight="1">
      <c r="A209" s="1"/>
      <c r="B209" s="1"/>
      <c r="C209" s="1"/>
      <c r="D209" s="8"/>
      <c r="E209" s="8"/>
      <c r="F209" s="1"/>
      <c r="G209" s="1"/>
      <c r="H209" s="1"/>
      <c r="I209" s="1"/>
      <c r="J209" s="1"/>
      <c r="K209" s="1"/>
      <c r="L209" s="1"/>
      <c r="M209" s="1"/>
      <c r="N209" s="1"/>
      <c r="O209" s="45"/>
      <c r="P209" s="1"/>
      <c r="Q209" s="1"/>
      <c r="R209" s="8"/>
      <c r="S209" s="1"/>
      <c r="T209" s="107"/>
      <c r="U209" s="1"/>
      <c r="V209" s="3"/>
      <c r="W209" s="1"/>
      <c r="X209" s="1"/>
    </row>
    <row r="210" ht="24.75" customHeight="1">
      <c r="A210" s="1"/>
      <c r="B210" s="1"/>
      <c r="C210" s="1"/>
      <c r="D210" s="8"/>
      <c r="E210" s="8"/>
      <c r="F210" s="1"/>
      <c r="G210" s="1"/>
      <c r="H210" s="1"/>
      <c r="I210" s="1"/>
      <c r="J210" s="1"/>
      <c r="K210" s="1"/>
      <c r="L210" s="1"/>
      <c r="M210" s="1"/>
      <c r="N210" s="1"/>
      <c r="O210" s="45"/>
      <c r="P210" s="1"/>
      <c r="Q210" s="1"/>
      <c r="R210" s="8"/>
      <c r="S210" s="1"/>
      <c r="T210" s="107"/>
      <c r="U210" s="1"/>
      <c r="V210" s="3"/>
      <c r="W210" s="1"/>
      <c r="X210" s="1"/>
    </row>
    <row r="211" ht="24.75" customHeight="1">
      <c r="A211" s="1"/>
      <c r="B211" s="1"/>
      <c r="C211" s="1"/>
      <c r="D211" s="8"/>
      <c r="E211" s="8"/>
      <c r="F211" s="1"/>
      <c r="G211" s="1"/>
      <c r="H211" s="1"/>
      <c r="I211" s="1"/>
      <c r="J211" s="1"/>
      <c r="K211" s="1"/>
      <c r="L211" s="1"/>
      <c r="M211" s="1"/>
      <c r="N211" s="1"/>
      <c r="O211" s="45"/>
      <c r="P211" s="1"/>
      <c r="Q211" s="1"/>
      <c r="R211" s="8"/>
      <c r="S211" s="1"/>
      <c r="T211" s="107"/>
      <c r="U211" s="1"/>
      <c r="V211" s="3"/>
      <c r="W211" s="1"/>
      <c r="X211" s="1"/>
    </row>
    <row r="212" ht="24.75" customHeight="1">
      <c r="A212" s="1"/>
      <c r="B212" s="1"/>
      <c r="C212" s="1"/>
      <c r="D212" s="8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45"/>
      <c r="P212" s="1"/>
      <c r="Q212" s="1"/>
      <c r="R212" s="8"/>
      <c r="S212" s="1"/>
      <c r="T212" s="107"/>
      <c r="U212" s="1"/>
      <c r="V212" s="3"/>
      <c r="W212" s="1"/>
      <c r="X212" s="1"/>
    </row>
    <row r="213" ht="24.75" customHeight="1">
      <c r="A213" s="1"/>
      <c r="B213" s="1"/>
      <c r="C213" s="1"/>
      <c r="D213" s="8"/>
      <c r="E213" s="8"/>
      <c r="F213" s="1"/>
      <c r="G213" s="1"/>
      <c r="H213" s="1"/>
      <c r="I213" s="1"/>
      <c r="J213" s="1"/>
      <c r="K213" s="1"/>
      <c r="L213" s="1"/>
      <c r="M213" s="1"/>
      <c r="N213" s="1"/>
      <c r="O213" s="45"/>
      <c r="P213" s="1"/>
      <c r="Q213" s="1"/>
      <c r="R213" s="8"/>
      <c r="S213" s="1"/>
      <c r="T213" s="107"/>
      <c r="U213" s="1"/>
      <c r="V213" s="3"/>
      <c r="W213" s="1"/>
      <c r="X213" s="1"/>
    </row>
    <row r="214" ht="24.75" customHeight="1">
      <c r="A214" s="1"/>
      <c r="B214" s="1"/>
      <c r="C214" s="1"/>
      <c r="D214" s="8"/>
      <c r="E214" s="8"/>
      <c r="F214" s="1"/>
      <c r="G214" s="1"/>
      <c r="H214" s="1"/>
      <c r="I214" s="1"/>
      <c r="J214" s="1"/>
      <c r="K214" s="1"/>
      <c r="L214" s="1"/>
      <c r="M214" s="1"/>
      <c r="N214" s="1"/>
      <c r="O214" s="45"/>
      <c r="P214" s="1"/>
      <c r="Q214" s="1"/>
      <c r="R214" s="8"/>
      <c r="S214" s="1"/>
      <c r="T214" s="107"/>
      <c r="U214" s="1"/>
      <c r="V214" s="3"/>
      <c r="W214" s="1"/>
      <c r="X214" s="1"/>
    </row>
    <row r="215" ht="24.75" customHeight="1">
      <c r="A215" s="1"/>
      <c r="B215" s="1"/>
      <c r="C215" s="1"/>
      <c r="D215" s="8"/>
      <c r="E215" s="8"/>
      <c r="F215" s="1"/>
      <c r="G215" s="1"/>
      <c r="H215" s="1"/>
      <c r="I215" s="1"/>
      <c r="J215" s="1"/>
      <c r="K215" s="1"/>
      <c r="L215" s="1"/>
      <c r="M215" s="1"/>
      <c r="N215" s="1"/>
      <c r="O215" s="45"/>
      <c r="P215" s="1"/>
      <c r="Q215" s="1"/>
      <c r="R215" s="8"/>
      <c r="S215" s="1"/>
      <c r="T215" s="107"/>
      <c r="U215" s="1"/>
      <c r="V215" s="3"/>
      <c r="W215" s="1"/>
      <c r="X215" s="1"/>
    </row>
    <row r="216" ht="24.75" customHeight="1">
      <c r="A216" s="1"/>
      <c r="B216" s="1"/>
      <c r="C216" s="1"/>
      <c r="D216" s="8"/>
      <c r="E216" s="8"/>
      <c r="F216" s="1"/>
      <c r="G216" s="1"/>
      <c r="H216" s="1"/>
      <c r="I216" s="1"/>
      <c r="J216" s="1"/>
      <c r="K216" s="1"/>
      <c r="L216" s="1"/>
      <c r="M216" s="1"/>
      <c r="N216" s="1"/>
      <c r="O216" s="45"/>
      <c r="P216" s="1"/>
      <c r="Q216" s="1"/>
      <c r="R216" s="8"/>
      <c r="S216" s="1"/>
      <c r="T216" s="107"/>
      <c r="U216" s="1"/>
      <c r="V216" s="3"/>
      <c r="W216" s="1"/>
      <c r="X216" s="1"/>
    </row>
    <row r="217" ht="24.75" customHeight="1">
      <c r="A217" s="1"/>
      <c r="B217" s="1"/>
      <c r="C217" s="1"/>
      <c r="D217" s="8"/>
      <c r="E217" s="8"/>
      <c r="F217" s="1"/>
      <c r="G217" s="1"/>
      <c r="H217" s="1"/>
      <c r="I217" s="1"/>
      <c r="J217" s="1"/>
      <c r="K217" s="1"/>
      <c r="L217" s="1"/>
      <c r="M217" s="1"/>
      <c r="N217" s="1"/>
      <c r="O217" s="45"/>
      <c r="P217" s="1"/>
      <c r="Q217" s="1"/>
      <c r="R217" s="8"/>
      <c r="S217" s="1"/>
      <c r="T217" s="107"/>
      <c r="U217" s="1"/>
      <c r="V217" s="3"/>
      <c r="W217" s="1"/>
      <c r="X217" s="1"/>
    </row>
    <row r="218" ht="24.75" customHeight="1">
      <c r="A218" s="1"/>
      <c r="B218" s="1"/>
      <c r="C218" s="1"/>
      <c r="D218" s="8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45"/>
      <c r="P218" s="1"/>
      <c r="Q218" s="1"/>
      <c r="R218" s="8"/>
      <c r="S218" s="1"/>
      <c r="T218" s="107"/>
      <c r="U218" s="1"/>
      <c r="V218" s="3"/>
      <c r="W218" s="1"/>
      <c r="X218" s="1"/>
    </row>
    <row r="219" ht="24.75" customHeight="1">
      <c r="A219" s="1"/>
      <c r="B219" s="1"/>
      <c r="C219" s="1"/>
      <c r="D219" s="8"/>
      <c r="E219" s="8"/>
      <c r="F219" s="1"/>
      <c r="G219" s="1"/>
      <c r="H219" s="1"/>
      <c r="I219" s="1"/>
      <c r="J219" s="1"/>
      <c r="K219" s="1"/>
      <c r="L219" s="1"/>
      <c r="M219" s="1"/>
      <c r="N219" s="1"/>
      <c r="O219" s="45"/>
      <c r="P219" s="1"/>
      <c r="Q219" s="1"/>
      <c r="R219" s="8"/>
      <c r="S219" s="1"/>
      <c r="T219" s="107"/>
      <c r="U219" s="1"/>
      <c r="V219" s="3"/>
      <c r="W219" s="1"/>
      <c r="X219" s="1"/>
    </row>
    <row r="220" ht="24.75" customHeight="1">
      <c r="A220" s="1"/>
      <c r="B220" s="1"/>
      <c r="C220" s="1"/>
      <c r="D220" s="8"/>
      <c r="E220" s="8"/>
      <c r="F220" s="1"/>
      <c r="G220" s="1"/>
      <c r="H220" s="1"/>
      <c r="I220" s="1"/>
      <c r="J220" s="1"/>
      <c r="K220" s="1"/>
      <c r="L220" s="1"/>
      <c r="M220" s="1"/>
      <c r="N220" s="1"/>
      <c r="O220" s="45"/>
      <c r="P220" s="1"/>
      <c r="Q220" s="1"/>
      <c r="R220" s="8"/>
      <c r="S220" s="1"/>
      <c r="T220" s="107"/>
      <c r="U220" s="1"/>
      <c r="V220" s="3"/>
      <c r="W220" s="1"/>
      <c r="X220" s="1"/>
    </row>
    <row r="221" ht="24.75" customHeight="1">
      <c r="A221" s="1"/>
      <c r="B221" s="1"/>
      <c r="C221" s="1"/>
      <c r="D221" s="8"/>
      <c r="E221" s="8"/>
      <c r="F221" s="1"/>
      <c r="G221" s="1"/>
      <c r="H221" s="1"/>
      <c r="I221" s="1"/>
      <c r="J221" s="1"/>
      <c r="K221" s="1"/>
      <c r="L221" s="1"/>
      <c r="M221" s="1"/>
      <c r="N221" s="1"/>
      <c r="O221" s="45"/>
      <c r="P221" s="1"/>
      <c r="Q221" s="1"/>
      <c r="R221" s="8"/>
      <c r="S221" s="1"/>
      <c r="T221" s="107"/>
      <c r="U221" s="1"/>
      <c r="V221" s="3"/>
      <c r="W221" s="1"/>
      <c r="X221" s="1"/>
    </row>
    <row r="222" ht="24.75" customHeight="1">
      <c r="A222" s="1"/>
      <c r="B222" s="1"/>
      <c r="C222" s="1"/>
      <c r="D222" s="8"/>
      <c r="E222" s="8"/>
      <c r="F222" s="1"/>
      <c r="G222" s="1"/>
      <c r="H222" s="1"/>
      <c r="I222" s="1"/>
      <c r="J222" s="1"/>
      <c r="K222" s="1"/>
      <c r="L222" s="1"/>
      <c r="M222" s="1"/>
      <c r="N222" s="1"/>
      <c r="O222" s="45"/>
      <c r="P222" s="1"/>
      <c r="Q222" s="1"/>
      <c r="R222" s="8"/>
      <c r="S222" s="1"/>
      <c r="T222" s="107"/>
      <c r="U222" s="1"/>
      <c r="V222" s="3"/>
      <c r="W222" s="1"/>
      <c r="X222" s="1"/>
    </row>
    <row r="223" ht="24.75" customHeight="1">
      <c r="A223" s="1"/>
      <c r="B223" s="1"/>
      <c r="C223" s="1"/>
      <c r="D223" s="8"/>
      <c r="E223" s="8"/>
      <c r="F223" s="1"/>
      <c r="G223" s="1"/>
      <c r="H223" s="1"/>
      <c r="I223" s="1"/>
      <c r="J223" s="1"/>
      <c r="K223" s="1"/>
      <c r="L223" s="1"/>
      <c r="M223" s="1"/>
      <c r="N223" s="1"/>
      <c r="O223" s="45"/>
      <c r="P223" s="1"/>
      <c r="Q223" s="1"/>
      <c r="R223" s="8"/>
      <c r="S223" s="1"/>
      <c r="T223" s="107"/>
      <c r="U223" s="1"/>
      <c r="V223" s="3"/>
      <c r="W223" s="1"/>
      <c r="X223" s="1"/>
    </row>
    <row r="224" ht="16.5" customHeight="1">
      <c r="A224" s="1"/>
      <c r="B224" s="1"/>
      <c r="C224" s="1"/>
      <c r="D224" s="8"/>
      <c r="E224" s="8"/>
      <c r="F224" s="1"/>
      <c r="G224" s="1"/>
      <c r="H224" s="1"/>
      <c r="I224" s="1"/>
      <c r="J224" s="1"/>
      <c r="K224" s="1"/>
      <c r="L224" s="1"/>
      <c r="M224" s="1"/>
      <c r="N224" s="1"/>
      <c r="O224" s="45"/>
      <c r="P224" s="1"/>
      <c r="Q224" s="1"/>
      <c r="R224" s="8"/>
      <c r="S224" s="1"/>
      <c r="T224" s="107"/>
      <c r="U224" s="1"/>
      <c r="V224" s="3"/>
      <c r="W224" s="1"/>
      <c r="X224" s="1"/>
    </row>
    <row r="225" ht="16.5" customHeight="1">
      <c r="A225" s="1"/>
      <c r="B225" s="1"/>
      <c r="C225" s="1"/>
      <c r="D225" s="8"/>
      <c r="E225" s="8"/>
      <c r="F225" s="1"/>
      <c r="G225" s="1"/>
      <c r="H225" s="1"/>
      <c r="I225" s="1"/>
      <c r="J225" s="1"/>
      <c r="K225" s="1"/>
      <c r="L225" s="1"/>
      <c r="M225" s="1"/>
      <c r="N225" s="1"/>
      <c r="O225" s="45"/>
      <c r="P225" s="1"/>
      <c r="Q225" s="1"/>
      <c r="R225" s="8"/>
      <c r="S225" s="1"/>
      <c r="T225" s="107"/>
      <c r="U225" s="1"/>
      <c r="V225" s="3"/>
      <c r="W225" s="1"/>
      <c r="X225" s="1"/>
    </row>
    <row r="226" ht="16.5" customHeight="1">
      <c r="A226" s="1"/>
      <c r="B226" s="1"/>
      <c r="C226" s="1"/>
      <c r="D226" s="8"/>
      <c r="E226" s="8"/>
      <c r="F226" s="1"/>
      <c r="G226" s="1"/>
      <c r="H226" s="1"/>
      <c r="I226" s="1"/>
      <c r="J226" s="1"/>
      <c r="K226" s="1"/>
      <c r="L226" s="1"/>
      <c r="M226" s="1"/>
      <c r="N226" s="1"/>
      <c r="O226" s="45"/>
      <c r="P226" s="1"/>
      <c r="Q226" s="1"/>
      <c r="R226" s="8"/>
      <c r="S226" s="1"/>
      <c r="T226" s="107"/>
      <c r="U226" s="1"/>
      <c r="V226" s="3"/>
      <c r="W226" s="1"/>
      <c r="X226" s="1"/>
    </row>
    <row r="227" ht="16.5" customHeight="1">
      <c r="A227" s="1"/>
      <c r="B227" s="1"/>
      <c r="C227" s="1"/>
      <c r="D227" s="8"/>
      <c r="E227" s="8"/>
      <c r="F227" s="1"/>
      <c r="G227" s="1"/>
      <c r="H227" s="1"/>
      <c r="I227" s="1"/>
      <c r="J227" s="1"/>
      <c r="K227" s="1"/>
      <c r="L227" s="1"/>
      <c r="M227" s="1"/>
      <c r="N227" s="1"/>
      <c r="O227" s="45"/>
      <c r="P227" s="1"/>
      <c r="Q227" s="1"/>
      <c r="R227" s="8"/>
      <c r="S227" s="1"/>
      <c r="T227" s="107"/>
      <c r="U227" s="1"/>
      <c r="V227" s="3"/>
      <c r="W227" s="1"/>
      <c r="X227" s="1"/>
    </row>
    <row r="228" ht="16.5" customHeight="1">
      <c r="A228" s="1"/>
      <c r="B228" s="1"/>
      <c r="C228" s="1"/>
      <c r="D228" s="8"/>
      <c r="E228" s="8"/>
      <c r="F228" s="1"/>
      <c r="G228" s="1"/>
      <c r="H228" s="1"/>
      <c r="I228" s="1"/>
      <c r="J228" s="1"/>
      <c r="K228" s="1"/>
      <c r="L228" s="1"/>
      <c r="M228" s="1"/>
      <c r="N228" s="1"/>
      <c r="O228" s="45"/>
      <c r="P228" s="1"/>
      <c r="Q228" s="1"/>
      <c r="R228" s="8"/>
      <c r="S228" s="1"/>
      <c r="T228" s="107"/>
      <c r="U228" s="1"/>
      <c r="V228" s="3"/>
      <c r="W228" s="1"/>
      <c r="X228" s="1"/>
    </row>
    <row r="229" ht="16.5" customHeight="1">
      <c r="A229" s="1"/>
      <c r="B229" s="1"/>
      <c r="C229" s="1"/>
      <c r="D229" s="8"/>
      <c r="E229" s="8"/>
      <c r="F229" s="1"/>
      <c r="G229" s="1"/>
      <c r="H229" s="1"/>
      <c r="I229" s="1"/>
      <c r="J229" s="1"/>
      <c r="K229" s="1"/>
      <c r="L229" s="1"/>
      <c r="M229" s="1"/>
      <c r="N229" s="1"/>
      <c r="O229" s="45"/>
      <c r="P229" s="1"/>
      <c r="Q229" s="1"/>
      <c r="R229" s="8"/>
      <c r="S229" s="1"/>
      <c r="T229" s="107"/>
      <c r="U229" s="1"/>
      <c r="V229" s="3"/>
      <c r="W229" s="1"/>
      <c r="X229" s="1"/>
    </row>
    <row r="230" ht="16.5" customHeight="1">
      <c r="A230" s="1"/>
      <c r="B230" s="1"/>
      <c r="C230" s="1"/>
      <c r="D230" s="8"/>
      <c r="E230" s="8"/>
      <c r="F230" s="1"/>
      <c r="G230" s="1"/>
      <c r="H230" s="1"/>
      <c r="I230" s="1"/>
      <c r="J230" s="1"/>
      <c r="K230" s="1"/>
      <c r="L230" s="1"/>
      <c r="M230" s="1"/>
      <c r="N230" s="1"/>
      <c r="O230" s="45"/>
      <c r="P230" s="1"/>
      <c r="Q230" s="1"/>
      <c r="R230" s="8"/>
      <c r="S230" s="1"/>
      <c r="T230" s="107"/>
      <c r="U230" s="1"/>
      <c r="V230" s="3"/>
      <c r="W230" s="1"/>
      <c r="X230" s="1"/>
    </row>
    <row r="231" ht="16.5" customHeight="1">
      <c r="A231" s="1"/>
      <c r="B231" s="1"/>
      <c r="C231" s="1"/>
      <c r="D231" s="8"/>
      <c r="E231" s="8"/>
      <c r="F231" s="1"/>
      <c r="G231" s="1"/>
      <c r="H231" s="1"/>
      <c r="I231" s="1"/>
      <c r="J231" s="1"/>
      <c r="K231" s="1"/>
      <c r="L231" s="1"/>
      <c r="M231" s="1"/>
      <c r="N231" s="1"/>
      <c r="O231" s="45"/>
      <c r="P231" s="1"/>
      <c r="Q231" s="1"/>
      <c r="R231" s="8"/>
      <c r="S231" s="1"/>
      <c r="T231" s="107"/>
      <c r="U231" s="1"/>
      <c r="V231" s="3"/>
      <c r="W231" s="1"/>
      <c r="X231" s="1"/>
    </row>
    <row r="232" ht="16.5" customHeight="1">
      <c r="A232" s="1"/>
      <c r="B232" s="1"/>
      <c r="C232" s="1"/>
      <c r="D232" s="8"/>
      <c r="E232" s="8"/>
      <c r="F232" s="1"/>
      <c r="G232" s="1"/>
      <c r="H232" s="1"/>
      <c r="I232" s="1"/>
      <c r="J232" s="1"/>
      <c r="K232" s="1"/>
      <c r="L232" s="1"/>
      <c r="M232" s="1"/>
      <c r="N232" s="1"/>
      <c r="O232" s="45"/>
      <c r="P232" s="1"/>
      <c r="Q232" s="1"/>
      <c r="R232" s="8"/>
      <c r="S232" s="1"/>
      <c r="T232" s="107"/>
      <c r="U232" s="1"/>
      <c r="V232" s="3"/>
      <c r="W232" s="1"/>
      <c r="X232" s="1"/>
    </row>
    <row r="233" ht="16.5" customHeight="1">
      <c r="A233" s="1"/>
      <c r="B233" s="1"/>
      <c r="C233" s="1"/>
      <c r="D233" s="8"/>
      <c r="E233" s="8"/>
      <c r="F233" s="1"/>
      <c r="G233" s="1"/>
      <c r="H233" s="1"/>
      <c r="I233" s="1"/>
      <c r="J233" s="1"/>
      <c r="K233" s="1"/>
      <c r="L233" s="1"/>
      <c r="M233" s="1"/>
      <c r="N233" s="1"/>
      <c r="O233" s="45"/>
      <c r="P233" s="1"/>
      <c r="Q233" s="1"/>
      <c r="R233" s="8"/>
      <c r="S233" s="1"/>
      <c r="T233" s="107"/>
      <c r="U233" s="1"/>
      <c r="V233" s="3"/>
      <c r="W233" s="1"/>
      <c r="X233" s="1"/>
    </row>
    <row r="234" ht="16.5" customHeight="1">
      <c r="A234" s="1"/>
      <c r="B234" s="1"/>
      <c r="C234" s="1"/>
      <c r="D234" s="8"/>
      <c r="E234" s="8"/>
      <c r="F234" s="1"/>
      <c r="G234" s="1"/>
      <c r="H234" s="1"/>
      <c r="I234" s="1"/>
      <c r="J234" s="1"/>
      <c r="K234" s="1"/>
      <c r="L234" s="1"/>
      <c r="M234" s="1"/>
      <c r="N234" s="1"/>
      <c r="O234" s="45"/>
      <c r="P234" s="1"/>
      <c r="Q234" s="1"/>
      <c r="R234" s="8"/>
      <c r="S234" s="1"/>
      <c r="T234" s="107"/>
      <c r="U234" s="1"/>
      <c r="V234" s="3"/>
      <c r="W234" s="1"/>
      <c r="X234" s="1"/>
    </row>
    <row r="235" ht="16.5" customHeight="1">
      <c r="A235" s="1"/>
      <c r="B235" s="1"/>
      <c r="C235" s="1"/>
      <c r="D235" s="8"/>
      <c r="E235" s="8"/>
      <c r="F235" s="1"/>
      <c r="G235" s="1"/>
      <c r="H235" s="1"/>
      <c r="I235" s="1"/>
      <c r="J235" s="1"/>
      <c r="K235" s="1"/>
      <c r="L235" s="1"/>
      <c r="M235" s="1"/>
      <c r="N235" s="1"/>
      <c r="O235" s="45"/>
      <c r="P235" s="1"/>
      <c r="Q235" s="1"/>
      <c r="R235" s="8"/>
      <c r="S235" s="1"/>
      <c r="T235" s="107"/>
      <c r="U235" s="1"/>
      <c r="V235" s="3"/>
      <c r="W235" s="1"/>
      <c r="X235" s="1"/>
    </row>
    <row r="236" ht="16.5" customHeight="1">
      <c r="A236" s="1"/>
      <c r="B236" s="1"/>
      <c r="C236" s="1"/>
      <c r="D236" s="8"/>
      <c r="E236" s="8"/>
      <c r="F236" s="1"/>
      <c r="G236" s="1"/>
      <c r="H236" s="1"/>
      <c r="I236" s="1"/>
      <c r="J236" s="1"/>
      <c r="K236" s="1"/>
      <c r="L236" s="1"/>
      <c r="M236" s="1"/>
      <c r="N236" s="1"/>
      <c r="O236" s="45"/>
      <c r="P236" s="1"/>
      <c r="Q236" s="1"/>
      <c r="R236" s="8"/>
      <c r="S236" s="1"/>
      <c r="T236" s="107"/>
      <c r="U236" s="1"/>
      <c r="V236" s="3"/>
      <c r="W236" s="1"/>
      <c r="X236" s="1"/>
    </row>
    <row r="237" ht="16.5" customHeight="1">
      <c r="A237" s="1"/>
      <c r="B237" s="1"/>
      <c r="C237" s="1"/>
      <c r="D237" s="8"/>
      <c r="E237" s="8"/>
      <c r="F237" s="1"/>
      <c r="G237" s="1"/>
      <c r="H237" s="1"/>
      <c r="I237" s="1"/>
      <c r="J237" s="1"/>
      <c r="K237" s="1"/>
      <c r="L237" s="1"/>
      <c r="M237" s="1"/>
      <c r="N237" s="1"/>
      <c r="O237" s="45"/>
      <c r="P237" s="1"/>
      <c r="Q237" s="1"/>
      <c r="R237" s="8"/>
      <c r="S237" s="1"/>
      <c r="T237" s="107"/>
      <c r="U237" s="1"/>
      <c r="V237" s="3"/>
      <c r="W237" s="1"/>
      <c r="X237" s="1"/>
    </row>
    <row r="238" ht="16.5" customHeight="1">
      <c r="A238" s="1"/>
      <c r="B238" s="1"/>
      <c r="C238" s="1"/>
      <c r="D238" s="8"/>
      <c r="E238" s="8"/>
      <c r="F238" s="1"/>
      <c r="G238" s="1"/>
      <c r="H238" s="1"/>
      <c r="I238" s="1"/>
      <c r="J238" s="1"/>
      <c r="K238" s="1"/>
      <c r="L238" s="1"/>
      <c r="M238" s="1"/>
      <c r="N238" s="1"/>
      <c r="O238" s="45"/>
      <c r="P238" s="1"/>
      <c r="Q238" s="1"/>
      <c r="R238" s="8"/>
      <c r="S238" s="1"/>
      <c r="T238" s="107"/>
      <c r="U238" s="1"/>
      <c r="V238" s="3"/>
      <c r="W238" s="1"/>
      <c r="X238" s="1"/>
    </row>
    <row r="239" ht="16.5" customHeight="1">
      <c r="A239" s="1"/>
      <c r="B239" s="1"/>
      <c r="C239" s="1"/>
      <c r="D239" s="8"/>
      <c r="E239" s="8"/>
      <c r="F239" s="1"/>
      <c r="G239" s="1"/>
      <c r="H239" s="1"/>
      <c r="I239" s="1"/>
      <c r="J239" s="1"/>
      <c r="K239" s="1"/>
      <c r="L239" s="1"/>
      <c r="M239" s="1"/>
      <c r="N239" s="1"/>
      <c r="O239" s="45"/>
      <c r="P239" s="1"/>
      <c r="Q239" s="1"/>
      <c r="R239" s="8"/>
      <c r="S239" s="1"/>
      <c r="T239" s="107"/>
      <c r="U239" s="1"/>
      <c r="V239" s="3"/>
      <c r="W239" s="1"/>
      <c r="X239" s="1"/>
    </row>
    <row r="240" ht="16.5" customHeight="1">
      <c r="A240" s="1"/>
      <c r="B240" s="1"/>
      <c r="C240" s="1"/>
      <c r="D240" s="8"/>
      <c r="E240" s="8"/>
      <c r="F240" s="1"/>
      <c r="G240" s="1"/>
      <c r="H240" s="1"/>
      <c r="I240" s="1"/>
      <c r="J240" s="1"/>
      <c r="K240" s="1"/>
      <c r="L240" s="1"/>
      <c r="M240" s="1"/>
      <c r="N240" s="1"/>
      <c r="O240" s="45"/>
      <c r="P240" s="1"/>
      <c r="Q240" s="1"/>
      <c r="R240" s="8"/>
      <c r="S240" s="1"/>
      <c r="T240" s="107"/>
      <c r="U240" s="1"/>
      <c r="V240" s="3"/>
      <c r="W240" s="1"/>
      <c r="X240" s="1"/>
    </row>
    <row r="241" ht="16.5" customHeight="1">
      <c r="A241" s="1"/>
      <c r="B241" s="1"/>
      <c r="C241" s="1"/>
      <c r="D241" s="8"/>
      <c r="E241" s="8"/>
      <c r="F241" s="1"/>
      <c r="G241" s="1"/>
      <c r="H241" s="1"/>
      <c r="I241" s="1"/>
      <c r="J241" s="1"/>
      <c r="K241" s="1"/>
      <c r="L241" s="1"/>
      <c r="M241" s="1"/>
      <c r="N241" s="1"/>
      <c r="O241" s="45"/>
      <c r="P241" s="1"/>
      <c r="Q241" s="1"/>
      <c r="R241" s="8"/>
      <c r="S241" s="1"/>
      <c r="T241" s="107"/>
      <c r="U241" s="1"/>
      <c r="V241" s="3"/>
      <c r="W241" s="1"/>
      <c r="X241" s="1"/>
    </row>
    <row r="242" ht="16.5" customHeight="1">
      <c r="A242" s="1"/>
      <c r="B242" s="1"/>
      <c r="C242" s="1"/>
      <c r="D242" s="8"/>
      <c r="E242" s="8"/>
      <c r="F242" s="1"/>
      <c r="G242" s="1"/>
      <c r="H242" s="1"/>
      <c r="I242" s="1"/>
      <c r="J242" s="1"/>
      <c r="K242" s="1"/>
      <c r="L242" s="1"/>
      <c r="M242" s="1"/>
      <c r="N242" s="1"/>
      <c r="O242" s="45"/>
      <c r="P242" s="1"/>
      <c r="Q242" s="1"/>
      <c r="R242" s="8"/>
      <c r="S242" s="1"/>
      <c r="T242" s="107"/>
      <c r="U242" s="1"/>
      <c r="V242" s="3"/>
      <c r="W242" s="1"/>
      <c r="X242" s="1"/>
    </row>
    <row r="243" ht="16.5" customHeight="1">
      <c r="A243" s="1"/>
      <c r="B243" s="1"/>
      <c r="C243" s="1"/>
      <c r="D243" s="8"/>
      <c r="E243" s="8"/>
      <c r="F243" s="1"/>
      <c r="G243" s="1"/>
      <c r="H243" s="1"/>
      <c r="I243" s="1"/>
      <c r="J243" s="1"/>
      <c r="K243" s="1"/>
      <c r="L243" s="1"/>
      <c r="M243" s="1"/>
      <c r="N243" s="1"/>
      <c r="O243" s="45"/>
      <c r="P243" s="1"/>
      <c r="Q243" s="1"/>
      <c r="R243" s="8"/>
      <c r="S243" s="1"/>
      <c r="T243" s="107"/>
      <c r="U243" s="1"/>
      <c r="V243" s="3"/>
      <c r="W243" s="1"/>
      <c r="X243" s="1"/>
    </row>
    <row r="244" ht="16.5" customHeight="1">
      <c r="A244" s="1"/>
      <c r="B244" s="1"/>
      <c r="C244" s="1"/>
      <c r="D244" s="8"/>
      <c r="E244" s="8"/>
      <c r="F244" s="1"/>
      <c r="G244" s="1"/>
      <c r="H244" s="1"/>
      <c r="I244" s="1"/>
      <c r="J244" s="1"/>
      <c r="K244" s="1"/>
      <c r="L244" s="1"/>
      <c r="M244" s="1"/>
      <c r="N244" s="1"/>
      <c r="O244" s="45"/>
      <c r="P244" s="1"/>
      <c r="Q244" s="1"/>
      <c r="R244" s="8"/>
      <c r="S244" s="1"/>
      <c r="T244" s="107"/>
      <c r="U244" s="1"/>
      <c r="V244" s="3"/>
      <c r="W244" s="1"/>
      <c r="X244" s="1"/>
    </row>
    <row r="245" ht="16.5" customHeight="1">
      <c r="A245" s="1"/>
      <c r="B245" s="1"/>
      <c r="C245" s="1"/>
      <c r="D245" s="8"/>
      <c r="E245" s="8"/>
      <c r="F245" s="1"/>
      <c r="G245" s="1"/>
      <c r="H245" s="1"/>
      <c r="I245" s="1"/>
      <c r="J245" s="1"/>
      <c r="K245" s="1"/>
      <c r="L245" s="1"/>
      <c r="M245" s="1"/>
      <c r="N245" s="1"/>
      <c r="O245" s="45"/>
      <c r="P245" s="1"/>
      <c r="Q245" s="1"/>
      <c r="R245" s="8"/>
      <c r="S245" s="1"/>
      <c r="T245" s="107"/>
      <c r="U245" s="1"/>
      <c r="V245" s="3"/>
      <c r="W245" s="1"/>
      <c r="X245" s="1"/>
    </row>
    <row r="246" ht="16.5" customHeight="1">
      <c r="A246" s="1"/>
      <c r="B246" s="1"/>
      <c r="C246" s="1"/>
      <c r="D246" s="8"/>
      <c r="E246" s="8"/>
      <c r="F246" s="1"/>
      <c r="G246" s="1"/>
      <c r="H246" s="1"/>
      <c r="I246" s="1"/>
      <c r="J246" s="1"/>
      <c r="K246" s="1"/>
      <c r="L246" s="1"/>
      <c r="M246" s="1"/>
      <c r="N246" s="1"/>
      <c r="O246" s="45"/>
      <c r="P246" s="1"/>
      <c r="Q246" s="1"/>
      <c r="R246" s="8"/>
      <c r="S246" s="1"/>
      <c r="T246" s="107"/>
      <c r="U246" s="1"/>
      <c r="V246" s="3"/>
      <c r="W246" s="1"/>
      <c r="X246" s="1"/>
    </row>
    <row r="247" ht="16.5" customHeight="1">
      <c r="A247" s="1"/>
      <c r="B247" s="1"/>
      <c r="C247" s="1"/>
      <c r="D247" s="8"/>
      <c r="E247" s="8"/>
      <c r="F247" s="1"/>
      <c r="G247" s="1"/>
      <c r="H247" s="1"/>
      <c r="I247" s="1"/>
      <c r="J247" s="1"/>
      <c r="K247" s="1"/>
      <c r="L247" s="1"/>
      <c r="M247" s="1"/>
      <c r="N247" s="1"/>
      <c r="O247" s="45"/>
      <c r="P247" s="1"/>
      <c r="Q247" s="1"/>
      <c r="R247" s="8"/>
      <c r="S247" s="1"/>
      <c r="T247" s="107"/>
      <c r="U247" s="1"/>
      <c r="V247" s="3"/>
      <c r="W247" s="1"/>
      <c r="X247" s="1"/>
    </row>
    <row r="248" ht="16.5" customHeight="1">
      <c r="A248" s="1"/>
      <c r="B248" s="1"/>
      <c r="C248" s="1"/>
      <c r="D248" s="8"/>
      <c r="E248" s="8"/>
      <c r="F248" s="1"/>
      <c r="G248" s="1"/>
      <c r="H248" s="1"/>
      <c r="I248" s="1"/>
      <c r="J248" s="1"/>
      <c r="K248" s="1"/>
      <c r="L248" s="1"/>
      <c r="M248" s="1"/>
      <c r="N248" s="1"/>
      <c r="O248" s="45"/>
      <c r="P248" s="1"/>
      <c r="Q248" s="1"/>
      <c r="R248" s="8"/>
      <c r="S248" s="1"/>
      <c r="T248" s="107"/>
      <c r="U248" s="1"/>
      <c r="V248" s="3"/>
      <c r="W248" s="1"/>
      <c r="X248" s="1"/>
    </row>
    <row r="249" ht="16.5" customHeight="1">
      <c r="A249" s="1"/>
      <c r="B249" s="1"/>
      <c r="C249" s="1"/>
      <c r="D249" s="8"/>
      <c r="E249" s="8"/>
      <c r="F249" s="1"/>
      <c r="G249" s="1"/>
      <c r="H249" s="1"/>
      <c r="I249" s="1"/>
      <c r="J249" s="1"/>
      <c r="K249" s="1"/>
      <c r="L249" s="1"/>
      <c r="M249" s="1"/>
      <c r="N249" s="1"/>
      <c r="O249" s="45"/>
      <c r="P249" s="1"/>
      <c r="Q249" s="1"/>
      <c r="R249" s="8"/>
      <c r="S249" s="1"/>
      <c r="T249" s="107"/>
      <c r="U249" s="1"/>
      <c r="V249" s="3"/>
      <c r="W249" s="1"/>
      <c r="X249" s="1"/>
    </row>
    <row r="250" ht="16.5" customHeight="1">
      <c r="A250" s="1"/>
      <c r="B250" s="1"/>
      <c r="C250" s="1"/>
      <c r="D250" s="8"/>
      <c r="E250" s="8"/>
      <c r="F250" s="1"/>
      <c r="G250" s="1"/>
      <c r="H250" s="1"/>
      <c r="I250" s="1"/>
      <c r="J250" s="1"/>
      <c r="K250" s="1"/>
      <c r="L250" s="1"/>
      <c r="M250" s="1"/>
      <c r="N250" s="1"/>
      <c r="O250" s="45"/>
      <c r="P250" s="1"/>
      <c r="Q250" s="1"/>
      <c r="R250" s="8"/>
      <c r="S250" s="1"/>
      <c r="T250" s="107"/>
      <c r="U250" s="1"/>
      <c r="V250" s="3"/>
      <c r="W250" s="1"/>
      <c r="X250" s="1"/>
    </row>
    <row r="251" ht="16.5" customHeight="1">
      <c r="A251" s="1"/>
      <c r="B251" s="1"/>
      <c r="C251" s="1"/>
      <c r="D251" s="8"/>
      <c r="E251" s="8"/>
      <c r="F251" s="1"/>
      <c r="G251" s="1"/>
      <c r="H251" s="1"/>
      <c r="I251" s="1"/>
      <c r="J251" s="1"/>
      <c r="K251" s="1"/>
      <c r="L251" s="1"/>
      <c r="M251" s="1"/>
      <c r="N251" s="1"/>
      <c r="O251" s="45"/>
      <c r="P251" s="1"/>
      <c r="Q251" s="1"/>
      <c r="R251" s="8"/>
      <c r="S251" s="1"/>
      <c r="T251" s="107"/>
      <c r="U251" s="1"/>
      <c r="V251" s="3"/>
      <c r="W251" s="1"/>
      <c r="X251" s="1"/>
    </row>
    <row r="252" ht="16.5" customHeight="1">
      <c r="A252" s="1"/>
      <c r="B252" s="1"/>
      <c r="C252" s="1"/>
      <c r="D252" s="8"/>
      <c r="E252" s="8"/>
      <c r="F252" s="1"/>
      <c r="G252" s="1"/>
      <c r="H252" s="1"/>
      <c r="I252" s="1"/>
      <c r="J252" s="1"/>
      <c r="K252" s="1"/>
      <c r="L252" s="1"/>
      <c r="M252" s="1"/>
      <c r="N252" s="1"/>
      <c r="O252" s="45"/>
      <c r="P252" s="1"/>
      <c r="Q252" s="1"/>
      <c r="R252" s="8"/>
      <c r="S252" s="1"/>
      <c r="T252" s="107"/>
      <c r="U252" s="1"/>
      <c r="V252" s="3"/>
      <c r="W252" s="1"/>
      <c r="X252" s="1"/>
    </row>
    <row r="253" ht="16.5" customHeight="1">
      <c r="A253" s="1"/>
      <c r="B253" s="1"/>
      <c r="C253" s="1"/>
      <c r="D253" s="8"/>
      <c r="E253" s="8"/>
      <c r="F253" s="1"/>
      <c r="G253" s="1"/>
      <c r="H253" s="1"/>
      <c r="I253" s="1"/>
      <c r="J253" s="1"/>
      <c r="K253" s="1"/>
      <c r="L253" s="1"/>
      <c r="M253" s="1"/>
      <c r="N253" s="1"/>
      <c r="O253" s="45"/>
      <c r="P253" s="1"/>
      <c r="Q253" s="1"/>
      <c r="R253" s="8"/>
      <c r="S253" s="1"/>
      <c r="T253" s="107"/>
      <c r="U253" s="1"/>
      <c r="V253" s="3"/>
      <c r="W253" s="1"/>
      <c r="X253" s="1"/>
    </row>
    <row r="254" ht="16.5" customHeight="1">
      <c r="A254" s="1"/>
      <c r="B254" s="1"/>
      <c r="C254" s="1"/>
      <c r="D254" s="8"/>
      <c r="E254" s="8"/>
      <c r="F254" s="1"/>
      <c r="G254" s="1"/>
      <c r="H254" s="1"/>
      <c r="I254" s="1"/>
      <c r="J254" s="1"/>
      <c r="K254" s="1"/>
      <c r="L254" s="1"/>
      <c r="M254" s="1"/>
      <c r="N254" s="1"/>
      <c r="O254" s="45"/>
      <c r="P254" s="1"/>
      <c r="Q254" s="1"/>
      <c r="R254" s="8"/>
      <c r="S254" s="1"/>
      <c r="T254" s="107"/>
      <c r="U254" s="1"/>
      <c r="V254" s="3"/>
      <c r="W254" s="1"/>
      <c r="X254" s="1"/>
    </row>
    <row r="255" ht="16.5" customHeight="1">
      <c r="A255" s="1"/>
      <c r="B255" s="1"/>
      <c r="C255" s="1"/>
      <c r="D255" s="8"/>
      <c r="E255" s="8"/>
      <c r="F255" s="1"/>
      <c r="G255" s="1"/>
      <c r="H255" s="1"/>
      <c r="I255" s="1"/>
      <c r="J255" s="1"/>
      <c r="K255" s="1"/>
      <c r="L255" s="1"/>
      <c r="M255" s="1"/>
      <c r="N255" s="1"/>
      <c r="O255" s="45"/>
      <c r="P255" s="1"/>
      <c r="Q255" s="1"/>
      <c r="R255" s="8"/>
      <c r="S255" s="1"/>
      <c r="T255" s="107"/>
      <c r="U255" s="1"/>
      <c r="V255" s="3"/>
      <c r="W255" s="1"/>
      <c r="X255" s="1"/>
    </row>
    <row r="256" ht="16.5" customHeight="1">
      <c r="A256" s="1"/>
      <c r="B256" s="1"/>
      <c r="C256" s="1"/>
      <c r="D256" s="8"/>
      <c r="E256" s="8"/>
      <c r="F256" s="1"/>
      <c r="G256" s="1"/>
      <c r="H256" s="1"/>
      <c r="I256" s="1"/>
      <c r="J256" s="1"/>
      <c r="K256" s="1"/>
      <c r="L256" s="1"/>
      <c r="M256" s="1"/>
      <c r="N256" s="1"/>
      <c r="O256" s="45"/>
      <c r="P256" s="1"/>
      <c r="Q256" s="1"/>
      <c r="R256" s="8"/>
      <c r="S256" s="1"/>
      <c r="T256" s="107"/>
      <c r="U256" s="1"/>
      <c r="V256" s="3"/>
      <c r="W256" s="1"/>
      <c r="X256" s="1"/>
    </row>
    <row r="257" ht="16.5" customHeight="1">
      <c r="A257" s="1"/>
      <c r="B257" s="1"/>
      <c r="C257" s="1"/>
      <c r="D257" s="8"/>
      <c r="E257" s="8"/>
      <c r="F257" s="1"/>
      <c r="G257" s="1"/>
      <c r="H257" s="1"/>
      <c r="I257" s="1"/>
      <c r="J257" s="1"/>
      <c r="K257" s="1"/>
      <c r="L257" s="1"/>
      <c r="M257" s="1"/>
      <c r="N257" s="1"/>
      <c r="O257" s="45"/>
      <c r="P257" s="1"/>
      <c r="Q257" s="1"/>
      <c r="R257" s="8"/>
      <c r="S257" s="1"/>
      <c r="T257" s="107"/>
      <c r="U257" s="1"/>
      <c r="V257" s="3"/>
      <c r="W257" s="1"/>
      <c r="X257" s="1"/>
    </row>
    <row r="258" ht="16.5" customHeight="1">
      <c r="A258" s="1"/>
      <c r="B258" s="1"/>
      <c r="C258" s="1"/>
      <c r="D258" s="8"/>
      <c r="E258" s="8"/>
      <c r="F258" s="1"/>
      <c r="G258" s="1"/>
      <c r="H258" s="1"/>
      <c r="I258" s="1"/>
      <c r="J258" s="1"/>
      <c r="K258" s="1"/>
      <c r="L258" s="1"/>
      <c r="M258" s="1"/>
      <c r="N258" s="1"/>
      <c r="O258" s="45"/>
      <c r="P258" s="1"/>
      <c r="Q258" s="1"/>
      <c r="R258" s="8"/>
      <c r="S258" s="1"/>
      <c r="T258" s="107"/>
      <c r="U258" s="1"/>
      <c r="V258" s="3"/>
      <c r="W258" s="1"/>
      <c r="X258" s="1"/>
    </row>
    <row r="259" ht="16.5" customHeight="1">
      <c r="A259" s="1"/>
      <c r="B259" s="1"/>
      <c r="C259" s="1"/>
      <c r="D259" s="8"/>
      <c r="E259" s="8"/>
      <c r="F259" s="1"/>
      <c r="G259" s="1"/>
      <c r="H259" s="1"/>
      <c r="I259" s="1"/>
      <c r="J259" s="1"/>
      <c r="K259" s="1"/>
      <c r="L259" s="1"/>
      <c r="M259" s="1"/>
      <c r="N259" s="1"/>
      <c r="O259" s="45"/>
      <c r="P259" s="1"/>
      <c r="Q259" s="1"/>
      <c r="R259" s="8"/>
      <c r="S259" s="1"/>
      <c r="T259" s="107"/>
      <c r="U259" s="1"/>
      <c r="V259" s="3"/>
      <c r="W259" s="1"/>
      <c r="X259" s="1"/>
    </row>
    <row r="260" ht="16.5" customHeight="1">
      <c r="A260" s="1"/>
      <c r="B260" s="1"/>
      <c r="C260" s="1"/>
      <c r="D260" s="8"/>
      <c r="E260" s="8"/>
      <c r="F260" s="1"/>
      <c r="G260" s="1"/>
      <c r="H260" s="1"/>
      <c r="I260" s="1"/>
      <c r="J260" s="1"/>
      <c r="K260" s="1"/>
      <c r="L260" s="1"/>
      <c r="M260" s="1"/>
      <c r="N260" s="1"/>
      <c r="O260" s="45"/>
      <c r="P260" s="1"/>
      <c r="Q260" s="1"/>
      <c r="R260" s="8"/>
      <c r="S260" s="1"/>
      <c r="T260" s="107"/>
      <c r="U260" s="1"/>
      <c r="V260" s="3"/>
      <c r="W260" s="1"/>
      <c r="X260" s="1"/>
    </row>
    <row r="261" ht="16.5" customHeight="1">
      <c r="A261" s="1"/>
      <c r="B261" s="1"/>
      <c r="C261" s="1"/>
      <c r="D261" s="8"/>
      <c r="E261" s="8"/>
      <c r="F261" s="1"/>
      <c r="G261" s="1"/>
      <c r="H261" s="1"/>
      <c r="I261" s="1"/>
      <c r="J261" s="1"/>
      <c r="K261" s="1"/>
      <c r="L261" s="1"/>
      <c r="M261" s="1"/>
      <c r="N261" s="1"/>
      <c r="O261" s="45"/>
      <c r="P261" s="1"/>
      <c r="Q261" s="1"/>
      <c r="R261" s="8"/>
      <c r="S261" s="1"/>
      <c r="T261" s="107"/>
      <c r="U261" s="1"/>
      <c r="V261" s="3"/>
      <c r="W261" s="1"/>
      <c r="X261" s="1"/>
    </row>
    <row r="262" ht="16.5" customHeight="1">
      <c r="A262" s="1"/>
      <c r="B262" s="1"/>
      <c r="C262" s="1"/>
      <c r="D262" s="8"/>
      <c r="E262" s="8"/>
      <c r="F262" s="1"/>
      <c r="G262" s="1"/>
      <c r="H262" s="1"/>
      <c r="I262" s="1"/>
      <c r="J262" s="1"/>
      <c r="K262" s="1"/>
      <c r="L262" s="1"/>
      <c r="M262" s="1"/>
      <c r="N262" s="1"/>
      <c r="O262" s="45"/>
      <c r="P262" s="1"/>
      <c r="Q262" s="1"/>
      <c r="R262" s="8"/>
      <c r="S262" s="1"/>
      <c r="T262" s="107"/>
      <c r="U262" s="1"/>
      <c r="V262" s="3"/>
      <c r="W262" s="1"/>
      <c r="X262" s="1"/>
    </row>
    <row r="263" ht="16.5" customHeight="1">
      <c r="A263" s="1"/>
      <c r="B263" s="1"/>
      <c r="C263" s="1"/>
      <c r="D263" s="8"/>
      <c r="E263" s="8"/>
      <c r="F263" s="1"/>
      <c r="G263" s="1"/>
      <c r="H263" s="1"/>
      <c r="I263" s="1"/>
      <c r="J263" s="1"/>
      <c r="K263" s="1"/>
      <c r="L263" s="1"/>
      <c r="M263" s="1"/>
      <c r="N263" s="1"/>
      <c r="O263" s="45"/>
      <c r="P263" s="1"/>
      <c r="Q263" s="1"/>
      <c r="R263" s="8"/>
      <c r="S263" s="1"/>
      <c r="T263" s="1"/>
      <c r="U263" s="1"/>
      <c r="V263" s="3"/>
      <c r="W263" s="1"/>
      <c r="X263" s="1"/>
    </row>
    <row r="264" ht="16.5" customHeight="1">
      <c r="A264" s="1"/>
      <c r="B264" s="1"/>
      <c r="C264" s="1"/>
      <c r="D264" s="8"/>
      <c r="E264" s="8"/>
      <c r="F264" s="1"/>
      <c r="G264" s="1"/>
      <c r="H264" s="1"/>
      <c r="I264" s="1"/>
      <c r="J264" s="1"/>
      <c r="K264" s="1"/>
      <c r="L264" s="1"/>
      <c r="M264" s="1"/>
      <c r="N264" s="1"/>
      <c r="O264" s="45"/>
      <c r="P264" s="1"/>
      <c r="Q264" s="1"/>
      <c r="R264" s="8"/>
      <c r="S264" s="1"/>
      <c r="T264" s="1"/>
      <c r="U264" s="1"/>
      <c r="V264" s="3"/>
      <c r="W264" s="1"/>
      <c r="X264" s="1"/>
    </row>
    <row r="265" ht="16.5" customHeight="1">
      <c r="A265" s="1"/>
      <c r="B265" s="1"/>
      <c r="C265" s="1"/>
      <c r="D265" s="8"/>
      <c r="E265" s="8"/>
      <c r="F265" s="1"/>
      <c r="G265" s="1"/>
      <c r="H265" s="1"/>
      <c r="I265" s="1"/>
      <c r="J265" s="1"/>
      <c r="K265" s="1"/>
      <c r="L265" s="1"/>
      <c r="M265" s="1"/>
      <c r="N265" s="1"/>
      <c r="O265" s="45"/>
      <c r="P265" s="1"/>
      <c r="Q265" s="1"/>
      <c r="R265" s="8"/>
      <c r="S265" s="1"/>
      <c r="T265" s="1"/>
      <c r="U265" s="1"/>
      <c r="V265" s="3"/>
      <c r="W265" s="1"/>
      <c r="X265" s="1"/>
    </row>
    <row r="266" ht="16.5" customHeight="1">
      <c r="A266" s="1"/>
      <c r="B266" s="1"/>
      <c r="C266" s="1"/>
      <c r="D266" s="8"/>
      <c r="E266" s="8"/>
      <c r="F266" s="1"/>
      <c r="G266" s="1"/>
      <c r="H266" s="1"/>
      <c r="I266" s="1"/>
      <c r="J266" s="1"/>
      <c r="K266" s="1"/>
      <c r="L266" s="1"/>
      <c r="M266" s="1"/>
      <c r="N266" s="1"/>
      <c r="O266" s="45"/>
      <c r="P266" s="1"/>
      <c r="Q266" s="1"/>
      <c r="R266" s="8"/>
      <c r="S266" s="1"/>
      <c r="T266" s="1"/>
      <c r="U266" s="1"/>
      <c r="V266" s="3"/>
      <c r="W266" s="1"/>
      <c r="X266" s="1"/>
    </row>
    <row r="267" ht="16.5" customHeight="1">
      <c r="A267" s="1"/>
      <c r="B267" s="1"/>
      <c r="C267" s="1"/>
      <c r="D267" s="8"/>
      <c r="E267" s="8"/>
      <c r="F267" s="1"/>
      <c r="G267" s="1"/>
      <c r="H267" s="1"/>
      <c r="I267" s="1"/>
      <c r="J267" s="1"/>
      <c r="K267" s="1"/>
      <c r="L267" s="1"/>
      <c r="M267" s="1"/>
      <c r="N267" s="1"/>
      <c r="O267" s="45"/>
      <c r="P267" s="1"/>
      <c r="Q267" s="1"/>
      <c r="R267" s="8"/>
      <c r="S267" s="1"/>
      <c r="T267" s="1"/>
      <c r="U267" s="1"/>
      <c r="V267" s="3"/>
      <c r="W267" s="1"/>
      <c r="X267" s="1"/>
    </row>
    <row r="268" ht="16.5" customHeight="1">
      <c r="A268" s="1"/>
      <c r="B268" s="1"/>
      <c r="C268" s="1"/>
      <c r="D268" s="8"/>
      <c r="E268" s="8"/>
      <c r="F268" s="1"/>
      <c r="G268" s="1"/>
      <c r="H268" s="1"/>
      <c r="I268" s="1"/>
      <c r="J268" s="1"/>
      <c r="K268" s="1"/>
      <c r="L268" s="1"/>
      <c r="M268" s="1"/>
      <c r="N268" s="1"/>
      <c r="O268" s="45"/>
      <c r="P268" s="1"/>
      <c r="Q268" s="1"/>
      <c r="R268" s="8"/>
      <c r="S268" s="1"/>
      <c r="T268" s="1"/>
      <c r="U268" s="1"/>
      <c r="V268" s="3"/>
      <c r="W268" s="1"/>
      <c r="X268" s="1"/>
    </row>
    <row r="269" ht="16.5" customHeight="1">
      <c r="A269" s="1"/>
      <c r="B269" s="1"/>
      <c r="C269" s="1"/>
      <c r="D269" s="8"/>
      <c r="E269" s="8"/>
      <c r="F269" s="1"/>
      <c r="G269" s="1"/>
      <c r="H269" s="1"/>
      <c r="I269" s="1"/>
      <c r="J269" s="1"/>
      <c r="K269" s="1"/>
      <c r="L269" s="1"/>
      <c r="M269" s="1"/>
      <c r="N269" s="1"/>
      <c r="O269" s="45"/>
      <c r="P269" s="1"/>
      <c r="Q269" s="1"/>
      <c r="R269" s="8"/>
      <c r="S269" s="1"/>
      <c r="T269" s="1"/>
      <c r="U269" s="1"/>
      <c r="V269" s="3"/>
      <c r="W269" s="1"/>
      <c r="X269" s="1"/>
    </row>
    <row r="270" ht="16.5" customHeight="1">
      <c r="A270" s="1"/>
      <c r="B270" s="1"/>
      <c r="C270" s="1"/>
      <c r="D270" s="8"/>
      <c r="E270" s="8"/>
      <c r="F270" s="1"/>
      <c r="G270" s="1"/>
      <c r="H270" s="1"/>
      <c r="I270" s="1"/>
      <c r="J270" s="1"/>
      <c r="K270" s="1"/>
      <c r="L270" s="1"/>
      <c r="M270" s="1"/>
      <c r="N270" s="1"/>
      <c r="O270" s="45"/>
      <c r="P270" s="1"/>
      <c r="Q270" s="1"/>
      <c r="R270" s="8"/>
      <c r="S270" s="1"/>
      <c r="T270" s="1"/>
      <c r="U270" s="1"/>
      <c r="V270" s="3"/>
      <c r="W270" s="1"/>
      <c r="X270" s="1"/>
    </row>
    <row r="271" ht="16.5" customHeight="1">
      <c r="A271" s="1"/>
      <c r="B271" s="1"/>
      <c r="C271" s="1"/>
      <c r="D271" s="8"/>
      <c r="E271" s="8"/>
      <c r="F271" s="1"/>
      <c r="G271" s="1"/>
      <c r="H271" s="1"/>
      <c r="I271" s="1"/>
      <c r="J271" s="1"/>
      <c r="K271" s="1"/>
      <c r="L271" s="1"/>
      <c r="M271" s="1"/>
      <c r="N271" s="1"/>
      <c r="O271" s="45"/>
      <c r="P271" s="1"/>
      <c r="Q271" s="1"/>
      <c r="R271" s="8"/>
      <c r="S271" s="1"/>
      <c r="T271" s="1"/>
      <c r="U271" s="1"/>
      <c r="V271" s="3"/>
      <c r="W271" s="1"/>
      <c r="X271" s="1"/>
    </row>
    <row r="272" ht="16.5" customHeight="1">
      <c r="A272" s="1"/>
      <c r="B272" s="1"/>
      <c r="C272" s="1"/>
      <c r="D272" s="8"/>
      <c r="E272" s="8"/>
      <c r="F272" s="1"/>
      <c r="G272" s="1"/>
      <c r="H272" s="1"/>
      <c r="I272" s="1"/>
      <c r="J272" s="1"/>
      <c r="K272" s="1"/>
      <c r="L272" s="1"/>
      <c r="M272" s="1"/>
      <c r="N272" s="1"/>
      <c r="O272" s="45"/>
      <c r="P272" s="1"/>
      <c r="Q272" s="1"/>
      <c r="R272" s="8"/>
      <c r="S272" s="1"/>
      <c r="T272" s="1"/>
      <c r="U272" s="1"/>
      <c r="V272" s="3"/>
      <c r="W272" s="1"/>
      <c r="X272" s="1"/>
    </row>
    <row r="273" ht="16.5" customHeight="1">
      <c r="A273" s="1"/>
      <c r="B273" s="1"/>
      <c r="C273" s="1"/>
      <c r="D273" s="8"/>
      <c r="E273" s="8"/>
      <c r="F273" s="1"/>
      <c r="G273" s="1"/>
      <c r="H273" s="1"/>
      <c r="I273" s="1"/>
      <c r="J273" s="1"/>
      <c r="K273" s="1"/>
      <c r="L273" s="1"/>
      <c r="M273" s="1"/>
      <c r="N273" s="1"/>
      <c r="O273" s="45"/>
      <c r="P273" s="1"/>
      <c r="Q273" s="1"/>
      <c r="R273" s="8"/>
      <c r="S273" s="1"/>
      <c r="T273" s="1"/>
      <c r="U273" s="1"/>
      <c r="V273" s="3"/>
      <c r="W273" s="1"/>
      <c r="X273" s="1"/>
    </row>
    <row r="274" ht="16.5" customHeight="1">
      <c r="A274" s="1"/>
      <c r="B274" s="1"/>
      <c r="C274" s="1"/>
      <c r="D274" s="8"/>
      <c r="E274" s="8"/>
      <c r="F274" s="1"/>
      <c r="G274" s="1"/>
      <c r="H274" s="1"/>
      <c r="I274" s="1"/>
      <c r="J274" s="1"/>
      <c r="K274" s="1"/>
      <c r="L274" s="1"/>
      <c r="M274" s="1"/>
      <c r="N274" s="1"/>
      <c r="O274" s="45"/>
      <c r="P274" s="1"/>
      <c r="Q274" s="1"/>
      <c r="R274" s="8"/>
      <c r="S274" s="1"/>
      <c r="T274" s="1"/>
      <c r="U274" s="1"/>
      <c r="V274" s="3"/>
      <c r="W274" s="1"/>
      <c r="X274" s="1"/>
    </row>
    <row r="275" ht="16.5" customHeight="1">
      <c r="A275" s="1"/>
      <c r="B275" s="1"/>
      <c r="C275" s="1"/>
      <c r="D275" s="8"/>
      <c r="E275" s="8"/>
      <c r="F275" s="1"/>
      <c r="G275" s="1"/>
      <c r="H275" s="1"/>
      <c r="I275" s="1"/>
      <c r="J275" s="1"/>
      <c r="K275" s="1"/>
      <c r="L275" s="1"/>
      <c r="M275" s="1"/>
      <c r="N275" s="1"/>
      <c r="O275" s="45"/>
      <c r="P275" s="1"/>
      <c r="Q275" s="1"/>
      <c r="R275" s="8"/>
      <c r="S275" s="1"/>
      <c r="T275" s="1"/>
      <c r="U275" s="1"/>
      <c r="V275" s="3"/>
      <c r="W275" s="1"/>
      <c r="X275" s="1"/>
    </row>
    <row r="276" ht="16.5" customHeight="1">
      <c r="A276" s="1"/>
      <c r="B276" s="1"/>
      <c r="C276" s="1"/>
      <c r="D276" s="8"/>
      <c r="E276" s="8"/>
      <c r="F276" s="1"/>
      <c r="G276" s="1"/>
      <c r="H276" s="1"/>
      <c r="I276" s="1"/>
      <c r="J276" s="1"/>
      <c r="K276" s="1"/>
      <c r="L276" s="1"/>
      <c r="M276" s="1"/>
      <c r="N276" s="1"/>
      <c r="O276" s="45"/>
      <c r="P276" s="1"/>
      <c r="Q276" s="1"/>
      <c r="R276" s="8"/>
      <c r="S276" s="1"/>
      <c r="T276" s="1"/>
      <c r="U276" s="1"/>
      <c r="V276" s="3"/>
      <c r="W276" s="1"/>
      <c r="X276" s="1"/>
    </row>
    <row r="277" ht="16.5" customHeight="1">
      <c r="A277" s="1"/>
      <c r="B277" s="1"/>
      <c r="C277" s="1"/>
      <c r="D277" s="8"/>
      <c r="E277" s="8"/>
      <c r="F277" s="1"/>
      <c r="G277" s="1"/>
      <c r="H277" s="1"/>
      <c r="I277" s="1"/>
      <c r="J277" s="1"/>
      <c r="K277" s="1"/>
      <c r="L277" s="1"/>
      <c r="M277" s="1"/>
      <c r="N277" s="1"/>
      <c r="O277" s="45"/>
      <c r="P277" s="1"/>
      <c r="Q277" s="1"/>
      <c r="R277" s="8"/>
      <c r="S277" s="1"/>
      <c r="T277" s="1"/>
      <c r="U277" s="1"/>
      <c r="V277" s="3"/>
      <c r="W277" s="1"/>
      <c r="X277" s="1"/>
    </row>
    <row r="278" ht="16.5" customHeight="1">
      <c r="A278" s="1"/>
      <c r="B278" s="1"/>
      <c r="C278" s="1"/>
      <c r="D278" s="8"/>
      <c r="E278" s="8"/>
      <c r="F278" s="1"/>
      <c r="G278" s="1"/>
      <c r="H278" s="1"/>
      <c r="I278" s="1"/>
      <c r="J278" s="1"/>
      <c r="K278" s="1"/>
      <c r="L278" s="1"/>
      <c r="M278" s="1"/>
      <c r="N278" s="1"/>
      <c r="O278" s="45"/>
      <c r="P278" s="1"/>
      <c r="Q278" s="1"/>
      <c r="R278" s="8"/>
      <c r="S278" s="1"/>
      <c r="T278" s="1"/>
      <c r="U278" s="1"/>
      <c r="V278" s="3"/>
      <c r="W278" s="1"/>
      <c r="X278" s="1"/>
    </row>
    <row r="279" ht="16.5" customHeight="1">
      <c r="A279" s="1"/>
      <c r="B279" s="1"/>
      <c r="C279" s="1"/>
      <c r="D279" s="8"/>
      <c r="E279" s="8"/>
      <c r="F279" s="1"/>
      <c r="G279" s="1"/>
      <c r="H279" s="1"/>
      <c r="I279" s="1"/>
      <c r="J279" s="1"/>
      <c r="K279" s="1"/>
      <c r="L279" s="1"/>
      <c r="M279" s="1"/>
      <c r="N279" s="1"/>
      <c r="O279" s="45"/>
      <c r="P279" s="1"/>
      <c r="Q279" s="1"/>
      <c r="R279" s="8"/>
      <c r="S279" s="1"/>
      <c r="T279" s="1"/>
      <c r="U279" s="1"/>
      <c r="V279" s="3"/>
      <c r="W279" s="1"/>
      <c r="X279" s="1"/>
    </row>
    <row r="280" ht="16.5" customHeight="1">
      <c r="A280" s="1"/>
      <c r="B280" s="1"/>
      <c r="C280" s="1"/>
      <c r="D280" s="8"/>
      <c r="E280" s="8"/>
      <c r="F280" s="1"/>
      <c r="G280" s="1"/>
      <c r="H280" s="1"/>
      <c r="I280" s="1"/>
      <c r="J280" s="1"/>
      <c r="K280" s="1"/>
      <c r="L280" s="1"/>
      <c r="M280" s="1"/>
      <c r="N280" s="1"/>
      <c r="O280" s="45"/>
      <c r="P280" s="1"/>
      <c r="Q280" s="1"/>
      <c r="R280" s="8"/>
      <c r="S280" s="1"/>
      <c r="T280" s="1"/>
      <c r="U280" s="1"/>
      <c r="V280" s="3"/>
      <c r="W280" s="1"/>
      <c r="X280" s="1"/>
    </row>
    <row r="281" ht="16.5" customHeight="1">
      <c r="A281" s="1"/>
      <c r="B281" s="1"/>
      <c r="C281" s="1"/>
      <c r="D281" s="8"/>
      <c r="E281" s="8"/>
      <c r="F281" s="1"/>
      <c r="G281" s="1"/>
      <c r="H281" s="1"/>
      <c r="I281" s="1"/>
      <c r="J281" s="1"/>
      <c r="K281" s="1"/>
      <c r="L281" s="1"/>
      <c r="M281" s="1"/>
      <c r="N281" s="1"/>
      <c r="O281" s="45"/>
      <c r="P281" s="1"/>
      <c r="Q281" s="1"/>
      <c r="R281" s="8"/>
      <c r="S281" s="1"/>
      <c r="T281" s="1"/>
      <c r="U281" s="1"/>
      <c r="V281" s="3"/>
      <c r="W281" s="1"/>
      <c r="X281" s="1"/>
    </row>
    <row r="282" ht="16.5" customHeight="1">
      <c r="A282" s="1"/>
      <c r="B282" s="1"/>
      <c r="C282" s="1"/>
      <c r="D282" s="8"/>
      <c r="E282" s="8"/>
      <c r="F282" s="1"/>
      <c r="G282" s="1"/>
      <c r="H282" s="1"/>
      <c r="I282" s="1"/>
      <c r="J282" s="1"/>
      <c r="K282" s="1"/>
      <c r="L282" s="1"/>
      <c r="M282" s="1"/>
      <c r="N282" s="1"/>
      <c r="O282" s="45"/>
      <c r="P282" s="1"/>
      <c r="Q282" s="1"/>
      <c r="R282" s="8"/>
      <c r="S282" s="1"/>
      <c r="T282" s="1"/>
      <c r="U282" s="1"/>
      <c r="V282" s="3"/>
      <c r="W282" s="1"/>
      <c r="X282" s="1"/>
    </row>
    <row r="283" ht="16.5" customHeight="1">
      <c r="A283" s="1"/>
      <c r="B283" s="1"/>
      <c r="C283" s="1"/>
      <c r="D283" s="8"/>
      <c r="E283" s="8"/>
      <c r="F283" s="1"/>
      <c r="G283" s="1"/>
      <c r="H283" s="1"/>
      <c r="I283" s="1"/>
      <c r="J283" s="1"/>
      <c r="K283" s="1"/>
      <c r="L283" s="1"/>
      <c r="M283" s="1"/>
      <c r="N283" s="1"/>
      <c r="O283" s="45"/>
      <c r="P283" s="1"/>
      <c r="Q283" s="1"/>
      <c r="R283" s="8"/>
      <c r="S283" s="1"/>
      <c r="T283" s="1"/>
      <c r="U283" s="1"/>
      <c r="V283" s="3"/>
      <c r="W283" s="1"/>
      <c r="X283" s="1"/>
    </row>
    <row r="284" ht="16.5" customHeight="1">
      <c r="A284" s="1"/>
      <c r="B284" s="1"/>
      <c r="C284" s="1"/>
      <c r="D284" s="8"/>
      <c r="E284" s="8"/>
      <c r="F284" s="1"/>
      <c r="G284" s="1"/>
      <c r="H284" s="1"/>
      <c r="I284" s="1"/>
      <c r="J284" s="1"/>
      <c r="K284" s="1"/>
      <c r="L284" s="1"/>
      <c r="M284" s="1"/>
      <c r="N284" s="1"/>
      <c r="O284" s="45"/>
      <c r="P284" s="1"/>
      <c r="Q284" s="1"/>
      <c r="R284" s="8"/>
      <c r="S284" s="1"/>
      <c r="T284" s="1"/>
      <c r="U284" s="1"/>
      <c r="V284" s="3"/>
      <c r="W284" s="1"/>
      <c r="X284" s="1"/>
    </row>
    <row r="285" ht="16.5" customHeight="1">
      <c r="A285" s="1"/>
      <c r="B285" s="1"/>
      <c r="C285" s="1"/>
      <c r="D285" s="8"/>
      <c r="E285" s="8"/>
      <c r="F285" s="1"/>
      <c r="G285" s="1"/>
      <c r="H285" s="1"/>
      <c r="I285" s="1"/>
      <c r="J285" s="1"/>
      <c r="K285" s="1"/>
      <c r="L285" s="1"/>
      <c r="M285" s="1"/>
      <c r="N285" s="1"/>
      <c r="O285" s="45"/>
      <c r="P285" s="1"/>
      <c r="Q285" s="1"/>
      <c r="R285" s="8"/>
      <c r="S285" s="1"/>
      <c r="T285" s="1"/>
      <c r="U285" s="1"/>
      <c r="V285" s="3"/>
      <c r="W285" s="1"/>
      <c r="X285" s="1"/>
    </row>
    <row r="286" ht="16.5" customHeight="1">
      <c r="A286" s="1"/>
      <c r="B286" s="1"/>
      <c r="C286" s="1"/>
      <c r="D286" s="8"/>
      <c r="E286" s="8"/>
      <c r="F286" s="1"/>
      <c r="G286" s="1"/>
      <c r="H286" s="1"/>
      <c r="I286" s="1"/>
      <c r="J286" s="1"/>
      <c r="K286" s="1"/>
      <c r="L286" s="1"/>
      <c r="M286" s="1"/>
      <c r="N286" s="1"/>
      <c r="O286" s="45"/>
      <c r="P286" s="1"/>
      <c r="Q286" s="1"/>
      <c r="R286" s="8"/>
      <c r="S286" s="1"/>
      <c r="T286" s="1"/>
      <c r="U286" s="1"/>
      <c r="V286" s="3"/>
      <c r="W286" s="1"/>
      <c r="X286" s="1"/>
    </row>
    <row r="287" ht="16.5" customHeight="1">
      <c r="A287" s="1"/>
      <c r="B287" s="1"/>
      <c r="C287" s="1"/>
      <c r="D287" s="8"/>
      <c r="E287" s="8"/>
      <c r="F287" s="1"/>
      <c r="G287" s="1"/>
      <c r="H287" s="1"/>
      <c r="I287" s="1"/>
      <c r="J287" s="1"/>
      <c r="K287" s="1"/>
      <c r="L287" s="1"/>
      <c r="M287" s="1"/>
      <c r="N287" s="1"/>
      <c r="O287" s="45"/>
      <c r="P287" s="1"/>
      <c r="Q287" s="1"/>
      <c r="R287" s="8"/>
      <c r="S287" s="1"/>
      <c r="T287" s="1"/>
      <c r="U287" s="1"/>
      <c r="V287" s="3"/>
      <c r="W287" s="1"/>
      <c r="X287" s="1"/>
    </row>
    <row r="288" ht="16.5" customHeight="1">
      <c r="A288" s="1"/>
      <c r="B288" s="1"/>
      <c r="C288" s="1"/>
      <c r="D288" s="8"/>
      <c r="E288" s="8"/>
      <c r="F288" s="1"/>
      <c r="G288" s="1"/>
      <c r="H288" s="1"/>
      <c r="I288" s="1"/>
      <c r="J288" s="1"/>
      <c r="K288" s="1"/>
      <c r="L288" s="1"/>
      <c r="M288" s="1"/>
      <c r="N288" s="1"/>
      <c r="O288" s="45"/>
      <c r="P288" s="1"/>
      <c r="Q288" s="1"/>
      <c r="R288" s="8"/>
      <c r="S288" s="1"/>
      <c r="T288" s="1"/>
      <c r="U288" s="1"/>
      <c r="V288" s="3"/>
      <c r="W288" s="1"/>
      <c r="X288" s="1"/>
    </row>
    <row r="289" ht="16.5" customHeight="1">
      <c r="A289" s="1"/>
      <c r="B289" s="1"/>
      <c r="C289" s="1"/>
      <c r="D289" s="8"/>
      <c r="E289" s="8"/>
      <c r="F289" s="1"/>
      <c r="G289" s="1"/>
      <c r="H289" s="1"/>
      <c r="I289" s="1"/>
      <c r="J289" s="1"/>
      <c r="K289" s="1"/>
      <c r="L289" s="1"/>
      <c r="M289" s="1"/>
      <c r="N289" s="1"/>
      <c r="O289" s="45"/>
      <c r="P289" s="1"/>
      <c r="Q289" s="1"/>
      <c r="R289" s="8"/>
      <c r="S289" s="1"/>
      <c r="T289" s="1"/>
      <c r="U289" s="1"/>
      <c r="V289" s="3"/>
      <c r="W289" s="1"/>
      <c r="X289" s="1"/>
    </row>
    <row r="290" ht="16.5" customHeight="1">
      <c r="A290" s="1"/>
      <c r="B290" s="1"/>
      <c r="C290" s="1"/>
      <c r="D290" s="8"/>
      <c r="E290" s="8"/>
      <c r="F290" s="1"/>
      <c r="G290" s="1"/>
      <c r="H290" s="1"/>
      <c r="I290" s="1"/>
      <c r="J290" s="1"/>
      <c r="K290" s="1"/>
      <c r="L290" s="1"/>
      <c r="M290" s="1"/>
      <c r="N290" s="1"/>
      <c r="O290" s="45"/>
      <c r="P290" s="1"/>
      <c r="Q290" s="1"/>
      <c r="R290" s="8"/>
      <c r="S290" s="1"/>
      <c r="T290" s="1"/>
      <c r="U290" s="1"/>
      <c r="V290" s="3"/>
      <c r="W290" s="1"/>
      <c r="X290" s="1"/>
    </row>
    <row r="291" ht="16.5" customHeight="1">
      <c r="A291" s="1"/>
      <c r="B291" s="1"/>
      <c r="C291" s="1"/>
      <c r="D291" s="8"/>
      <c r="E291" s="8"/>
      <c r="F291" s="1"/>
      <c r="G291" s="1"/>
      <c r="H291" s="1"/>
      <c r="I291" s="1"/>
      <c r="J291" s="1"/>
      <c r="K291" s="1"/>
      <c r="L291" s="1"/>
      <c r="M291" s="1"/>
      <c r="N291" s="1"/>
      <c r="O291" s="45"/>
      <c r="P291" s="1"/>
      <c r="Q291" s="1"/>
      <c r="R291" s="8"/>
      <c r="S291" s="1"/>
      <c r="T291" s="1"/>
      <c r="U291" s="1"/>
      <c r="V291" s="3"/>
      <c r="W291" s="1"/>
      <c r="X291" s="1"/>
    </row>
    <row r="292" ht="16.5" customHeight="1">
      <c r="A292" s="1"/>
      <c r="B292" s="1"/>
      <c r="C292" s="1"/>
      <c r="D292" s="8"/>
      <c r="E292" s="8"/>
      <c r="F292" s="1"/>
      <c r="G292" s="1"/>
      <c r="H292" s="1"/>
      <c r="I292" s="1"/>
      <c r="J292" s="1"/>
      <c r="K292" s="1"/>
      <c r="L292" s="1"/>
      <c r="M292" s="1"/>
      <c r="N292" s="1"/>
      <c r="O292" s="45"/>
      <c r="P292" s="1"/>
      <c r="Q292" s="1"/>
      <c r="R292" s="8"/>
      <c r="S292" s="1"/>
      <c r="T292" s="1"/>
      <c r="U292" s="1"/>
      <c r="V292" s="3"/>
      <c r="W292" s="1"/>
      <c r="X292" s="1"/>
    </row>
    <row r="293" ht="16.5" customHeight="1">
      <c r="A293" s="1"/>
      <c r="B293" s="1"/>
      <c r="C293" s="1"/>
      <c r="D293" s="8"/>
      <c r="E293" s="8"/>
      <c r="F293" s="1"/>
      <c r="G293" s="1"/>
      <c r="H293" s="1"/>
      <c r="I293" s="1"/>
      <c r="J293" s="1"/>
      <c r="K293" s="1"/>
      <c r="L293" s="1"/>
      <c r="M293" s="1"/>
      <c r="N293" s="1"/>
      <c r="O293" s="45"/>
      <c r="P293" s="1"/>
      <c r="Q293" s="1"/>
      <c r="R293" s="8"/>
      <c r="S293" s="1"/>
      <c r="T293" s="1"/>
      <c r="U293" s="1"/>
      <c r="V293" s="3"/>
      <c r="W293" s="1"/>
      <c r="X293" s="1"/>
    </row>
    <row r="294" ht="16.5" customHeight="1">
      <c r="A294" s="1"/>
      <c r="B294" s="1"/>
      <c r="C294" s="1"/>
      <c r="D294" s="8"/>
      <c r="E294" s="8"/>
      <c r="F294" s="1"/>
      <c r="G294" s="1"/>
      <c r="H294" s="1"/>
      <c r="I294" s="1"/>
      <c r="J294" s="1"/>
      <c r="K294" s="1"/>
      <c r="L294" s="1"/>
      <c r="M294" s="1"/>
      <c r="N294" s="1"/>
      <c r="O294" s="45"/>
      <c r="P294" s="1"/>
      <c r="Q294" s="1"/>
      <c r="R294" s="8"/>
      <c r="S294" s="1"/>
      <c r="T294" s="1"/>
      <c r="U294" s="1"/>
      <c r="V294" s="3"/>
      <c r="W294" s="1"/>
      <c r="X294" s="1"/>
    </row>
    <row r="295" ht="16.5" customHeight="1">
      <c r="A295" s="1"/>
      <c r="B295" s="1"/>
      <c r="C295" s="1"/>
      <c r="D295" s="8"/>
      <c r="E295" s="8"/>
      <c r="F295" s="1"/>
      <c r="G295" s="1"/>
      <c r="H295" s="1"/>
      <c r="I295" s="1"/>
      <c r="J295" s="1"/>
      <c r="K295" s="1"/>
      <c r="L295" s="1"/>
      <c r="M295" s="1"/>
      <c r="N295" s="1"/>
      <c r="O295" s="45"/>
      <c r="P295" s="1"/>
      <c r="Q295" s="1"/>
      <c r="R295" s="8"/>
      <c r="S295" s="1"/>
      <c r="T295" s="1"/>
      <c r="U295" s="1"/>
      <c r="V295" s="3"/>
      <c r="W295" s="1"/>
      <c r="X295" s="1"/>
    </row>
    <row r="296" ht="16.5" customHeight="1">
      <c r="A296" s="1"/>
      <c r="B296" s="1"/>
      <c r="C296" s="1"/>
      <c r="D296" s="8"/>
      <c r="E296" s="8"/>
      <c r="F296" s="1"/>
      <c r="G296" s="1"/>
      <c r="H296" s="1"/>
      <c r="I296" s="1"/>
      <c r="J296" s="1"/>
      <c r="K296" s="1"/>
      <c r="L296" s="1"/>
      <c r="M296" s="1"/>
      <c r="N296" s="1"/>
      <c r="O296" s="45"/>
      <c r="P296" s="1"/>
      <c r="Q296" s="1"/>
      <c r="R296" s="8"/>
      <c r="S296" s="1"/>
      <c r="T296" s="1"/>
      <c r="U296" s="1"/>
      <c r="V296" s="3"/>
      <c r="W296" s="1"/>
      <c r="X296" s="1"/>
    </row>
    <row r="297" ht="16.5" customHeight="1">
      <c r="A297" s="1"/>
      <c r="B297" s="1"/>
      <c r="C297" s="1"/>
      <c r="D297" s="8"/>
      <c r="E297" s="8"/>
      <c r="F297" s="1"/>
      <c r="G297" s="1"/>
      <c r="H297" s="1"/>
      <c r="I297" s="1"/>
      <c r="J297" s="1"/>
      <c r="K297" s="1"/>
      <c r="L297" s="1"/>
      <c r="M297" s="1"/>
      <c r="N297" s="1"/>
      <c r="O297" s="45"/>
      <c r="P297" s="1"/>
      <c r="Q297" s="1"/>
      <c r="R297" s="8"/>
      <c r="S297" s="1"/>
      <c r="T297" s="1"/>
      <c r="U297" s="1"/>
      <c r="V297" s="3"/>
      <c r="W297" s="1"/>
      <c r="X297" s="1"/>
    </row>
    <row r="298" ht="16.5" customHeight="1">
      <c r="A298" s="1"/>
      <c r="B298" s="1"/>
      <c r="C298" s="1"/>
      <c r="D298" s="8"/>
      <c r="E298" s="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"/>
      <c r="S298" s="1"/>
      <c r="T298" s="1"/>
      <c r="U298" s="1"/>
      <c r="V298" s="3"/>
      <c r="W298" s="1"/>
      <c r="X298" s="1"/>
    </row>
    <row r="299" ht="16.5" customHeight="1">
      <c r="A299" s="1"/>
      <c r="B299" s="1"/>
      <c r="C299" s="1"/>
      <c r="D299" s="8"/>
      <c r="E299" s="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"/>
      <c r="S299" s="1"/>
      <c r="T299" s="1"/>
      <c r="U299" s="1"/>
      <c r="V299" s="3"/>
      <c r="W299" s="1"/>
      <c r="X299" s="1"/>
    </row>
    <row r="300" ht="16.5" customHeight="1">
      <c r="A300" s="1"/>
      <c r="B300" s="1"/>
      <c r="C300" s="1"/>
      <c r="D300" s="8"/>
      <c r="E300" s="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"/>
      <c r="S300" s="1"/>
      <c r="T300" s="1"/>
      <c r="U300" s="1"/>
      <c r="V300" s="3"/>
      <c r="W300" s="1"/>
      <c r="X300" s="1"/>
    </row>
    <row r="301" ht="16.5" customHeight="1">
      <c r="A301" s="1"/>
      <c r="B301" s="1"/>
      <c r="C301" s="1"/>
      <c r="D301" s="8"/>
      <c r="E301" s="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"/>
      <c r="S301" s="1"/>
      <c r="T301" s="1"/>
      <c r="U301" s="1"/>
      <c r="V301" s="3"/>
      <c r="W301" s="1"/>
      <c r="X301" s="1"/>
    </row>
    <row r="302" ht="16.5" customHeight="1">
      <c r="A302" s="1"/>
      <c r="B302" s="1"/>
      <c r="C302" s="1"/>
      <c r="D302" s="8"/>
      <c r="E302" s="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"/>
      <c r="S302" s="1"/>
      <c r="T302" s="1"/>
      <c r="U302" s="1"/>
      <c r="V302" s="3"/>
      <c r="W302" s="1"/>
      <c r="X302" s="1"/>
    </row>
    <row r="303" ht="16.5" customHeight="1">
      <c r="A303" s="1"/>
      <c r="B303" s="1"/>
      <c r="C303" s="1"/>
      <c r="D303" s="8"/>
      <c r="E303" s="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"/>
      <c r="S303" s="1"/>
      <c r="T303" s="1"/>
      <c r="U303" s="1"/>
      <c r="V303" s="3"/>
      <c r="W303" s="1"/>
      <c r="X303" s="1"/>
    </row>
    <row r="304" ht="16.5" customHeight="1">
      <c r="A304" s="1"/>
      <c r="B304" s="1"/>
      <c r="C304" s="1"/>
      <c r="D304" s="8"/>
      <c r="E304" s="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"/>
      <c r="S304" s="1"/>
      <c r="T304" s="1"/>
      <c r="U304" s="1"/>
      <c r="V304" s="3"/>
      <c r="W304" s="1"/>
      <c r="X304" s="1"/>
    </row>
    <row r="305" ht="16.5" customHeight="1">
      <c r="A305" s="1"/>
      <c r="B305" s="1"/>
      <c r="C305" s="1"/>
      <c r="D305" s="8"/>
      <c r="E305" s="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"/>
      <c r="S305" s="1"/>
      <c r="T305" s="1"/>
      <c r="U305" s="1"/>
      <c r="V305" s="3"/>
      <c r="W305" s="1"/>
      <c r="X305" s="1"/>
    </row>
    <row r="306" ht="16.5" customHeight="1">
      <c r="A306" s="1"/>
      <c r="B306" s="1"/>
      <c r="C306" s="1"/>
      <c r="D306" s="8"/>
      <c r="E306" s="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"/>
      <c r="S306" s="1"/>
      <c r="T306" s="1"/>
      <c r="U306" s="1"/>
      <c r="V306" s="3"/>
      <c r="W306" s="1"/>
      <c r="X306" s="1"/>
    </row>
    <row r="307" ht="16.5" customHeight="1">
      <c r="A307" s="1"/>
      <c r="B307" s="1"/>
      <c r="C307" s="1"/>
      <c r="D307" s="8"/>
      <c r="E307" s="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"/>
      <c r="S307" s="1"/>
      <c r="T307" s="1"/>
      <c r="U307" s="1"/>
      <c r="V307" s="3"/>
      <c r="W307" s="1"/>
      <c r="X307" s="1"/>
    </row>
    <row r="308" ht="16.5" customHeight="1">
      <c r="A308" s="1"/>
      <c r="B308" s="1"/>
      <c r="C308" s="1"/>
      <c r="D308" s="8"/>
      <c r="E308" s="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"/>
      <c r="S308" s="1"/>
      <c r="T308" s="1"/>
      <c r="U308" s="1"/>
      <c r="V308" s="3"/>
      <c r="W308" s="1"/>
      <c r="X308" s="1"/>
    </row>
    <row r="309" ht="16.5" customHeight="1">
      <c r="A309" s="1"/>
      <c r="B309" s="1"/>
      <c r="C309" s="1"/>
      <c r="D309" s="8"/>
      <c r="E309" s="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"/>
      <c r="S309" s="1"/>
      <c r="T309" s="1"/>
      <c r="U309" s="1"/>
      <c r="V309" s="3"/>
      <c r="W309" s="1"/>
      <c r="X309" s="1"/>
    </row>
    <row r="310" ht="16.5" customHeight="1">
      <c r="A310" s="1"/>
      <c r="B310" s="1"/>
      <c r="C310" s="1"/>
      <c r="D310" s="8"/>
      <c r="E310" s="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"/>
      <c r="S310" s="1"/>
      <c r="T310" s="1"/>
      <c r="U310" s="1"/>
      <c r="V310" s="3"/>
      <c r="W310" s="1"/>
      <c r="X310" s="1"/>
    </row>
    <row r="311" ht="16.5" customHeight="1">
      <c r="A311" s="1"/>
      <c r="B311" s="1"/>
      <c r="C311" s="1"/>
      <c r="D311" s="8"/>
      <c r="E311" s="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"/>
      <c r="S311" s="1"/>
      <c r="T311" s="1"/>
      <c r="U311" s="1"/>
      <c r="V311" s="3"/>
      <c r="W311" s="1"/>
      <c r="X311" s="1"/>
    </row>
    <row r="312" ht="16.5" customHeight="1">
      <c r="A312" s="1"/>
      <c r="B312" s="1"/>
      <c r="C312" s="1"/>
      <c r="D312" s="8"/>
      <c r="E312" s="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"/>
      <c r="S312" s="1"/>
      <c r="T312" s="1"/>
      <c r="U312" s="1"/>
      <c r="V312" s="3"/>
      <c r="W312" s="1"/>
      <c r="X312" s="1"/>
    </row>
    <row r="313" ht="16.5" customHeight="1">
      <c r="A313" s="1"/>
      <c r="B313" s="1"/>
      <c r="C313" s="1"/>
      <c r="D313" s="8"/>
      <c r="E313" s="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"/>
      <c r="S313" s="1"/>
      <c r="T313" s="1"/>
      <c r="U313" s="1"/>
      <c r="V313" s="3"/>
      <c r="W313" s="1"/>
      <c r="X313" s="1"/>
    </row>
    <row r="314" ht="16.5" customHeight="1">
      <c r="A314" s="1"/>
      <c r="B314" s="1"/>
      <c r="C314" s="1"/>
      <c r="D314" s="8"/>
      <c r="E314" s="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"/>
      <c r="S314" s="1"/>
      <c r="T314" s="1"/>
      <c r="U314" s="1"/>
      <c r="V314" s="3"/>
      <c r="W314" s="1"/>
      <c r="X314" s="1"/>
    </row>
    <row r="315" ht="16.5" customHeight="1">
      <c r="A315" s="1"/>
      <c r="B315" s="1"/>
      <c r="C315" s="1"/>
      <c r="D315" s="8"/>
      <c r="E315" s="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"/>
      <c r="S315" s="1"/>
      <c r="T315" s="1"/>
      <c r="U315" s="1"/>
      <c r="V315" s="3"/>
      <c r="W315" s="1"/>
      <c r="X315" s="1"/>
    </row>
    <row r="316" ht="16.5" customHeight="1">
      <c r="A316" s="1"/>
      <c r="B316" s="1"/>
      <c r="C316" s="1"/>
      <c r="D316" s="8"/>
      <c r="E316" s="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"/>
      <c r="S316" s="1"/>
      <c r="T316" s="1"/>
      <c r="U316" s="1"/>
      <c r="V316" s="3"/>
      <c r="W316" s="1"/>
      <c r="X316" s="1"/>
    </row>
    <row r="317" ht="16.5" customHeight="1">
      <c r="A317" s="1"/>
      <c r="B317" s="1"/>
      <c r="C317" s="1"/>
      <c r="D317" s="8"/>
      <c r="E317" s="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"/>
      <c r="S317" s="1"/>
      <c r="T317" s="1"/>
      <c r="U317" s="1"/>
      <c r="V317" s="3"/>
      <c r="W317" s="1"/>
      <c r="X317" s="1"/>
    </row>
    <row r="318" ht="16.5" customHeight="1">
      <c r="A318" s="1"/>
      <c r="B318" s="1"/>
      <c r="C318" s="1"/>
      <c r="D318" s="8"/>
      <c r="E318" s="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"/>
      <c r="S318" s="1"/>
      <c r="T318" s="1"/>
      <c r="U318" s="1"/>
      <c r="V318" s="3"/>
      <c r="W318" s="1"/>
      <c r="X318" s="1"/>
    </row>
    <row r="319" ht="16.5" customHeight="1">
      <c r="A319" s="1"/>
      <c r="B319" s="1"/>
      <c r="C319" s="1"/>
      <c r="D319" s="8"/>
      <c r="E319" s="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"/>
      <c r="S319" s="1"/>
      <c r="T319" s="1"/>
      <c r="U319" s="1"/>
      <c r="V319" s="3"/>
      <c r="W319" s="1"/>
      <c r="X319" s="1"/>
    </row>
    <row r="320" ht="16.5" customHeight="1">
      <c r="A320" s="1"/>
      <c r="B320" s="1"/>
      <c r="C320" s="1"/>
      <c r="D320" s="8"/>
      <c r="E320" s="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"/>
      <c r="S320" s="1"/>
      <c r="T320" s="1"/>
      <c r="U320" s="1"/>
      <c r="V320" s="3"/>
      <c r="W320" s="1"/>
      <c r="X320" s="1"/>
    </row>
    <row r="321" ht="16.5" customHeight="1">
      <c r="A321" s="1"/>
      <c r="B321" s="1"/>
      <c r="C321" s="1"/>
      <c r="D321" s="8"/>
      <c r="E321" s="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"/>
      <c r="S321" s="1"/>
      <c r="T321" s="1"/>
      <c r="U321" s="1"/>
      <c r="V321" s="3"/>
      <c r="W321" s="1"/>
      <c r="X321" s="1"/>
    </row>
    <row r="322" ht="16.5" customHeight="1">
      <c r="A322" s="1"/>
      <c r="B322" s="1"/>
      <c r="C322" s="1"/>
      <c r="D322" s="8"/>
      <c r="E322" s="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"/>
      <c r="S322" s="1"/>
      <c r="T322" s="1"/>
      <c r="U322" s="1"/>
      <c r="V322" s="3"/>
      <c r="W322" s="1"/>
      <c r="X322" s="1"/>
    </row>
    <row r="323" ht="16.5" customHeight="1">
      <c r="A323" s="1"/>
      <c r="B323" s="1"/>
      <c r="C323" s="1"/>
      <c r="D323" s="8"/>
      <c r="E323" s="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"/>
      <c r="S323" s="1"/>
      <c r="T323" s="1"/>
      <c r="U323" s="1"/>
      <c r="V323" s="3"/>
      <c r="W323" s="1"/>
      <c r="X323" s="1"/>
    </row>
    <row r="324" ht="16.5" customHeight="1">
      <c r="A324" s="1"/>
      <c r="B324" s="1"/>
      <c r="C324" s="1"/>
      <c r="D324" s="8"/>
      <c r="E324" s="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"/>
      <c r="S324" s="1"/>
      <c r="T324" s="1"/>
      <c r="U324" s="1"/>
      <c r="V324" s="3"/>
      <c r="W324" s="1"/>
      <c r="X324" s="1"/>
    </row>
    <row r="325" ht="16.5" customHeight="1">
      <c r="A325" s="1"/>
      <c r="B325" s="1"/>
      <c r="C325" s="1"/>
      <c r="D325" s="8"/>
      <c r="E325" s="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"/>
      <c r="S325" s="1"/>
      <c r="T325" s="1"/>
      <c r="U325" s="1"/>
      <c r="V325" s="3"/>
      <c r="W325" s="1"/>
      <c r="X325" s="1"/>
    </row>
    <row r="326" ht="16.5" customHeight="1">
      <c r="A326" s="1"/>
      <c r="B326" s="1"/>
      <c r="C326" s="1"/>
      <c r="D326" s="8"/>
      <c r="E326" s="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"/>
      <c r="S326" s="1"/>
      <c r="T326" s="1"/>
      <c r="U326" s="1"/>
      <c r="V326" s="3"/>
      <c r="W326" s="1"/>
      <c r="X326" s="1"/>
    </row>
    <row r="327" ht="16.5" customHeight="1">
      <c r="A327" s="1"/>
      <c r="B327" s="1"/>
      <c r="C327" s="1"/>
      <c r="D327" s="8"/>
      <c r="E327" s="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"/>
      <c r="S327" s="1"/>
      <c r="T327" s="1"/>
      <c r="U327" s="1"/>
      <c r="V327" s="3"/>
      <c r="W327" s="1"/>
      <c r="X327" s="1"/>
    </row>
    <row r="328" ht="16.5" customHeight="1">
      <c r="A328" s="1"/>
      <c r="B328" s="1"/>
      <c r="C328" s="1"/>
      <c r="D328" s="8"/>
      <c r="E328" s="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"/>
      <c r="S328" s="1"/>
      <c r="T328" s="1"/>
      <c r="U328" s="1"/>
      <c r="V328" s="3"/>
      <c r="W328" s="1"/>
      <c r="X328" s="1"/>
    </row>
    <row r="329" ht="16.5" customHeight="1">
      <c r="A329" s="1"/>
      <c r="B329" s="1"/>
      <c r="C329" s="1"/>
      <c r="D329" s="8"/>
      <c r="E329" s="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"/>
      <c r="S329" s="1"/>
      <c r="T329" s="1"/>
      <c r="U329" s="1"/>
      <c r="V329" s="3"/>
      <c r="W329" s="1"/>
      <c r="X329" s="1"/>
    </row>
    <row r="330" ht="16.5" customHeight="1">
      <c r="A330" s="1"/>
      <c r="B330" s="1"/>
      <c r="C330" s="1"/>
      <c r="D330" s="8"/>
      <c r="E330" s="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"/>
      <c r="S330" s="1"/>
      <c r="T330" s="1"/>
      <c r="U330" s="1"/>
      <c r="V330" s="3"/>
      <c r="W330" s="1"/>
      <c r="X330" s="1"/>
    </row>
    <row r="331" ht="16.5" customHeight="1">
      <c r="A331" s="1"/>
      <c r="B331" s="1"/>
      <c r="C331" s="1"/>
      <c r="D331" s="8"/>
      <c r="E331" s="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"/>
      <c r="S331" s="1"/>
      <c r="T331" s="1"/>
      <c r="U331" s="1"/>
      <c r="V331" s="3"/>
      <c r="W331" s="1"/>
      <c r="X331" s="1"/>
    </row>
    <row r="332" ht="16.5" customHeight="1">
      <c r="A332" s="1"/>
      <c r="B332" s="1"/>
      <c r="C332" s="1"/>
      <c r="D332" s="8"/>
      <c r="E332" s="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"/>
      <c r="S332" s="1"/>
      <c r="T332" s="1"/>
      <c r="U332" s="1"/>
      <c r="V332" s="3"/>
      <c r="W332" s="1"/>
      <c r="X332" s="1"/>
    </row>
    <row r="333" ht="16.5" customHeight="1">
      <c r="A333" s="1"/>
      <c r="B333" s="1"/>
      <c r="C333" s="1"/>
      <c r="D333" s="8"/>
      <c r="E333" s="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"/>
      <c r="S333" s="1"/>
      <c r="T333" s="1"/>
      <c r="U333" s="1"/>
      <c r="V333" s="3"/>
      <c r="W333" s="1"/>
      <c r="X333" s="1"/>
    </row>
    <row r="334" ht="16.5" customHeight="1">
      <c r="A334" s="1"/>
      <c r="B334" s="1"/>
      <c r="C334" s="1"/>
      <c r="D334" s="8"/>
      <c r="E334" s="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"/>
      <c r="S334" s="1"/>
      <c r="T334" s="1"/>
      <c r="U334" s="1"/>
      <c r="V334" s="3"/>
      <c r="W334" s="1"/>
      <c r="X334" s="1"/>
    </row>
    <row r="335" ht="16.5" customHeight="1">
      <c r="A335" s="1"/>
      <c r="B335" s="1"/>
      <c r="C335" s="1"/>
      <c r="D335" s="8"/>
      <c r="E335" s="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"/>
      <c r="S335" s="1"/>
      <c r="T335" s="1"/>
      <c r="U335" s="1"/>
      <c r="V335" s="3"/>
      <c r="W335" s="1"/>
      <c r="X335" s="1"/>
    </row>
    <row r="336" ht="16.5" customHeight="1">
      <c r="A336" s="1"/>
      <c r="B336" s="1"/>
      <c r="C336" s="1"/>
      <c r="D336" s="8"/>
      <c r="E336" s="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"/>
      <c r="S336" s="1"/>
      <c r="T336" s="1"/>
      <c r="U336" s="1"/>
      <c r="V336" s="3"/>
      <c r="W336" s="1"/>
      <c r="X336" s="1"/>
    </row>
    <row r="337" ht="16.5" customHeight="1">
      <c r="A337" s="1"/>
      <c r="B337" s="1"/>
      <c r="C337" s="1"/>
      <c r="D337" s="8"/>
      <c r="E337" s="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"/>
      <c r="S337" s="1"/>
      <c r="T337" s="1"/>
      <c r="U337" s="1"/>
      <c r="V337" s="3"/>
      <c r="W337" s="1"/>
      <c r="X337" s="1"/>
    </row>
    <row r="338" ht="16.5" customHeight="1">
      <c r="A338" s="1"/>
      <c r="B338" s="1"/>
      <c r="C338" s="1"/>
      <c r="D338" s="8"/>
      <c r="E338" s="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"/>
      <c r="S338" s="1"/>
      <c r="T338" s="1"/>
      <c r="U338" s="1"/>
      <c r="V338" s="3"/>
      <c r="W338" s="1"/>
      <c r="X338" s="1"/>
    </row>
    <row r="339" ht="16.5" customHeight="1">
      <c r="A339" s="1"/>
      <c r="B339" s="1"/>
      <c r="C339" s="1"/>
      <c r="D339" s="8"/>
      <c r="E339" s="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"/>
      <c r="S339" s="1"/>
      <c r="T339" s="1"/>
      <c r="U339" s="1"/>
      <c r="V339" s="3"/>
      <c r="W339" s="1"/>
      <c r="X339" s="1"/>
    </row>
    <row r="340" ht="16.5" customHeight="1">
      <c r="A340" s="1"/>
      <c r="B340" s="1"/>
      <c r="C340" s="1"/>
      <c r="D340" s="8"/>
      <c r="E340" s="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"/>
      <c r="S340" s="1"/>
      <c r="T340" s="1"/>
      <c r="U340" s="1"/>
      <c r="V340" s="3"/>
      <c r="W340" s="1"/>
      <c r="X340" s="1"/>
    </row>
    <row r="341" ht="16.5" customHeight="1">
      <c r="A341" s="1"/>
      <c r="B341" s="1"/>
      <c r="C341" s="1"/>
      <c r="D341" s="8"/>
      <c r="E341" s="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"/>
      <c r="S341" s="1"/>
      <c r="T341" s="1"/>
      <c r="U341" s="1"/>
      <c r="V341" s="3"/>
      <c r="W341" s="1"/>
      <c r="X341" s="1"/>
    </row>
    <row r="342" ht="16.5" customHeight="1">
      <c r="A342" s="1"/>
      <c r="B342" s="1"/>
      <c r="C342" s="1"/>
      <c r="D342" s="8"/>
      <c r="E342" s="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"/>
      <c r="S342" s="1"/>
      <c r="T342" s="1"/>
      <c r="U342" s="1"/>
      <c r="V342" s="3"/>
      <c r="W342" s="1"/>
      <c r="X342" s="1"/>
    </row>
    <row r="343" ht="16.5" customHeight="1">
      <c r="A343" s="1"/>
      <c r="B343" s="1"/>
      <c r="C343" s="1"/>
      <c r="D343" s="8"/>
      <c r="E343" s="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"/>
      <c r="S343" s="1"/>
      <c r="T343" s="1"/>
      <c r="U343" s="1"/>
      <c r="V343" s="3"/>
      <c r="W343" s="1"/>
      <c r="X343" s="1"/>
    </row>
    <row r="344" ht="16.5" customHeight="1">
      <c r="A344" s="1"/>
      <c r="B344" s="1"/>
      <c r="C344" s="1"/>
      <c r="D344" s="8"/>
      <c r="E344" s="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"/>
      <c r="S344" s="1"/>
      <c r="T344" s="1"/>
      <c r="U344" s="1"/>
      <c r="V344" s="3"/>
      <c r="W344" s="1"/>
      <c r="X344" s="1"/>
    </row>
    <row r="345" ht="16.5" customHeight="1">
      <c r="A345" s="1"/>
      <c r="B345" s="1"/>
      <c r="C345" s="1"/>
      <c r="D345" s="8"/>
      <c r="E345" s="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"/>
      <c r="S345" s="1"/>
      <c r="T345" s="1"/>
      <c r="U345" s="1"/>
      <c r="V345" s="3"/>
      <c r="W345" s="1"/>
      <c r="X345" s="1"/>
    </row>
    <row r="346" ht="16.5" customHeight="1">
      <c r="A346" s="1"/>
      <c r="B346" s="1"/>
      <c r="C346" s="1"/>
      <c r="D346" s="8"/>
      <c r="E346" s="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"/>
      <c r="S346" s="1"/>
      <c r="T346" s="1"/>
      <c r="U346" s="1"/>
      <c r="V346" s="3"/>
      <c r="W346" s="1"/>
      <c r="X346" s="1"/>
    </row>
    <row r="347" ht="16.5" customHeight="1">
      <c r="A347" s="1"/>
      <c r="B347" s="1"/>
      <c r="C347" s="1"/>
      <c r="D347" s="8"/>
      <c r="E347" s="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"/>
      <c r="S347" s="1"/>
      <c r="T347" s="1"/>
      <c r="U347" s="1"/>
      <c r="V347" s="3"/>
      <c r="W347" s="1"/>
      <c r="X347" s="1"/>
    </row>
    <row r="348" ht="16.5" customHeight="1">
      <c r="A348" s="1"/>
      <c r="B348" s="1"/>
      <c r="C348" s="1"/>
      <c r="D348" s="8"/>
      <c r="E348" s="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"/>
      <c r="S348" s="1"/>
      <c r="T348" s="1"/>
      <c r="U348" s="1"/>
      <c r="V348" s="3"/>
      <c r="W348" s="1"/>
      <c r="X348" s="1"/>
    </row>
    <row r="349" ht="16.5" customHeight="1">
      <c r="A349" s="1"/>
      <c r="B349" s="1"/>
      <c r="C349" s="1"/>
      <c r="D349" s="8"/>
      <c r="E349" s="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"/>
      <c r="S349" s="1"/>
      <c r="T349" s="1"/>
      <c r="U349" s="1"/>
      <c r="V349" s="3"/>
      <c r="W349" s="1"/>
      <c r="X349" s="1"/>
    </row>
    <row r="350" ht="16.5" customHeight="1">
      <c r="A350" s="1"/>
      <c r="B350" s="1"/>
      <c r="C350" s="1"/>
      <c r="D350" s="8"/>
      <c r="E350" s="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"/>
      <c r="S350" s="1"/>
      <c r="T350" s="1"/>
      <c r="U350" s="1"/>
      <c r="V350" s="3"/>
      <c r="W350" s="1"/>
      <c r="X350" s="1"/>
    </row>
    <row r="351" ht="16.5" customHeight="1">
      <c r="A351" s="1"/>
      <c r="B351" s="1"/>
      <c r="C351" s="1"/>
      <c r="D351" s="8"/>
      <c r="E351" s="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"/>
      <c r="S351" s="1"/>
      <c r="T351" s="1"/>
      <c r="U351" s="1"/>
      <c r="V351" s="3"/>
      <c r="W351" s="1"/>
      <c r="X351" s="1"/>
    </row>
    <row r="352" ht="16.5" customHeight="1">
      <c r="A352" s="1"/>
      <c r="B352" s="1"/>
      <c r="C352" s="1"/>
      <c r="D352" s="8"/>
      <c r="E352" s="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"/>
      <c r="S352" s="1"/>
      <c r="T352" s="1"/>
      <c r="U352" s="1"/>
      <c r="V352" s="3"/>
      <c r="W352" s="1"/>
      <c r="X352" s="1"/>
    </row>
    <row r="353" ht="16.5" customHeight="1">
      <c r="A353" s="1"/>
      <c r="B353" s="1"/>
      <c r="C353" s="1"/>
      <c r="D353" s="8"/>
      <c r="E353" s="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"/>
      <c r="S353" s="1"/>
      <c r="T353" s="1"/>
      <c r="U353" s="1"/>
      <c r="V353" s="3"/>
      <c r="W353" s="1"/>
      <c r="X353" s="1"/>
    </row>
    <row r="354" ht="16.5" customHeight="1">
      <c r="A354" s="1"/>
      <c r="B354" s="1"/>
      <c r="C354" s="1"/>
      <c r="D354" s="8"/>
      <c r="E354" s="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"/>
      <c r="S354" s="1"/>
      <c r="T354" s="1"/>
      <c r="U354" s="1"/>
      <c r="V354" s="3"/>
      <c r="W354" s="1"/>
      <c r="X354" s="1"/>
    </row>
    <row r="355" ht="16.5" customHeight="1">
      <c r="A355" s="1"/>
      <c r="B355" s="1"/>
      <c r="C355" s="1"/>
      <c r="D355" s="8"/>
      <c r="E355" s="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"/>
      <c r="S355" s="1"/>
      <c r="T355" s="1"/>
      <c r="U355" s="1"/>
      <c r="V355" s="3"/>
      <c r="W355" s="1"/>
      <c r="X355" s="1"/>
    </row>
    <row r="356" ht="16.5" customHeight="1">
      <c r="A356" s="1"/>
      <c r="B356" s="1"/>
      <c r="C356" s="1"/>
      <c r="D356" s="8"/>
      <c r="E356" s="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"/>
      <c r="S356" s="1"/>
      <c r="T356" s="1"/>
      <c r="U356" s="1"/>
      <c r="V356" s="3"/>
      <c r="W356" s="1"/>
      <c r="X356" s="1"/>
    </row>
    <row r="357" ht="16.5" customHeight="1">
      <c r="A357" s="1"/>
      <c r="B357" s="1"/>
      <c r="C357" s="1"/>
      <c r="D357" s="8"/>
      <c r="E357" s="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"/>
      <c r="S357" s="1"/>
      <c r="T357" s="1"/>
      <c r="U357" s="1"/>
      <c r="V357" s="3"/>
      <c r="W357" s="1"/>
      <c r="X357" s="1"/>
    </row>
    <row r="358" ht="16.5" customHeight="1">
      <c r="A358" s="1"/>
      <c r="B358" s="1"/>
      <c r="C358" s="1"/>
      <c r="D358" s="8"/>
      <c r="E358" s="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"/>
      <c r="S358" s="1"/>
      <c r="T358" s="1"/>
      <c r="U358" s="1"/>
      <c r="V358" s="3"/>
      <c r="W358" s="1"/>
      <c r="X358" s="1"/>
    </row>
    <row r="359" ht="16.5" customHeight="1">
      <c r="A359" s="1"/>
      <c r="B359" s="1"/>
      <c r="C359" s="1"/>
      <c r="D359" s="8"/>
      <c r="E359" s="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"/>
      <c r="S359" s="1"/>
      <c r="T359" s="1"/>
      <c r="U359" s="1"/>
      <c r="V359" s="3"/>
      <c r="W359" s="1"/>
      <c r="X359" s="1"/>
    </row>
    <row r="360" ht="16.5" customHeight="1">
      <c r="A360" s="1"/>
      <c r="B360" s="1"/>
      <c r="C360" s="1"/>
      <c r="D360" s="8"/>
      <c r="E360" s="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"/>
      <c r="S360" s="1"/>
      <c r="T360" s="1"/>
      <c r="U360" s="1"/>
      <c r="V360" s="3"/>
      <c r="W360" s="1"/>
      <c r="X360" s="1"/>
    </row>
    <row r="361" ht="16.5" customHeight="1">
      <c r="A361" s="1"/>
      <c r="B361" s="1"/>
      <c r="C361" s="1"/>
      <c r="D361" s="8"/>
      <c r="E361" s="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"/>
      <c r="S361" s="1"/>
      <c r="T361" s="1"/>
      <c r="U361" s="1"/>
      <c r="V361" s="3"/>
      <c r="W361" s="1"/>
      <c r="X361" s="1"/>
    </row>
    <row r="362" ht="16.5" customHeight="1">
      <c r="A362" s="1"/>
      <c r="B362" s="1"/>
      <c r="C362" s="1"/>
      <c r="D362" s="8"/>
      <c r="E362" s="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"/>
      <c r="S362" s="1"/>
      <c r="T362" s="1"/>
      <c r="U362" s="1"/>
      <c r="V362" s="3"/>
      <c r="W362" s="1"/>
      <c r="X362" s="1"/>
    </row>
    <row r="363" ht="16.5" customHeight="1">
      <c r="A363" s="1"/>
      <c r="B363" s="1"/>
      <c r="C363" s="1"/>
      <c r="D363" s="8"/>
      <c r="E363" s="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"/>
      <c r="S363" s="1"/>
      <c r="T363" s="1"/>
      <c r="U363" s="1"/>
      <c r="V363" s="3"/>
      <c r="W363" s="1"/>
      <c r="X363" s="1"/>
    </row>
    <row r="364" ht="16.5" customHeight="1">
      <c r="A364" s="1"/>
      <c r="B364" s="1"/>
      <c r="C364" s="1"/>
      <c r="D364" s="8"/>
      <c r="E364" s="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"/>
      <c r="S364" s="1"/>
      <c r="T364" s="1"/>
      <c r="U364" s="1"/>
      <c r="V364" s="3"/>
      <c r="W364" s="1"/>
      <c r="X364" s="1"/>
    </row>
    <row r="365" ht="16.5" customHeight="1">
      <c r="A365" s="1"/>
      <c r="B365" s="1"/>
      <c r="C365" s="1"/>
      <c r="D365" s="8"/>
      <c r="E365" s="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"/>
      <c r="S365" s="1"/>
      <c r="T365" s="1"/>
      <c r="U365" s="1"/>
      <c r="V365" s="3"/>
      <c r="W365" s="1"/>
      <c r="X365" s="1"/>
    </row>
    <row r="366" ht="16.5" customHeight="1">
      <c r="A366" s="1"/>
      <c r="B366" s="1"/>
      <c r="C366" s="1"/>
      <c r="D366" s="8"/>
      <c r="E366" s="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"/>
      <c r="S366" s="1"/>
      <c r="T366" s="1"/>
      <c r="U366" s="1"/>
      <c r="V366" s="3"/>
      <c r="W366" s="1"/>
      <c r="X366" s="1"/>
    </row>
    <row r="367" ht="16.5" customHeight="1">
      <c r="A367" s="1"/>
      <c r="B367" s="1"/>
      <c r="C367" s="1"/>
      <c r="D367" s="8"/>
      <c r="E367" s="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"/>
      <c r="S367" s="1"/>
      <c r="T367" s="1"/>
      <c r="U367" s="1"/>
      <c r="V367" s="3"/>
      <c r="W367" s="1"/>
      <c r="X367" s="1"/>
    </row>
    <row r="368" ht="16.5" customHeight="1">
      <c r="A368" s="1"/>
      <c r="B368" s="1"/>
      <c r="C368" s="1"/>
      <c r="D368" s="8"/>
      <c r="E368" s="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"/>
      <c r="S368" s="1"/>
      <c r="T368" s="1"/>
      <c r="U368" s="1"/>
      <c r="V368" s="3"/>
      <c r="W368" s="1"/>
      <c r="X368" s="1"/>
    </row>
    <row r="369" ht="16.5" customHeight="1">
      <c r="A369" s="1"/>
      <c r="B369" s="1"/>
      <c r="C369" s="1"/>
      <c r="D369" s="8"/>
      <c r="E369" s="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"/>
      <c r="S369" s="1"/>
      <c r="T369" s="1"/>
      <c r="U369" s="1"/>
      <c r="V369" s="3"/>
      <c r="W369" s="1"/>
      <c r="X369" s="1"/>
    </row>
    <row r="370" ht="16.5" customHeight="1">
      <c r="A370" s="1"/>
      <c r="B370" s="1"/>
      <c r="C370" s="1"/>
      <c r="D370" s="8"/>
      <c r="E370" s="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"/>
      <c r="S370" s="1"/>
      <c r="T370" s="1"/>
      <c r="U370" s="1"/>
      <c r="V370" s="3"/>
      <c r="W370" s="1"/>
      <c r="X370" s="1"/>
    </row>
    <row r="371" ht="16.5" customHeight="1">
      <c r="A371" s="1"/>
      <c r="B371" s="1"/>
      <c r="C371" s="1"/>
      <c r="D371" s="8"/>
      <c r="E371" s="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"/>
      <c r="S371" s="1"/>
      <c r="T371" s="1"/>
      <c r="U371" s="1"/>
      <c r="V371" s="3"/>
      <c r="W371" s="1"/>
      <c r="X371" s="1"/>
    </row>
    <row r="372" ht="16.5" customHeight="1">
      <c r="A372" s="1"/>
      <c r="B372" s="1"/>
      <c r="C372" s="1"/>
      <c r="D372" s="8"/>
      <c r="E372" s="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"/>
      <c r="S372" s="1"/>
      <c r="T372" s="1"/>
      <c r="U372" s="1"/>
      <c r="V372" s="3"/>
      <c r="W372" s="1"/>
      <c r="X372" s="1"/>
    </row>
    <row r="373" ht="16.5" customHeight="1">
      <c r="A373" s="1"/>
      <c r="B373" s="1"/>
      <c r="C373" s="1"/>
      <c r="D373" s="8"/>
      <c r="E373" s="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"/>
      <c r="S373" s="1"/>
      <c r="T373" s="1"/>
      <c r="U373" s="1"/>
      <c r="V373" s="3"/>
      <c r="W373" s="1"/>
      <c r="X373" s="1"/>
    </row>
    <row r="374" ht="16.5" customHeight="1">
      <c r="A374" s="1"/>
      <c r="B374" s="1"/>
      <c r="C374" s="1"/>
      <c r="D374" s="8"/>
      <c r="E374" s="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"/>
      <c r="S374" s="1"/>
      <c r="T374" s="1"/>
      <c r="U374" s="1"/>
      <c r="V374" s="3"/>
      <c r="W374" s="1"/>
      <c r="X374" s="1"/>
    </row>
    <row r="375" ht="16.5" customHeight="1">
      <c r="A375" s="1"/>
      <c r="B375" s="1"/>
      <c r="C375" s="1"/>
      <c r="D375" s="8"/>
      <c r="E375" s="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"/>
      <c r="S375" s="1"/>
      <c r="T375" s="1"/>
      <c r="U375" s="1"/>
      <c r="V375" s="3"/>
      <c r="W375" s="1"/>
      <c r="X375" s="1"/>
    </row>
    <row r="376" ht="16.5" customHeight="1">
      <c r="A376" s="1"/>
      <c r="B376" s="1"/>
      <c r="C376" s="1"/>
      <c r="D376" s="8"/>
      <c r="E376" s="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"/>
      <c r="S376" s="1"/>
      <c r="T376" s="1"/>
      <c r="U376" s="1"/>
      <c r="V376" s="3"/>
      <c r="W376" s="1"/>
      <c r="X376" s="1"/>
    </row>
    <row r="377" ht="16.5" customHeight="1">
      <c r="A377" s="1"/>
      <c r="B377" s="1"/>
      <c r="C377" s="1"/>
      <c r="D377" s="8"/>
      <c r="E377" s="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"/>
      <c r="S377" s="1"/>
      <c r="T377" s="1"/>
      <c r="U377" s="1"/>
      <c r="V377" s="3"/>
      <c r="W377" s="1"/>
      <c r="X377" s="1"/>
    </row>
    <row r="378" ht="16.5" customHeight="1">
      <c r="A378" s="1"/>
      <c r="B378" s="1"/>
      <c r="C378" s="1"/>
      <c r="D378" s="8"/>
      <c r="E378" s="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"/>
      <c r="S378" s="1"/>
      <c r="T378" s="1"/>
      <c r="U378" s="1"/>
      <c r="V378" s="3"/>
      <c r="W378" s="1"/>
      <c r="X378" s="1"/>
    </row>
    <row r="379" ht="16.5" customHeight="1">
      <c r="A379" s="1"/>
      <c r="B379" s="1"/>
      <c r="C379" s="1"/>
      <c r="D379" s="8"/>
      <c r="E379" s="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"/>
      <c r="S379" s="1"/>
      <c r="T379" s="1"/>
      <c r="U379" s="1"/>
      <c r="V379" s="3"/>
      <c r="W379" s="1"/>
      <c r="X379" s="1"/>
    </row>
    <row r="380" ht="16.5" customHeight="1">
      <c r="A380" s="1"/>
      <c r="B380" s="1"/>
      <c r="C380" s="1"/>
      <c r="D380" s="8"/>
      <c r="E380" s="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"/>
      <c r="S380" s="1"/>
      <c r="T380" s="1"/>
      <c r="U380" s="1"/>
      <c r="V380" s="3"/>
      <c r="W380" s="1"/>
      <c r="X380" s="1"/>
    </row>
    <row r="381" ht="16.5" customHeight="1">
      <c r="A381" s="1"/>
      <c r="B381" s="1"/>
      <c r="C381" s="1"/>
      <c r="D381" s="8"/>
      <c r="E381" s="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"/>
      <c r="S381" s="1"/>
      <c r="T381" s="1"/>
      <c r="U381" s="1"/>
      <c r="V381" s="3"/>
      <c r="W381" s="1"/>
      <c r="X381" s="1"/>
    </row>
    <row r="382" ht="16.5" customHeight="1">
      <c r="A382" s="1"/>
      <c r="B382" s="1"/>
      <c r="C382" s="1"/>
      <c r="D382" s="8"/>
      <c r="E382" s="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"/>
      <c r="S382" s="1"/>
      <c r="T382" s="1"/>
      <c r="U382" s="1"/>
      <c r="V382" s="3"/>
      <c r="W382" s="1"/>
      <c r="X382" s="1"/>
    </row>
    <row r="383" ht="16.5" customHeight="1">
      <c r="A383" s="1"/>
      <c r="B383" s="1"/>
      <c r="C383" s="1"/>
      <c r="D383" s="8"/>
      <c r="E383" s="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"/>
      <c r="S383" s="1"/>
      <c r="T383" s="1"/>
      <c r="U383" s="1"/>
      <c r="V383" s="3"/>
      <c r="W383" s="1"/>
      <c r="X383" s="1"/>
    </row>
    <row r="384" ht="16.5" customHeight="1">
      <c r="A384" s="1"/>
      <c r="B384" s="1"/>
      <c r="C384" s="1"/>
      <c r="D384" s="8"/>
      <c r="E384" s="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"/>
      <c r="S384" s="1"/>
      <c r="T384" s="1"/>
      <c r="U384" s="1"/>
      <c r="V384" s="3"/>
      <c r="W384" s="1"/>
      <c r="X384" s="1"/>
    </row>
    <row r="385" ht="16.5" customHeight="1">
      <c r="A385" s="1"/>
      <c r="B385" s="1"/>
      <c r="C385" s="1"/>
      <c r="D385" s="8"/>
      <c r="E385" s="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"/>
      <c r="S385" s="1"/>
      <c r="T385" s="1"/>
      <c r="U385" s="1"/>
      <c r="V385" s="3"/>
      <c r="W385" s="1"/>
      <c r="X385" s="1"/>
    </row>
    <row r="386" ht="16.5" customHeight="1">
      <c r="A386" s="1"/>
      <c r="B386" s="1"/>
      <c r="C386" s="1"/>
      <c r="D386" s="8"/>
      <c r="E386" s="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"/>
      <c r="S386" s="1"/>
      <c r="T386" s="1"/>
      <c r="U386" s="1"/>
      <c r="V386" s="3"/>
      <c r="W386" s="1"/>
      <c r="X386" s="1"/>
    </row>
    <row r="387" ht="16.5" customHeight="1">
      <c r="A387" s="1"/>
      <c r="B387" s="1"/>
      <c r="C387" s="1"/>
      <c r="D387" s="8"/>
      <c r="E387" s="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"/>
      <c r="S387" s="1"/>
      <c r="T387" s="1"/>
      <c r="U387" s="1"/>
      <c r="V387" s="3"/>
      <c r="W387" s="1"/>
      <c r="X387" s="1"/>
    </row>
    <row r="388" ht="16.5" customHeight="1">
      <c r="A388" s="1"/>
      <c r="B388" s="1"/>
      <c r="C388" s="1"/>
      <c r="D388" s="8"/>
      <c r="E388" s="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"/>
      <c r="S388" s="1"/>
      <c r="T388" s="1"/>
      <c r="U388" s="1"/>
      <c r="V388" s="3"/>
      <c r="W388" s="1"/>
      <c r="X388" s="1"/>
    </row>
    <row r="389" ht="16.5" customHeight="1">
      <c r="A389" s="1"/>
      <c r="B389" s="1"/>
      <c r="C389" s="1"/>
      <c r="D389" s="8"/>
      <c r="E389" s="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"/>
      <c r="S389" s="1"/>
      <c r="T389" s="1"/>
      <c r="U389" s="1"/>
      <c r="V389" s="3"/>
      <c r="W389" s="1"/>
      <c r="X389" s="1"/>
    </row>
    <row r="390" ht="16.5" customHeight="1">
      <c r="A390" s="1"/>
      <c r="B390" s="1"/>
      <c r="C390" s="1"/>
      <c r="D390" s="8"/>
      <c r="E390" s="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"/>
      <c r="S390" s="1"/>
      <c r="T390" s="1"/>
      <c r="U390" s="1"/>
      <c r="V390" s="3"/>
      <c r="W390" s="1"/>
      <c r="X390" s="1"/>
    </row>
    <row r="391" ht="16.5" customHeight="1">
      <c r="A391" s="1"/>
      <c r="B391" s="1"/>
      <c r="C391" s="1"/>
      <c r="D391" s="8"/>
      <c r="E391" s="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"/>
      <c r="S391" s="1"/>
      <c r="T391" s="1"/>
      <c r="U391" s="1"/>
      <c r="V391" s="3"/>
      <c r="W391" s="1"/>
      <c r="X391" s="1"/>
    </row>
    <row r="392" ht="16.5" customHeight="1">
      <c r="A392" s="1"/>
      <c r="B392" s="1"/>
      <c r="C392" s="1"/>
      <c r="D392" s="8"/>
      <c r="E392" s="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"/>
      <c r="S392" s="1"/>
      <c r="T392" s="1"/>
      <c r="U392" s="1"/>
      <c r="V392" s="3"/>
      <c r="W392" s="1"/>
      <c r="X392" s="1"/>
    </row>
    <row r="393" ht="16.5" customHeight="1">
      <c r="A393" s="1"/>
      <c r="B393" s="1"/>
      <c r="C393" s="1"/>
      <c r="D393" s="8"/>
      <c r="E393" s="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"/>
      <c r="S393" s="1"/>
      <c r="T393" s="1"/>
      <c r="U393" s="1"/>
      <c r="V393" s="3"/>
      <c r="W393" s="1"/>
      <c r="X393" s="1"/>
    </row>
    <row r="394" ht="16.5" customHeight="1">
      <c r="A394" s="1"/>
      <c r="B394" s="1"/>
      <c r="C394" s="1"/>
      <c r="D394" s="8"/>
      <c r="E394" s="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"/>
      <c r="S394" s="1"/>
      <c r="T394" s="1"/>
      <c r="U394" s="1"/>
      <c r="V394" s="3"/>
      <c r="W394" s="1"/>
      <c r="X394" s="1"/>
    </row>
    <row r="395" ht="16.5" customHeight="1">
      <c r="A395" s="1"/>
      <c r="B395" s="1"/>
      <c r="C395" s="1"/>
      <c r="D395" s="8"/>
      <c r="E395" s="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"/>
      <c r="S395" s="1"/>
      <c r="T395" s="1"/>
      <c r="U395" s="1"/>
      <c r="V395" s="3"/>
      <c r="W395" s="1"/>
      <c r="X395" s="1"/>
    </row>
    <row r="396" ht="16.5" customHeight="1">
      <c r="A396" s="1"/>
      <c r="B396" s="1"/>
      <c r="C396" s="1"/>
      <c r="D396" s="8"/>
      <c r="E396" s="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"/>
      <c r="S396" s="1"/>
      <c r="T396" s="1"/>
      <c r="U396" s="1"/>
      <c r="V396" s="3"/>
      <c r="W396" s="1"/>
      <c r="X396" s="1"/>
    </row>
    <row r="397" ht="16.5" customHeight="1">
      <c r="A397" s="1"/>
      <c r="B397" s="1"/>
      <c r="C397" s="1"/>
      <c r="D397" s="8"/>
      <c r="E397" s="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"/>
      <c r="S397" s="1"/>
      <c r="T397" s="1"/>
      <c r="U397" s="1"/>
      <c r="V397" s="3"/>
      <c r="W397" s="1"/>
      <c r="X397" s="1"/>
    </row>
    <row r="398" ht="16.5" customHeight="1">
      <c r="A398" s="1"/>
      <c r="B398" s="1"/>
      <c r="C398" s="1"/>
      <c r="D398" s="8"/>
      <c r="E398" s="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"/>
      <c r="S398" s="1"/>
      <c r="T398" s="1"/>
      <c r="U398" s="1"/>
      <c r="V398" s="3"/>
      <c r="W398" s="1"/>
      <c r="X398" s="1"/>
    </row>
    <row r="399" ht="16.5" customHeight="1">
      <c r="A399" s="1"/>
      <c r="B399" s="1"/>
      <c r="C399" s="1"/>
      <c r="D399" s="8"/>
      <c r="E399" s="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"/>
      <c r="S399" s="1"/>
      <c r="T399" s="1"/>
      <c r="U399" s="1"/>
      <c r="V399" s="3"/>
      <c r="W399" s="1"/>
      <c r="X399" s="1"/>
    </row>
    <row r="400" ht="16.5" customHeight="1">
      <c r="A400" s="1"/>
      <c r="B400" s="1"/>
      <c r="C400" s="1"/>
      <c r="D400" s="8"/>
      <c r="E400" s="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"/>
      <c r="S400" s="1"/>
      <c r="T400" s="1"/>
      <c r="U400" s="1"/>
      <c r="V400" s="3"/>
      <c r="W400" s="1"/>
      <c r="X400" s="1"/>
    </row>
    <row r="401" ht="16.5" customHeight="1">
      <c r="A401" s="1"/>
      <c r="B401" s="1"/>
      <c r="C401" s="1"/>
      <c r="D401" s="8"/>
      <c r="E401" s="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"/>
      <c r="S401" s="1"/>
      <c r="T401" s="1"/>
      <c r="U401" s="1"/>
      <c r="V401" s="3"/>
      <c r="W401" s="1"/>
      <c r="X401" s="1"/>
    </row>
    <row r="402" ht="16.5" customHeight="1">
      <c r="A402" s="1"/>
      <c r="B402" s="1"/>
      <c r="C402" s="1"/>
      <c r="D402" s="8"/>
      <c r="E402" s="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"/>
      <c r="S402" s="1"/>
      <c r="T402" s="1"/>
      <c r="U402" s="1"/>
      <c r="V402" s="3"/>
      <c r="W402" s="1"/>
      <c r="X402" s="1"/>
    </row>
    <row r="403" ht="16.5" customHeight="1">
      <c r="A403" s="1"/>
      <c r="B403" s="1"/>
      <c r="C403" s="1"/>
      <c r="D403" s="8"/>
      <c r="E403" s="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"/>
      <c r="S403" s="1"/>
      <c r="T403" s="1"/>
      <c r="U403" s="1"/>
      <c r="V403" s="3"/>
      <c r="W403" s="1"/>
      <c r="X403" s="1"/>
    </row>
    <row r="404" ht="16.5" customHeight="1">
      <c r="A404" s="1"/>
      <c r="B404" s="1"/>
      <c r="C404" s="1"/>
      <c r="D404" s="8"/>
      <c r="E404" s="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"/>
      <c r="S404" s="1"/>
      <c r="T404" s="1"/>
      <c r="U404" s="1"/>
      <c r="V404" s="3"/>
      <c r="W404" s="1"/>
      <c r="X404" s="1"/>
    </row>
    <row r="405" ht="16.5" customHeight="1">
      <c r="A405" s="1"/>
      <c r="B405" s="1"/>
      <c r="C405" s="1"/>
      <c r="D405" s="8"/>
      <c r="E405" s="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"/>
      <c r="S405" s="1"/>
      <c r="T405" s="1"/>
      <c r="U405" s="1"/>
      <c r="V405" s="3"/>
      <c r="W405" s="1"/>
      <c r="X405" s="1"/>
    </row>
    <row r="406" ht="16.5" customHeight="1">
      <c r="A406" s="1"/>
      <c r="B406" s="1"/>
      <c r="C406" s="1"/>
      <c r="D406" s="8"/>
      <c r="E406" s="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"/>
      <c r="S406" s="1"/>
      <c r="T406" s="1"/>
      <c r="U406" s="1"/>
      <c r="V406" s="3"/>
      <c r="W406" s="1"/>
      <c r="X406" s="1"/>
    </row>
    <row r="407" ht="16.5" customHeight="1">
      <c r="A407" s="1"/>
      <c r="B407" s="1"/>
      <c r="C407" s="1"/>
      <c r="D407" s="8"/>
      <c r="E407" s="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"/>
      <c r="S407" s="1"/>
      <c r="T407" s="1"/>
      <c r="U407" s="1"/>
      <c r="V407" s="3"/>
      <c r="W407" s="1"/>
      <c r="X407" s="1"/>
    </row>
    <row r="408" ht="16.5" customHeight="1">
      <c r="A408" s="1"/>
      <c r="B408" s="1"/>
      <c r="C408" s="1"/>
      <c r="D408" s="8"/>
      <c r="E408" s="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"/>
      <c r="S408" s="1"/>
      <c r="T408" s="1"/>
      <c r="U408" s="1"/>
      <c r="V408" s="3"/>
      <c r="W408" s="1"/>
      <c r="X408" s="1"/>
    </row>
    <row r="409" ht="16.5" customHeight="1">
      <c r="A409" s="1"/>
      <c r="B409" s="1"/>
      <c r="C409" s="1"/>
      <c r="D409" s="8"/>
      <c r="E409" s="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"/>
      <c r="S409" s="1"/>
      <c r="T409" s="1"/>
      <c r="U409" s="1"/>
      <c r="V409" s="3"/>
      <c r="W409" s="1"/>
      <c r="X409" s="1"/>
    </row>
    <row r="410" ht="16.5" customHeight="1">
      <c r="A410" s="1"/>
      <c r="B410" s="1"/>
      <c r="C410" s="1"/>
      <c r="D410" s="8"/>
      <c r="E410" s="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"/>
      <c r="S410" s="1"/>
      <c r="T410" s="1"/>
      <c r="U410" s="1"/>
      <c r="V410" s="3"/>
      <c r="W410" s="1"/>
      <c r="X410" s="1"/>
    </row>
    <row r="411" ht="16.5" customHeight="1">
      <c r="A411" s="1"/>
      <c r="B411" s="1"/>
      <c r="C411" s="1"/>
      <c r="D411" s="8"/>
      <c r="E411" s="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"/>
      <c r="S411" s="1"/>
      <c r="T411" s="1"/>
      <c r="U411" s="1"/>
      <c r="V411" s="3"/>
      <c r="W411" s="1"/>
      <c r="X411" s="1"/>
    </row>
    <row r="412" ht="16.5" customHeight="1">
      <c r="A412" s="1"/>
      <c r="B412" s="1"/>
      <c r="C412" s="1"/>
      <c r="D412" s="8"/>
      <c r="E412" s="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"/>
      <c r="S412" s="1"/>
      <c r="T412" s="1"/>
      <c r="U412" s="1"/>
      <c r="V412" s="3"/>
      <c r="W412" s="1"/>
      <c r="X412" s="1"/>
    </row>
    <row r="413" ht="16.5" customHeight="1">
      <c r="A413" s="1"/>
      <c r="B413" s="1"/>
      <c r="C413" s="1"/>
      <c r="D413" s="8"/>
      <c r="E413" s="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"/>
      <c r="S413" s="1"/>
      <c r="T413" s="1"/>
      <c r="U413" s="1"/>
      <c r="V413" s="3"/>
      <c r="W413" s="1"/>
      <c r="X413" s="1"/>
    </row>
    <row r="414" ht="16.5" customHeight="1">
      <c r="A414" s="1"/>
      <c r="B414" s="1"/>
      <c r="C414" s="1"/>
      <c r="D414" s="8"/>
      <c r="E414" s="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"/>
      <c r="S414" s="1"/>
      <c r="T414" s="1"/>
      <c r="U414" s="1"/>
      <c r="V414" s="3"/>
      <c r="W414" s="1"/>
      <c r="X414" s="1"/>
    </row>
    <row r="415" ht="16.5" customHeight="1">
      <c r="A415" s="1"/>
      <c r="B415" s="1"/>
      <c r="C415" s="1"/>
      <c r="D415" s="8"/>
      <c r="E415" s="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"/>
      <c r="S415" s="1"/>
      <c r="T415" s="1"/>
      <c r="U415" s="1"/>
      <c r="V415" s="3"/>
      <c r="W415" s="1"/>
      <c r="X415" s="1"/>
    </row>
    <row r="416" ht="16.5" customHeight="1">
      <c r="A416" s="1"/>
      <c r="B416" s="1"/>
      <c r="C416" s="1"/>
      <c r="D416" s="8"/>
      <c r="E416" s="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"/>
      <c r="S416" s="1"/>
      <c r="T416" s="1"/>
      <c r="U416" s="1"/>
      <c r="V416" s="3"/>
      <c r="W416" s="1"/>
      <c r="X416" s="1"/>
    </row>
    <row r="417" ht="16.5" customHeight="1">
      <c r="A417" s="1"/>
      <c r="B417" s="1"/>
      <c r="C417" s="1"/>
      <c r="D417" s="8"/>
      <c r="E417" s="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"/>
      <c r="S417" s="1"/>
      <c r="T417" s="1"/>
      <c r="U417" s="1"/>
      <c r="V417" s="3"/>
      <c r="W417" s="1"/>
      <c r="X417" s="1"/>
    </row>
    <row r="418" ht="16.5" customHeight="1">
      <c r="A418" s="1"/>
      <c r="B418" s="1"/>
      <c r="C418" s="1"/>
      <c r="D418" s="8"/>
      <c r="E418" s="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"/>
      <c r="S418" s="1"/>
      <c r="T418" s="1"/>
      <c r="U418" s="1"/>
      <c r="V418" s="3"/>
      <c r="W418" s="1"/>
      <c r="X418" s="1"/>
    </row>
    <row r="419" ht="16.5" customHeight="1">
      <c r="A419" s="1"/>
      <c r="B419" s="1"/>
      <c r="C419" s="1"/>
      <c r="D419" s="8"/>
      <c r="E419" s="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"/>
      <c r="S419" s="1"/>
      <c r="T419" s="1"/>
      <c r="U419" s="1"/>
      <c r="V419" s="3"/>
      <c r="W419" s="1"/>
      <c r="X419" s="1"/>
    </row>
    <row r="420" ht="16.5" customHeight="1">
      <c r="A420" s="1"/>
      <c r="B420" s="1"/>
      <c r="C420" s="1"/>
      <c r="D420" s="8"/>
      <c r="E420" s="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"/>
      <c r="S420" s="1"/>
      <c r="T420" s="1"/>
      <c r="U420" s="1"/>
      <c r="V420" s="3"/>
      <c r="W420" s="1"/>
      <c r="X420" s="1"/>
    </row>
    <row r="421" ht="16.5" customHeight="1">
      <c r="A421" s="1"/>
      <c r="B421" s="1"/>
      <c r="C421" s="1"/>
      <c r="D421" s="8"/>
      <c r="E421" s="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"/>
      <c r="S421" s="1"/>
      <c r="T421" s="1"/>
      <c r="U421" s="1"/>
      <c r="V421" s="3"/>
      <c r="W421" s="1"/>
      <c r="X421" s="1"/>
    </row>
    <row r="422" ht="16.5" customHeight="1">
      <c r="A422" s="1"/>
      <c r="B422" s="1"/>
      <c r="C422" s="1"/>
      <c r="D422" s="8"/>
      <c r="E422" s="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"/>
      <c r="S422" s="1"/>
      <c r="T422" s="1"/>
      <c r="U422" s="1"/>
      <c r="V422" s="3"/>
      <c r="W422" s="1"/>
      <c r="X422" s="1"/>
    </row>
    <row r="423" ht="16.5" customHeight="1">
      <c r="A423" s="1"/>
      <c r="B423" s="1"/>
      <c r="C423" s="1"/>
      <c r="D423" s="8"/>
      <c r="E423" s="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"/>
      <c r="S423" s="1"/>
      <c r="T423" s="1"/>
      <c r="U423" s="1"/>
      <c r="V423" s="3"/>
      <c r="W423" s="1"/>
      <c r="X423" s="1"/>
    </row>
    <row r="424" ht="16.5" customHeight="1">
      <c r="A424" s="1"/>
      <c r="B424" s="1"/>
      <c r="C424" s="1"/>
      <c r="D424" s="8"/>
      <c r="E424" s="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"/>
      <c r="S424" s="1"/>
      <c r="T424" s="1"/>
      <c r="U424" s="1"/>
      <c r="V424" s="3"/>
      <c r="W424" s="1"/>
      <c r="X424" s="1"/>
    </row>
    <row r="425" ht="16.5" customHeight="1">
      <c r="A425" s="1"/>
      <c r="B425" s="1"/>
      <c r="C425" s="1"/>
      <c r="D425" s="8"/>
      <c r="E425" s="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"/>
      <c r="S425" s="1"/>
      <c r="T425" s="1"/>
      <c r="U425" s="1"/>
      <c r="V425" s="3"/>
      <c r="W425" s="1"/>
      <c r="X425" s="1"/>
    </row>
    <row r="426" ht="16.5" customHeight="1">
      <c r="A426" s="1"/>
      <c r="B426" s="1"/>
      <c r="C426" s="1"/>
      <c r="D426" s="8"/>
      <c r="E426" s="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"/>
      <c r="S426" s="1"/>
      <c r="T426" s="1"/>
      <c r="U426" s="1"/>
      <c r="V426" s="3"/>
      <c r="W426" s="1"/>
      <c r="X426" s="1"/>
    </row>
    <row r="427" ht="16.5" customHeight="1">
      <c r="A427" s="1"/>
      <c r="B427" s="1"/>
      <c r="C427" s="1"/>
      <c r="D427" s="8"/>
      <c r="E427" s="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"/>
      <c r="S427" s="1"/>
      <c r="T427" s="1"/>
      <c r="U427" s="1"/>
      <c r="V427" s="3"/>
      <c r="W427" s="1"/>
      <c r="X427" s="1"/>
    </row>
    <row r="428" ht="16.5" customHeight="1">
      <c r="A428" s="1"/>
      <c r="B428" s="1"/>
      <c r="C428" s="1"/>
      <c r="D428" s="8"/>
      <c r="E428" s="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"/>
      <c r="S428" s="1"/>
      <c r="T428" s="1"/>
      <c r="U428" s="1"/>
      <c r="V428" s="3"/>
      <c r="W428" s="1"/>
      <c r="X428" s="1"/>
    </row>
    <row r="429" ht="16.5" customHeight="1">
      <c r="A429" s="1"/>
      <c r="B429" s="1"/>
      <c r="C429" s="1"/>
      <c r="D429" s="8"/>
      <c r="E429" s="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"/>
      <c r="S429" s="1"/>
      <c r="T429" s="1"/>
      <c r="U429" s="1"/>
      <c r="V429" s="3"/>
      <c r="W429" s="1"/>
      <c r="X429" s="1"/>
    </row>
    <row r="430" ht="16.5" customHeight="1">
      <c r="A430" s="1"/>
      <c r="B430" s="1"/>
      <c r="C430" s="1"/>
      <c r="D430" s="8"/>
      <c r="E430" s="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"/>
      <c r="S430" s="1"/>
      <c r="T430" s="1"/>
      <c r="U430" s="1"/>
      <c r="V430" s="3"/>
      <c r="W430" s="1"/>
      <c r="X430" s="1"/>
    </row>
    <row r="431" ht="16.5" customHeight="1">
      <c r="A431" s="1"/>
      <c r="B431" s="1"/>
      <c r="C431" s="1"/>
      <c r="D431" s="8"/>
      <c r="E431" s="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"/>
      <c r="S431" s="1"/>
      <c r="T431" s="1"/>
      <c r="U431" s="1"/>
      <c r="V431" s="3"/>
      <c r="W431" s="1"/>
      <c r="X431" s="1"/>
    </row>
    <row r="432" ht="16.5" customHeight="1">
      <c r="A432" s="1"/>
      <c r="B432" s="1"/>
      <c r="C432" s="1"/>
      <c r="D432" s="8"/>
      <c r="E432" s="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"/>
      <c r="S432" s="1"/>
      <c r="T432" s="1"/>
      <c r="U432" s="1"/>
      <c r="V432" s="3"/>
      <c r="W432" s="1"/>
      <c r="X432" s="1"/>
    </row>
    <row r="433" ht="16.5" customHeight="1">
      <c r="A433" s="1"/>
      <c r="B433" s="1"/>
      <c r="C433" s="1"/>
      <c r="D433" s="8"/>
      <c r="E433" s="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"/>
      <c r="S433" s="1"/>
      <c r="T433" s="1"/>
      <c r="U433" s="1"/>
      <c r="V433" s="3"/>
      <c r="W433" s="1"/>
      <c r="X433" s="1"/>
    </row>
    <row r="434" ht="16.5" customHeight="1">
      <c r="A434" s="1"/>
      <c r="B434" s="1"/>
      <c r="C434" s="1"/>
      <c r="D434" s="8"/>
      <c r="E434" s="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"/>
      <c r="S434" s="1"/>
      <c r="T434" s="1"/>
      <c r="U434" s="1"/>
      <c r="V434" s="3"/>
      <c r="W434" s="1"/>
      <c r="X434" s="1"/>
    </row>
    <row r="435" ht="16.5" customHeight="1">
      <c r="A435" s="1"/>
      <c r="B435" s="1"/>
      <c r="C435" s="1"/>
      <c r="D435" s="8"/>
      <c r="E435" s="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"/>
      <c r="S435" s="1"/>
      <c r="T435" s="1"/>
      <c r="U435" s="1"/>
      <c r="V435" s="3"/>
      <c r="W435" s="1"/>
      <c r="X435" s="1"/>
    </row>
    <row r="436" ht="16.5" customHeight="1">
      <c r="A436" s="1"/>
      <c r="B436" s="1"/>
      <c r="C436" s="1"/>
      <c r="D436" s="8"/>
      <c r="E436" s="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"/>
      <c r="S436" s="1"/>
      <c r="T436" s="1"/>
      <c r="U436" s="1"/>
      <c r="V436" s="3"/>
      <c r="W436" s="1"/>
      <c r="X436" s="1"/>
    </row>
    <row r="437" ht="16.5" customHeight="1">
      <c r="A437" s="1"/>
      <c r="B437" s="1"/>
      <c r="C437" s="1"/>
      <c r="D437" s="8"/>
      <c r="E437" s="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"/>
      <c r="S437" s="1"/>
      <c r="T437" s="1"/>
      <c r="U437" s="1"/>
      <c r="V437" s="3"/>
      <c r="W437" s="1"/>
      <c r="X437" s="1"/>
    </row>
    <row r="438" ht="16.5" customHeight="1">
      <c r="A438" s="1"/>
      <c r="B438" s="1"/>
      <c r="C438" s="1"/>
      <c r="D438" s="8"/>
      <c r="E438" s="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"/>
      <c r="S438" s="1"/>
      <c r="T438" s="1"/>
      <c r="U438" s="1"/>
      <c r="V438" s="3"/>
      <c r="W438" s="1"/>
      <c r="X438" s="1"/>
    </row>
    <row r="439" ht="16.5" customHeight="1">
      <c r="A439" s="1"/>
      <c r="B439" s="1"/>
      <c r="C439" s="1"/>
      <c r="D439" s="8"/>
      <c r="E439" s="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"/>
      <c r="S439" s="1"/>
      <c r="T439" s="1"/>
      <c r="U439" s="1"/>
      <c r="V439" s="3"/>
      <c r="W439" s="1"/>
      <c r="X439" s="1"/>
    </row>
    <row r="440" ht="16.5" customHeight="1">
      <c r="A440" s="1"/>
      <c r="B440" s="1"/>
      <c r="C440" s="1"/>
      <c r="D440" s="8"/>
      <c r="E440" s="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"/>
      <c r="S440" s="1"/>
      <c r="T440" s="1"/>
      <c r="U440" s="1"/>
      <c r="V440" s="3"/>
      <c r="W440" s="1"/>
      <c r="X440" s="1"/>
    </row>
    <row r="441" ht="16.5" customHeight="1">
      <c r="A441" s="1"/>
      <c r="B441" s="1"/>
      <c r="C441" s="1"/>
      <c r="D441" s="8"/>
      <c r="E441" s="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"/>
      <c r="S441" s="1"/>
      <c r="T441" s="1"/>
      <c r="U441" s="1"/>
      <c r="V441" s="3"/>
      <c r="W441" s="1"/>
      <c r="X441" s="1"/>
    </row>
    <row r="442" ht="16.5" customHeight="1">
      <c r="A442" s="1"/>
      <c r="B442" s="1"/>
      <c r="C442" s="1"/>
      <c r="D442" s="8"/>
      <c r="E442" s="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"/>
      <c r="S442" s="1"/>
      <c r="T442" s="1"/>
      <c r="U442" s="1"/>
      <c r="V442" s="3"/>
      <c r="W442" s="1"/>
      <c r="X442" s="1"/>
    </row>
    <row r="443" ht="16.5" customHeight="1">
      <c r="A443" s="1"/>
      <c r="B443" s="1"/>
      <c r="C443" s="1"/>
      <c r="D443" s="8"/>
      <c r="E443" s="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"/>
      <c r="S443" s="1"/>
      <c r="T443" s="1"/>
      <c r="U443" s="1"/>
      <c r="V443" s="3"/>
      <c r="W443" s="1"/>
      <c r="X443" s="1"/>
    </row>
    <row r="444" ht="16.5" customHeight="1">
      <c r="A444" s="1"/>
      <c r="B444" s="1"/>
      <c r="C444" s="1"/>
      <c r="D444" s="8"/>
      <c r="E444" s="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"/>
      <c r="S444" s="1"/>
      <c r="T444" s="1"/>
      <c r="U444" s="1"/>
      <c r="V444" s="3"/>
      <c r="W444" s="1"/>
      <c r="X444" s="1"/>
    </row>
    <row r="445" ht="16.5" customHeight="1">
      <c r="A445" s="1"/>
      <c r="B445" s="1"/>
      <c r="C445" s="1"/>
      <c r="D445" s="8"/>
      <c r="E445" s="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"/>
      <c r="S445" s="1"/>
      <c r="T445" s="1"/>
      <c r="U445" s="1"/>
      <c r="V445" s="3"/>
      <c r="W445" s="1"/>
      <c r="X445" s="1"/>
    </row>
    <row r="446" ht="16.5" customHeight="1">
      <c r="A446" s="1"/>
      <c r="B446" s="1"/>
      <c r="C446" s="1"/>
      <c r="D446" s="8"/>
      <c r="E446" s="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"/>
      <c r="S446" s="1"/>
      <c r="T446" s="1"/>
      <c r="U446" s="1"/>
      <c r="V446" s="3"/>
      <c r="W446" s="1"/>
      <c r="X446" s="1"/>
    </row>
    <row r="447" ht="16.5" customHeight="1">
      <c r="A447" s="1"/>
      <c r="B447" s="1"/>
      <c r="C447" s="1"/>
      <c r="D447" s="8"/>
      <c r="E447" s="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"/>
      <c r="S447" s="1"/>
      <c r="T447" s="1"/>
      <c r="U447" s="1"/>
      <c r="V447" s="3"/>
      <c r="W447" s="1"/>
      <c r="X447" s="1"/>
    </row>
    <row r="448" ht="16.5" customHeight="1">
      <c r="A448" s="1"/>
      <c r="B448" s="1"/>
      <c r="C448" s="1"/>
      <c r="D448" s="8"/>
      <c r="E448" s="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"/>
      <c r="S448" s="1"/>
      <c r="T448" s="1"/>
      <c r="U448" s="1"/>
      <c r="V448" s="3"/>
      <c r="W448" s="1"/>
      <c r="X448" s="1"/>
    </row>
    <row r="449" ht="16.5" customHeight="1">
      <c r="A449" s="1"/>
      <c r="B449" s="1"/>
      <c r="C449" s="1"/>
      <c r="D449" s="8"/>
      <c r="E449" s="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"/>
      <c r="S449" s="1"/>
      <c r="T449" s="1"/>
      <c r="U449" s="1"/>
      <c r="V449" s="3"/>
      <c r="W449" s="1"/>
      <c r="X449" s="1"/>
    </row>
    <row r="450" ht="16.5" customHeight="1">
      <c r="A450" s="1"/>
      <c r="B450" s="1"/>
      <c r="C450" s="1"/>
      <c r="D450" s="8"/>
      <c r="E450" s="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"/>
      <c r="S450" s="1"/>
      <c r="T450" s="1"/>
      <c r="U450" s="1"/>
      <c r="V450" s="3"/>
      <c r="W450" s="1"/>
      <c r="X450" s="1"/>
    </row>
    <row r="451" ht="16.5" customHeight="1">
      <c r="A451" s="1"/>
      <c r="B451" s="1"/>
      <c r="C451" s="1"/>
      <c r="D451" s="8"/>
      <c r="E451" s="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"/>
      <c r="S451" s="1"/>
      <c r="T451" s="1"/>
      <c r="U451" s="1"/>
      <c r="V451" s="3"/>
      <c r="W451" s="1"/>
      <c r="X451" s="1"/>
    </row>
    <row r="452" ht="16.5" customHeight="1">
      <c r="A452" s="1"/>
      <c r="B452" s="1"/>
      <c r="C452" s="1"/>
      <c r="D452" s="8"/>
      <c r="E452" s="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"/>
      <c r="S452" s="1"/>
      <c r="T452" s="1"/>
      <c r="U452" s="1"/>
      <c r="V452" s="3"/>
      <c r="W452" s="1"/>
      <c r="X452" s="1"/>
    </row>
    <row r="453" ht="16.5" customHeight="1">
      <c r="A453" s="1"/>
      <c r="B453" s="1"/>
      <c r="C453" s="1"/>
      <c r="D453" s="8"/>
      <c r="E453" s="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"/>
      <c r="S453" s="1"/>
      <c r="T453" s="1"/>
      <c r="U453" s="1"/>
      <c r="V453" s="3"/>
      <c r="W453" s="1"/>
      <c r="X453" s="1"/>
    </row>
    <row r="454" ht="16.5" customHeight="1">
      <c r="A454" s="1"/>
      <c r="B454" s="1"/>
      <c r="C454" s="1"/>
      <c r="D454" s="8"/>
      <c r="E454" s="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"/>
      <c r="S454" s="1"/>
      <c r="T454" s="1"/>
      <c r="U454" s="1"/>
      <c r="V454" s="3"/>
      <c r="W454" s="1"/>
      <c r="X454" s="1"/>
    </row>
    <row r="455" ht="16.5" customHeight="1">
      <c r="A455" s="1"/>
      <c r="B455" s="1"/>
      <c r="C455" s="1"/>
      <c r="D455" s="8"/>
      <c r="E455" s="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"/>
      <c r="S455" s="1"/>
      <c r="T455" s="1"/>
      <c r="U455" s="1"/>
      <c r="V455" s="3"/>
      <c r="W455" s="1"/>
      <c r="X455" s="1"/>
    </row>
    <row r="456" ht="16.5" customHeight="1">
      <c r="A456" s="1"/>
      <c r="B456" s="1"/>
      <c r="C456" s="1"/>
      <c r="D456" s="8"/>
      <c r="E456" s="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"/>
      <c r="S456" s="1"/>
      <c r="T456" s="1"/>
      <c r="U456" s="1"/>
      <c r="V456" s="3"/>
      <c r="W456" s="1"/>
      <c r="X456" s="1"/>
    </row>
    <row r="457" ht="16.5" customHeight="1">
      <c r="A457" s="1"/>
      <c r="B457" s="1"/>
      <c r="C457" s="1"/>
      <c r="D457" s="8"/>
      <c r="E457" s="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"/>
      <c r="S457" s="1"/>
      <c r="T457" s="1"/>
      <c r="U457" s="1"/>
      <c r="V457" s="3"/>
      <c r="W457" s="1"/>
      <c r="X457" s="1"/>
    </row>
    <row r="458" ht="16.5" customHeight="1">
      <c r="A458" s="1"/>
      <c r="B458" s="1"/>
      <c r="C458" s="1"/>
      <c r="D458" s="8"/>
      <c r="E458" s="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"/>
      <c r="S458" s="1"/>
      <c r="T458" s="1"/>
      <c r="U458" s="1"/>
      <c r="V458" s="3"/>
      <c r="W458" s="1"/>
      <c r="X458" s="1"/>
    </row>
    <row r="459" ht="16.5" customHeight="1">
      <c r="A459" s="1"/>
      <c r="B459" s="1"/>
      <c r="C459" s="1"/>
      <c r="D459" s="8"/>
      <c r="E459" s="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"/>
      <c r="S459" s="1"/>
      <c r="T459" s="1"/>
      <c r="U459" s="1"/>
      <c r="V459" s="3"/>
      <c r="W459" s="1"/>
      <c r="X459" s="1"/>
    </row>
    <row r="460" ht="16.5" customHeight="1">
      <c r="A460" s="1"/>
      <c r="B460" s="1"/>
      <c r="C460" s="1"/>
      <c r="D460" s="8"/>
      <c r="E460" s="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"/>
      <c r="S460" s="1"/>
      <c r="T460" s="1"/>
      <c r="U460" s="1"/>
      <c r="V460" s="3"/>
      <c r="W460" s="1"/>
      <c r="X460" s="1"/>
    </row>
    <row r="461" ht="16.5" customHeight="1">
      <c r="A461" s="1"/>
      <c r="B461" s="1"/>
      <c r="C461" s="1"/>
      <c r="D461" s="8"/>
      <c r="E461" s="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"/>
      <c r="S461" s="1"/>
      <c r="T461" s="1"/>
      <c r="U461" s="1"/>
      <c r="V461" s="3"/>
      <c r="W461" s="1"/>
      <c r="X461" s="1"/>
    </row>
    <row r="462" ht="16.5" customHeight="1">
      <c r="A462" s="1"/>
      <c r="B462" s="1"/>
      <c r="C462" s="1"/>
      <c r="D462" s="8"/>
      <c r="E462" s="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"/>
      <c r="S462" s="1"/>
      <c r="T462" s="1"/>
      <c r="U462" s="1"/>
      <c r="V462" s="3"/>
      <c r="W462" s="1"/>
      <c r="X462" s="1"/>
    </row>
    <row r="463" ht="16.5" customHeight="1">
      <c r="A463" s="1"/>
      <c r="B463" s="1"/>
      <c r="C463" s="1"/>
      <c r="D463" s="8"/>
      <c r="E463" s="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"/>
      <c r="S463" s="1"/>
      <c r="T463" s="1"/>
      <c r="U463" s="1"/>
      <c r="V463" s="3"/>
      <c r="W463" s="1"/>
      <c r="X463" s="1"/>
    </row>
    <row r="464" ht="16.5" customHeight="1">
      <c r="A464" s="1"/>
      <c r="B464" s="1"/>
      <c r="C464" s="1"/>
      <c r="D464" s="8"/>
      <c r="E464" s="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"/>
      <c r="S464" s="1"/>
      <c r="T464" s="1"/>
      <c r="U464" s="1"/>
      <c r="V464" s="3"/>
      <c r="W464" s="1"/>
      <c r="X464" s="1"/>
    </row>
    <row r="465" ht="16.5" customHeight="1">
      <c r="A465" s="1"/>
      <c r="B465" s="1"/>
      <c r="C465" s="1"/>
      <c r="D465" s="8"/>
      <c r="E465" s="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"/>
      <c r="S465" s="1"/>
      <c r="T465" s="1"/>
      <c r="U465" s="1"/>
      <c r="V465" s="3"/>
      <c r="W465" s="1"/>
      <c r="X465" s="1"/>
    </row>
    <row r="466" ht="16.5" customHeight="1">
      <c r="A466" s="1"/>
      <c r="B466" s="1"/>
      <c r="C466" s="1"/>
      <c r="D466" s="8"/>
      <c r="E466" s="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"/>
      <c r="S466" s="1"/>
      <c r="T466" s="1"/>
      <c r="U466" s="1"/>
      <c r="V466" s="3"/>
      <c r="W466" s="1"/>
      <c r="X466" s="1"/>
    </row>
    <row r="467" ht="16.5" customHeight="1">
      <c r="A467" s="1"/>
      <c r="B467" s="1"/>
      <c r="C467" s="1"/>
      <c r="D467" s="8"/>
      <c r="E467" s="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"/>
      <c r="S467" s="1"/>
      <c r="T467" s="1"/>
      <c r="U467" s="1"/>
      <c r="V467" s="3"/>
      <c r="W467" s="1"/>
      <c r="X467" s="1"/>
    </row>
    <row r="468" ht="16.5" customHeight="1">
      <c r="A468" s="1"/>
      <c r="B468" s="1"/>
      <c r="C468" s="1"/>
      <c r="D468" s="8"/>
      <c r="E468" s="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"/>
      <c r="S468" s="1"/>
      <c r="T468" s="1"/>
      <c r="U468" s="1"/>
      <c r="V468" s="3"/>
      <c r="W468" s="1"/>
      <c r="X468" s="1"/>
    </row>
    <row r="469" ht="16.5" customHeight="1">
      <c r="A469" s="1"/>
      <c r="B469" s="1"/>
      <c r="C469" s="1"/>
      <c r="D469" s="8"/>
      <c r="E469" s="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"/>
      <c r="S469" s="1"/>
      <c r="T469" s="1"/>
      <c r="U469" s="1"/>
      <c r="V469" s="3"/>
      <c r="W469" s="1"/>
      <c r="X469" s="1"/>
    </row>
    <row r="470" ht="16.5" customHeight="1">
      <c r="A470" s="1"/>
      <c r="B470" s="1"/>
      <c r="C470" s="1"/>
      <c r="D470" s="8"/>
      <c r="E470" s="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"/>
      <c r="S470" s="1"/>
      <c r="T470" s="1"/>
      <c r="U470" s="1"/>
      <c r="V470" s="3"/>
      <c r="W470" s="1"/>
      <c r="X470" s="1"/>
    </row>
    <row r="471" ht="16.5" customHeight="1">
      <c r="A471" s="1"/>
      <c r="B471" s="1"/>
      <c r="C471" s="1"/>
      <c r="D471" s="8"/>
      <c r="E471" s="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"/>
      <c r="S471" s="1"/>
      <c r="T471" s="1"/>
      <c r="U471" s="1"/>
      <c r="V471" s="3"/>
      <c r="W471" s="1"/>
      <c r="X471" s="1"/>
    </row>
    <row r="472" ht="16.5" customHeight="1">
      <c r="A472" s="1"/>
      <c r="B472" s="1"/>
      <c r="C472" s="1"/>
      <c r="D472" s="8"/>
      <c r="E472" s="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"/>
      <c r="S472" s="1"/>
      <c r="T472" s="1"/>
      <c r="U472" s="1"/>
      <c r="V472" s="3"/>
      <c r="W472" s="1"/>
      <c r="X472" s="1"/>
    </row>
    <row r="473" ht="16.5" customHeight="1">
      <c r="A473" s="1"/>
      <c r="B473" s="1"/>
      <c r="C473" s="1"/>
      <c r="D473" s="8"/>
      <c r="E473" s="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"/>
      <c r="S473" s="1"/>
      <c r="T473" s="1"/>
      <c r="U473" s="1"/>
      <c r="V473" s="3"/>
      <c r="W473" s="1"/>
      <c r="X473" s="1"/>
    </row>
    <row r="474" ht="16.5" customHeight="1">
      <c r="A474" s="1"/>
      <c r="B474" s="1"/>
      <c r="C474" s="1"/>
      <c r="D474" s="8"/>
      <c r="E474" s="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"/>
      <c r="S474" s="1"/>
      <c r="T474" s="1"/>
      <c r="U474" s="1"/>
      <c r="V474" s="3"/>
      <c r="W474" s="1"/>
      <c r="X474" s="1"/>
    </row>
    <row r="475" ht="16.5" customHeight="1">
      <c r="A475" s="1"/>
      <c r="B475" s="1"/>
      <c r="C475" s="1"/>
      <c r="D475" s="8"/>
      <c r="E475" s="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"/>
      <c r="S475" s="1"/>
      <c r="T475" s="1"/>
      <c r="U475" s="1"/>
      <c r="V475" s="3"/>
      <c r="W475" s="1"/>
      <c r="X475" s="1"/>
    </row>
    <row r="476" ht="16.5" customHeight="1">
      <c r="A476" s="1"/>
      <c r="B476" s="1"/>
      <c r="C476" s="1"/>
      <c r="D476" s="8"/>
      <c r="E476" s="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"/>
      <c r="S476" s="1"/>
      <c r="T476" s="1"/>
      <c r="U476" s="1"/>
      <c r="V476" s="3"/>
      <c r="W476" s="1"/>
      <c r="X476" s="1"/>
    </row>
    <row r="477" ht="16.5" customHeight="1">
      <c r="A477" s="1"/>
      <c r="B477" s="1"/>
      <c r="C477" s="1"/>
      <c r="D477" s="8"/>
      <c r="E477" s="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"/>
      <c r="S477" s="1"/>
      <c r="T477" s="1"/>
      <c r="U477" s="1"/>
      <c r="V477" s="3"/>
      <c r="W477" s="1"/>
      <c r="X477" s="1"/>
    </row>
    <row r="478" ht="16.5" customHeight="1">
      <c r="A478" s="1"/>
      <c r="B478" s="1"/>
      <c r="C478" s="1"/>
      <c r="D478" s="8"/>
      <c r="E478" s="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"/>
      <c r="S478" s="1"/>
      <c r="T478" s="1"/>
      <c r="U478" s="1"/>
      <c r="V478" s="3"/>
      <c r="W478" s="1"/>
      <c r="X478" s="1"/>
    </row>
    <row r="479" ht="16.5" customHeight="1">
      <c r="A479" s="1"/>
      <c r="B479" s="1"/>
      <c r="C479" s="1"/>
      <c r="D479" s="8"/>
      <c r="E479" s="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"/>
      <c r="S479" s="1"/>
      <c r="T479" s="1"/>
      <c r="U479" s="1"/>
      <c r="V479" s="3"/>
      <c r="W479" s="1"/>
      <c r="X479" s="1"/>
    </row>
    <row r="480" ht="16.5" customHeight="1">
      <c r="A480" s="1"/>
      <c r="B480" s="1"/>
      <c r="C480" s="1"/>
      <c r="D480" s="8"/>
      <c r="E480" s="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"/>
      <c r="S480" s="1"/>
      <c r="T480" s="1"/>
      <c r="U480" s="1"/>
      <c r="V480" s="3"/>
      <c r="W480" s="1"/>
      <c r="X480" s="1"/>
    </row>
    <row r="481" ht="16.5" customHeight="1">
      <c r="A481" s="1"/>
      <c r="B481" s="1"/>
      <c r="C481" s="1"/>
      <c r="D481" s="8"/>
      <c r="E481" s="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"/>
      <c r="S481" s="1"/>
      <c r="T481" s="1"/>
      <c r="U481" s="1"/>
      <c r="V481" s="3"/>
      <c r="W481" s="1"/>
      <c r="X481" s="1"/>
    </row>
    <row r="482" ht="16.5" customHeight="1">
      <c r="A482" s="1"/>
      <c r="B482" s="1"/>
      <c r="C482" s="1"/>
      <c r="D482" s="8"/>
      <c r="E482" s="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"/>
      <c r="S482" s="1"/>
      <c r="T482" s="1"/>
      <c r="U482" s="1"/>
      <c r="V482" s="3"/>
      <c r="W482" s="1"/>
      <c r="X482" s="1"/>
    </row>
    <row r="483" ht="16.5" customHeight="1">
      <c r="A483" s="1"/>
      <c r="B483" s="1"/>
      <c r="C483" s="1"/>
      <c r="D483" s="8"/>
      <c r="E483" s="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"/>
      <c r="S483" s="1"/>
      <c r="T483" s="1"/>
      <c r="U483" s="1"/>
      <c r="V483" s="3"/>
      <c r="W483" s="1"/>
      <c r="X483" s="1"/>
    </row>
    <row r="484" ht="16.5" customHeight="1">
      <c r="A484" s="1"/>
      <c r="B484" s="1"/>
      <c r="C484" s="1"/>
      <c r="D484" s="8"/>
      <c r="E484" s="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"/>
      <c r="S484" s="1"/>
      <c r="T484" s="1"/>
      <c r="U484" s="1"/>
      <c r="V484" s="3"/>
      <c r="W484" s="1"/>
      <c r="X484" s="1"/>
    </row>
    <row r="485" ht="16.5" customHeight="1">
      <c r="A485" s="1"/>
      <c r="B485" s="1"/>
      <c r="C485" s="1"/>
      <c r="D485" s="8"/>
      <c r="E485" s="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"/>
      <c r="S485" s="1"/>
      <c r="T485" s="1"/>
      <c r="U485" s="1"/>
      <c r="V485" s="3"/>
      <c r="W485" s="1"/>
      <c r="X485" s="1"/>
    </row>
    <row r="486" ht="16.5" customHeight="1">
      <c r="A486" s="1"/>
      <c r="B486" s="1"/>
      <c r="C486" s="1"/>
      <c r="D486" s="8"/>
      <c r="E486" s="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"/>
      <c r="S486" s="1"/>
      <c r="T486" s="1"/>
      <c r="U486" s="1"/>
      <c r="V486" s="3"/>
      <c r="W486" s="1"/>
      <c r="X486" s="1"/>
    </row>
    <row r="487" ht="16.5" customHeight="1">
      <c r="A487" s="1"/>
      <c r="B487" s="1"/>
      <c r="C487" s="1"/>
      <c r="D487" s="8"/>
      <c r="E487" s="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"/>
      <c r="S487" s="1"/>
      <c r="T487" s="1"/>
      <c r="U487" s="1"/>
      <c r="V487" s="3"/>
      <c r="W487" s="1"/>
      <c r="X487" s="1"/>
    </row>
    <row r="488" ht="16.5" customHeight="1">
      <c r="A488" s="1"/>
      <c r="B488" s="1"/>
      <c r="C488" s="1"/>
      <c r="D488" s="8"/>
      <c r="E488" s="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"/>
      <c r="S488" s="1"/>
      <c r="T488" s="1"/>
      <c r="U488" s="1"/>
      <c r="V488" s="3"/>
      <c r="W488" s="1"/>
      <c r="X488" s="1"/>
    </row>
    <row r="489" ht="16.5" customHeight="1">
      <c r="A489" s="1"/>
      <c r="B489" s="1"/>
      <c r="C489" s="1"/>
      <c r="D489" s="8"/>
      <c r="E489" s="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"/>
      <c r="S489" s="1"/>
      <c r="T489" s="1"/>
      <c r="U489" s="1"/>
      <c r="V489" s="3"/>
      <c r="W489" s="1"/>
      <c r="X489" s="1"/>
    </row>
    <row r="490" ht="16.5" customHeight="1">
      <c r="A490" s="1"/>
      <c r="B490" s="1"/>
      <c r="C490" s="1"/>
      <c r="D490" s="8"/>
      <c r="E490" s="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"/>
      <c r="S490" s="1"/>
      <c r="T490" s="1"/>
      <c r="U490" s="1"/>
      <c r="V490" s="3"/>
      <c r="W490" s="1"/>
      <c r="X490" s="1"/>
    </row>
    <row r="491" ht="16.5" customHeight="1">
      <c r="A491" s="1"/>
      <c r="B491" s="1"/>
      <c r="C491" s="1"/>
      <c r="D491" s="8"/>
      <c r="E491" s="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"/>
      <c r="S491" s="1"/>
      <c r="T491" s="1"/>
      <c r="U491" s="1"/>
      <c r="V491" s="3"/>
      <c r="W491" s="1"/>
      <c r="X491" s="1"/>
    </row>
    <row r="492" ht="16.5" customHeight="1">
      <c r="A492" s="1"/>
      <c r="B492" s="1"/>
      <c r="C492" s="1"/>
      <c r="D492" s="8"/>
      <c r="E492" s="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"/>
      <c r="S492" s="1"/>
      <c r="T492" s="1"/>
      <c r="U492" s="1"/>
      <c r="V492" s="3"/>
      <c r="W492" s="1"/>
      <c r="X492" s="1"/>
    </row>
    <row r="493" ht="16.5" customHeight="1">
      <c r="A493" s="1"/>
      <c r="B493" s="1"/>
      <c r="C493" s="1"/>
      <c r="D493" s="8"/>
      <c r="E493" s="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"/>
      <c r="S493" s="1"/>
      <c r="T493" s="1"/>
      <c r="U493" s="1"/>
      <c r="V493" s="3"/>
      <c r="W493" s="1"/>
      <c r="X493" s="1"/>
    </row>
    <row r="494" ht="16.5" customHeight="1">
      <c r="A494" s="1"/>
      <c r="B494" s="1"/>
      <c r="C494" s="1"/>
      <c r="D494" s="8"/>
      <c r="E494" s="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"/>
      <c r="S494" s="1"/>
      <c r="T494" s="1"/>
      <c r="U494" s="1"/>
      <c r="V494" s="3"/>
      <c r="W494" s="1"/>
      <c r="X494" s="1"/>
    </row>
    <row r="495" ht="16.5" customHeight="1">
      <c r="A495" s="1"/>
      <c r="B495" s="1"/>
      <c r="C495" s="1"/>
      <c r="D495" s="8"/>
      <c r="E495" s="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"/>
      <c r="S495" s="1"/>
      <c r="T495" s="1"/>
      <c r="U495" s="1"/>
      <c r="V495" s="3"/>
      <c r="W495" s="1"/>
      <c r="X495" s="1"/>
    </row>
    <row r="496" ht="16.5" customHeight="1">
      <c r="A496" s="1"/>
      <c r="B496" s="1"/>
      <c r="C496" s="1"/>
      <c r="D496" s="8"/>
      <c r="E496" s="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"/>
      <c r="S496" s="1"/>
      <c r="T496" s="1"/>
      <c r="U496" s="1"/>
      <c r="V496" s="3"/>
      <c r="W496" s="1"/>
      <c r="X496" s="1"/>
    </row>
    <row r="497" ht="16.5" customHeight="1">
      <c r="A497" s="1"/>
      <c r="B497" s="1"/>
      <c r="C497" s="1"/>
      <c r="D497" s="8"/>
      <c r="E497" s="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"/>
      <c r="S497" s="1"/>
      <c r="T497" s="1"/>
      <c r="U497" s="1"/>
      <c r="V497" s="3"/>
      <c r="W497" s="1"/>
      <c r="X497" s="1"/>
    </row>
    <row r="498" ht="16.5" customHeight="1">
      <c r="A498" s="1"/>
      <c r="B498" s="1"/>
      <c r="C498" s="1"/>
      <c r="D498" s="8"/>
      <c r="E498" s="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"/>
      <c r="S498" s="1"/>
      <c r="T498" s="1"/>
      <c r="U498" s="1"/>
      <c r="V498" s="3"/>
      <c r="W498" s="1"/>
      <c r="X498" s="1"/>
    </row>
    <row r="499" ht="16.5" customHeight="1">
      <c r="A499" s="1"/>
      <c r="B499" s="1"/>
      <c r="C499" s="1"/>
      <c r="D499" s="8"/>
      <c r="E499" s="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"/>
      <c r="S499" s="1"/>
      <c r="T499" s="1"/>
      <c r="U499" s="1"/>
      <c r="V499" s="3"/>
      <c r="W499" s="1"/>
      <c r="X499" s="1"/>
    </row>
    <row r="500" ht="16.5" customHeight="1">
      <c r="A500" s="1"/>
      <c r="B500" s="1"/>
      <c r="C500" s="1"/>
      <c r="D500" s="8"/>
      <c r="E500" s="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"/>
      <c r="S500" s="1"/>
      <c r="T500" s="1"/>
      <c r="U500" s="1"/>
      <c r="V500" s="3"/>
      <c r="W500" s="1"/>
      <c r="X500" s="1"/>
    </row>
    <row r="501" ht="16.5" customHeight="1">
      <c r="A501" s="1"/>
      <c r="B501" s="1"/>
      <c r="C501" s="1"/>
      <c r="D501" s="8"/>
      <c r="E501" s="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"/>
      <c r="S501" s="1"/>
      <c r="T501" s="1"/>
      <c r="U501" s="1"/>
      <c r="V501" s="3"/>
      <c r="W501" s="1"/>
      <c r="X501" s="1"/>
    </row>
    <row r="502" ht="16.5" customHeight="1">
      <c r="A502" s="1"/>
      <c r="B502" s="1"/>
      <c r="C502" s="1"/>
      <c r="D502" s="8"/>
      <c r="E502" s="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"/>
      <c r="S502" s="1"/>
      <c r="T502" s="1"/>
      <c r="U502" s="1"/>
      <c r="V502" s="3"/>
      <c r="W502" s="1"/>
      <c r="X502" s="1"/>
    </row>
    <row r="503" ht="16.5" customHeight="1">
      <c r="A503" s="1"/>
      <c r="B503" s="1"/>
      <c r="C503" s="1"/>
      <c r="D503" s="8"/>
      <c r="E503" s="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"/>
      <c r="S503" s="1"/>
      <c r="T503" s="1"/>
      <c r="U503" s="1"/>
      <c r="V503" s="3"/>
      <c r="W503" s="1"/>
      <c r="X503" s="1"/>
    </row>
    <row r="504" ht="16.5" customHeight="1">
      <c r="A504" s="1"/>
      <c r="B504" s="1"/>
      <c r="C504" s="1"/>
      <c r="D504" s="8"/>
      <c r="E504" s="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"/>
      <c r="S504" s="1"/>
      <c r="T504" s="1"/>
      <c r="U504" s="1"/>
      <c r="V504" s="3"/>
      <c r="W504" s="1"/>
      <c r="X504" s="1"/>
    </row>
    <row r="505" ht="16.5" customHeight="1">
      <c r="A505" s="1"/>
      <c r="B505" s="1"/>
      <c r="C505" s="1"/>
      <c r="D505" s="8"/>
      <c r="E505" s="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"/>
      <c r="S505" s="1"/>
      <c r="T505" s="1"/>
      <c r="U505" s="1"/>
      <c r="V505" s="3"/>
      <c r="W505" s="1"/>
      <c r="X505" s="1"/>
    </row>
    <row r="506" ht="16.5" customHeight="1">
      <c r="A506" s="1"/>
      <c r="B506" s="1"/>
      <c r="C506" s="1"/>
      <c r="D506" s="8"/>
      <c r="E506" s="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"/>
      <c r="S506" s="1"/>
      <c r="T506" s="1"/>
      <c r="U506" s="1"/>
      <c r="V506" s="3"/>
      <c r="W506" s="1"/>
      <c r="X506" s="1"/>
    </row>
    <row r="507" ht="16.5" customHeight="1">
      <c r="A507" s="1"/>
      <c r="B507" s="1"/>
      <c r="C507" s="1"/>
      <c r="D507" s="8"/>
      <c r="E507" s="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"/>
      <c r="S507" s="1"/>
      <c r="T507" s="1"/>
      <c r="U507" s="1"/>
      <c r="V507" s="3"/>
      <c r="W507" s="1"/>
      <c r="X507" s="1"/>
    </row>
    <row r="508" ht="16.5" customHeight="1">
      <c r="A508" s="1"/>
      <c r="B508" s="1"/>
      <c r="C508" s="1"/>
      <c r="D508" s="8"/>
      <c r="E508" s="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"/>
      <c r="S508" s="1"/>
      <c r="T508" s="1"/>
      <c r="U508" s="1"/>
      <c r="V508" s="3"/>
      <c r="W508" s="1"/>
      <c r="X508" s="1"/>
    </row>
    <row r="509" ht="16.5" customHeight="1">
      <c r="A509" s="1"/>
      <c r="B509" s="1"/>
      <c r="C509" s="1"/>
      <c r="D509" s="8"/>
      <c r="E509" s="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"/>
      <c r="S509" s="1"/>
      <c r="T509" s="1"/>
      <c r="U509" s="1"/>
      <c r="V509" s="3"/>
      <c r="W509" s="1"/>
      <c r="X509" s="1"/>
    </row>
    <row r="510" ht="16.5" customHeight="1">
      <c r="A510" s="1"/>
      <c r="B510" s="1"/>
      <c r="C510" s="1"/>
      <c r="D510" s="8"/>
      <c r="E510" s="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"/>
      <c r="S510" s="1"/>
      <c r="T510" s="1"/>
      <c r="U510" s="1"/>
      <c r="V510" s="3"/>
      <c r="W510" s="1"/>
      <c r="X510" s="1"/>
    </row>
    <row r="511" ht="16.5" customHeight="1">
      <c r="A511" s="1"/>
      <c r="B511" s="1"/>
      <c r="C511" s="1"/>
      <c r="D511" s="8"/>
      <c r="E511" s="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"/>
      <c r="S511" s="1"/>
      <c r="T511" s="1"/>
      <c r="U511" s="1"/>
      <c r="V511" s="3"/>
      <c r="W511" s="1"/>
      <c r="X511" s="1"/>
    </row>
    <row r="512" ht="16.5" customHeight="1">
      <c r="A512" s="1"/>
      <c r="B512" s="1"/>
      <c r="C512" s="1"/>
      <c r="D512" s="8"/>
      <c r="E512" s="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"/>
      <c r="S512" s="1"/>
      <c r="T512" s="1"/>
      <c r="U512" s="1"/>
      <c r="V512" s="3"/>
      <c r="W512" s="1"/>
      <c r="X512" s="1"/>
    </row>
    <row r="513" ht="16.5" customHeight="1">
      <c r="A513" s="1"/>
      <c r="B513" s="1"/>
      <c r="C513" s="1"/>
      <c r="D513" s="8"/>
      <c r="E513" s="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"/>
      <c r="S513" s="1"/>
      <c r="T513" s="1"/>
      <c r="U513" s="1"/>
      <c r="V513" s="3"/>
      <c r="W513" s="1"/>
      <c r="X513" s="1"/>
    </row>
    <row r="514" ht="16.5" customHeight="1">
      <c r="A514" s="1"/>
      <c r="B514" s="1"/>
      <c r="C514" s="1"/>
      <c r="D514" s="8"/>
      <c r="E514" s="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"/>
      <c r="S514" s="1"/>
      <c r="T514" s="1"/>
      <c r="U514" s="1"/>
      <c r="V514" s="3"/>
      <c r="W514" s="1"/>
      <c r="X514" s="1"/>
    </row>
    <row r="515" ht="16.5" customHeight="1">
      <c r="A515" s="1"/>
      <c r="B515" s="1"/>
      <c r="C515" s="1"/>
      <c r="D515" s="8"/>
      <c r="E515" s="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"/>
      <c r="S515" s="1"/>
      <c r="T515" s="1"/>
      <c r="U515" s="1"/>
      <c r="V515" s="3"/>
      <c r="W515" s="1"/>
      <c r="X515" s="1"/>
    </row>
    <row r="516" ht="16.5" customHeight="1">
      <c r="A516" s="1"/>
      <c r="B516" s="1"/>
      <c r="C516" s="1"/>
      <c r="D516" s="8"/>
      <c r="E516" s="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"/>
      <c r="S516" s="1"/>
      <c r="T516" s="1"/>
      <c r="U516" s="1"/>
      <c r="V516" s="3"/>
      <c r="W516" s="1"/>
      <c r="X516" s="1"/>
    </row>
    <row r="517" ht="16.5" customHeight="1">
      <c r="A517" s="1"/>
      <c r="B517" s="1"/>
      <c r="C517" s="1"/>
      <c r="D517" s="8"/>
      <c r="E517" s="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"/>
      <c r="S517" s="1"/>
      <c r="T517" s="1"/>
      <c r="U517" s="1"/>
      <c r="V517" s="3"/>
      <c r="W517" s="1"/>
      <c r="X517" s="1"/>
    </row>
    <row r="518" ht="16.5" customHeight="1">
      <c r="A518" s="1"/>
      <c r="B518" s="1"/>
      <c r="C518" s="1"/>
      <c r="D518" s="8"/>
      <c r="E518" s="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"/>
      <c r="S518" s="1"/>
      <c r="T518" s="1"/>
      <c r="U518" s="1"/>
      <c r="V518" s="3"/>
      <c r="W518" s="1"/>
      <c r="X518" s="1"/>
    </row>
    <row r="519" ht="16.5" customHeight="1">
      <c r="A519" s="1"/>
      <c r="B519" s="1"/>
      <c r="C519" s="1"/>
      <c r="D519" s="8"/>
      <c r="E519" s="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"/>
      <c r="S519" s="1"/>
      <c r="T519" s="1"/>
      <c r="U519" s="1"/>
      <c r="V519" s="3"/>
      <c r="W519" s="1"/>
      <c r="X519" s="1"/>
    </row>
    <row r="520" ht="16.5" customHeight="1">
      <c r="A520" s="1"/>
      <c r="B520" s="1"/>
      <c r="C520" s="1"/>
      <c r="D520" s="8"/>
      <c r="E520" s="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"/>
      <c r="S520" s="1"/>
      <c r="T520" s="1"/>
      <c r="U520" s="1"/>
      <c r="V520" s="3"/>
      <c r="W520" s="1"/>
      <c r="X520" s="1"/>
    </row>
    <row r="521" ht="16.5" customHeight="1">
      <c r="A521" s="1"/>
      <c r="B521" s="1"/>
      <c r="C521" s="1"/>
      <c r="D521" s="8"/>
      <c r="E521" s="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"/>
      <c r="S521" s="1"/>
      <c r="T521" s="1"/>
      <c r="U521" s="1"/>
      <c r="V521" s="3"/>
      <c r="W521" s="1"/>
      <c r="X521" s="1"/>
    </row>
    <row r="522" ht="16.5" customHeight="1">
      <c r="A522" s="1"/>
      <c r="B522" s="1"/>
      <c r="C522" s="1"/>
      <c r="D522" s="8"/>
      <c r="E522" s="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"/>
      <c r="S522" s="1"/>
      <c r="T522" s="1"/>
      <c r="U522" s="1"/>
      <c r="V522" s="3"/>
      <c r="W522" s="1"/>
      <c r="X522" s="1"/>
    </row>
    <row r="523" ht="16.5" customHeight="1">
      <c r="A523" s="1"/>
      <c r="B523" s="1"/>
      <c r="C523" s="1"/>
      <c r="D523" s="8"/>
      <c r="E523" s="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"/>
      <c r="S523" s="1"/>
      <c r="T523" s="1"/>
      <c r="U523" s="1"/>
      <c r="V523" s="3"/>
      <c r="W523" s="1"/>
      <c r="X523" s="1"/>
    </row>
    <row r="524" ht="16.5" customHeight="1">
      <c r="A524" s="1"/>
      <c r="B524" s="1"/>
      <c r="C524" s="1"/>
      <c r="D524" s="8"/>
      <c r="E524" s="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"/>
      <c r="S524" s="1"/>
      <c r="T524" s="1"/>
      <c r="U524" s="1"/>
      <c r="V524" s="3"/>
      <c r="W524" s="1"/>
      <c r="X524" s="1"/>
    </row>
    <row r="525" ht="16.5" customHeight="1">
      <c r="A525" s="1"/>
      <c r="B525" s="1"/>
      <c r="C525" s="1"/>
      <c r="D525" s="8"/>
      <c r="E525" s="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"/>
      <c r="S525" s="1"/>
      <c r="T525" s="1"/>
      <c r="U525" s="1"/>
      <c r="V525" s="3"/>
      <c r="W525" s="1"/>
      <c r="X525" s="1"/>
    </row>
    <row r="526" ht="16.5" customHeight="1">
      <c r="A526" s="1"/>
      <c r="B526" s="1"/>
      <c r="C526" s="1"/>
      <c r="D526" s="8"/>
      <c r="E526" s="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"/>
      <c r="S526" s="1"/>
      <c r="T526" s="1"/>
      <c r="U526" s="1"/>
      <c r="V526" s="3"/>
      <c r="W526" s="1"/>
      <c r="X526" s="1"/>
    </row>
    <row r="527" ht="16.5" customHeight="1">
      <c r="A527" s="1"/>
      <c r="B527" s="1"/>
      <c r="C527" s="1"/>
      <c r="D527" s="8"/>
      <c r="E527" s="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"/>
      <c r="S527" s="1"/>
      <c r="T527" s="1"/>
      <c r="U527" s="1"/>
      <c r="V527" s="3"/>
      <c r="W527" s="1"/>
      <c r="X527" s="1"/>
    </row>
    <row r="528" ht="16.5" customHeight="1">
      <c r="A528" s="1"/>
      <c r="B528" s="1"/>
      <c r="C528" s="1"/>
      <c r="D528" s="8"/>
      <c r="E528" s="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"/>
      <c r="S528" s="1"/>
      <c r="T528" s="1"/>
      <c r="U528" s="1"/>
      <c r="V528" s="3"/>
      <c r="W528" s="1"/>
      <c r="X528" s="1"/>
    </row>
    <row r="529" ht="16.5" customHeight="1">
      <c r="A529" s="1"/>
      <c r="B529" s="1"/>
      <c r="C529" s="1"/>
      <c r="D529" s="8"/>
      <c r="E529" s="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"/>
      <c r="S529" s="1"/>
      <c r="T529" s="1"/>
      <c r="U529" s="1"/>
      <c r="V529" s="3"/>
      <c r="W529" s="1"/>
      <c r="X529" s="1"/>
    </row>
    <row r="530" ht="16.5" customHeight="1">
      <c r="A530" s="1"/>
      <c r="B530" s="1"/>
      <c r="C530" s="1"/>
      <c r="D530" s="8"/>
      <c r="E530" s="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"/>
      <c r="S530" s="1"/>
      <c r="T530" s="1"/>
      <c r="U530" s="1"/>
      <c r="V530" s="3"/>
      <c r="W530" s="1"/>
      <c r="X530" s="1"/>
    </row>
    <row r="531" ht="16.5" customHeight="1">
      <c r="A531" s="1"/>
      <c r="B531" s="1"/>
      <c r="C531" s="1"/>
      <c r="D531" s="8"/>
      <c r="E531" s="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"/>
      <c r="S531" s="1"/>
      <c r="T531" s="1"/>
      <c r="U531" s="1"/>
      <c r="V531" s="3"/>
      <c r="W531" s="1"/>
      <c r="X531" s="1"/>
    </row>
    <row r="532" ht="16.5" customHeight="1">
      <c r="A532" s="1"/>
      <c r="B532" s="1"/>
      <c r="C532" s="1"/>
      <c r="D532" s="8"/>
      <c r="E532" s="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"/>
      <c r="S532" s="1"/>
      <c r="T532" s="1"/>
      <c r="U532" s="1"/>
      <c r="V532" s="3"/>
      <c r="W532" s="1"/>
      <c r="X532" s="1"/>
    </row>
    <row r="533" ht="16.5" customHeight="1">
      <c r="A533" s="1"/>
      <c r="B533" s="1"/>
      <c r="C533" s="1"/>
      <c r="D533" s="8"/>
      <c r="E533" s="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"/>
      <c r="S533" s="1"/>
      <c r="T533" s="1"/>
      <c r="U533" s="1"/>
      <c r="V533" s="3"/>
      <c r="W533" s="1"/>
      <c r="X533" s="1"/>
    </row>
    <row r="534" ht="16.5" customHeight="1">
      <c r="A534" s="1"/>
      <c r="B534" s="1"/>
      <c r="C534" s="1"/>
      <c r="D534" s="8"/>
      <c r="E534" s="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"/>
      <c r="S534" s="1"/>
      <c r="T534" s="1"/>
      <c r="U534" s="1"/>
      <c r="V534" s="3"/>
      <c r="W534" s="1"/>
      <c r="X534" s="1"/>
    </row>
    <row r="535" ht="16.5" customHeight="1">
      <c r="A535" s="1"/>
      <c r="B535" s="1"/>
      <c r="C535" s="1"/>
      <c r="D535" s="8"/>
      <c r="E535" s="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"/>
      <c r="S535" s="1"/>
      <c r="T535" s="1"/>
      <c r="U535" s="1"/>
      <c r="V535" s="3"/>
      <c r="W535" s="1"/>
      <c r="X535" s="1"/>
    </row>
    <row r="536" ht="16.5" customHeight="1">
      <c r="A536" s="1"/>
      <c r="B536" s="1"/>
      <c r="C536" s="1"/>
      <c r="D536" s="8"/>
      <c r="E536" s="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"/>
      <c r="S536" s="1"/>
      <c r="T536" s="1"/>
      <c r="U536" s="1"/>
      <c r="V536" s="3"/>
      <c r="W536" s="1"/>
      <c r="X536" s="1"/>
    </row>
    <row r="537" ht="16.5" customHeight="1">
      <c r="A537" s="1"/>
      <c r="B537" s="1"/>
      <c r="C537" s="1"/>
      <c r="D537" s="8"/>
      <c r="E537" s="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"/>
      <c r="S537" s="1"/>
      <c r="T537" s="1"/>
      <c r="U537" s="1"/>
      <c r="V537" s="3"/>
      <c r="W537" s="1"/>
      <c r="X537" s="1"/>
    </row>
    <row r="538" ht="16.5" customHeight="1">
      <c r="A538" s="1"/>
      <c r="B538" s="1"/>
      <c r="C538" s="1"/>
      <c r="D538" s="8"/>
      <c r="E538" s="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"/>
      <c r="S538" s="1"/>
      <c r="T538" s="1"/>
      <c r="U538" s="1"/>
      <c r="V538" s="3"/>
      <c r="W538" s="1"/>
      <c r="X538" s="1"/>
    </row>
    <row r="539" ht="16.5" customHeight="1">
      <c r="A539" s="1"/>
      <c r="B539" s="1"/>
      <c r="C539" s="1"/>
      <c r="D539" s="8"/>
      <c r="E539" s="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"/>
      <c r="S539" s="1"/>
      <c r="T539" s="1"/>
      <c r="U539" s="1"/>
      <c r="V539" s="3"/>
      <c r="W539" s="1"/>
      <c r="X539" s="1"/>
    </row>
    <row r="540" ht="16.5" customHeight="1">
      <c r="A540" s="1"/>
      <c r="B540" s="1"/>
      <c r="C540" s="1"/>
      <c r="D540" s="8"/>
      <c r="E540" s="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"/>
      <c r="S540" s="1"/>
      <c r="T540" s="1"/>
      <c r="U540" s="1"/>
      <c r="V540" s="3"/>
      <c r="W540" s="1"/>
      <c r="X540" s="1"/>
    </row>
    <row r="541" ht="16.5" customHeight="1">
      <c r="A541" s="1"/>
      <c r="B541" s="1"/>
      <c r="C541" s="1"/>
      <c r="D541" s="8"/>
      <c r="E541" s="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"/>
      <c r="S541" s="1"/>
      <c r="T541" s="1"/>
      <c r="U541" s="1"/>
      <c r="V541" s="3"/>
      <c r="W541" s="1"/>
      <c r="X541" s="1"/>
    </row>
    <row r="542" ht="16.5" customHeight="1">
      <c r="A542" s="1"/>
      <c r="B542" s="1"/>
      <c r="C542" s="1"/>
      <c r="D542" s="8"/>
      <c r="E542" s="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"/>
      <c r="S542" s="1"/>
      <c r="T542" s="1"/>
      <c r="U542" s="1"/>
      <c r="V542" s="3"/>
      <c r="W542" s="1"/>
      <c r="X542" s="1"/>
    </row>
    <row r="543" ht="16.5" customHeight="1">
      <c r="A543" s="1"/>
      <c r="B543" s="1"/>
      <c r="C543" s="1"/>
      <c r="D543" s="8"/>
      <c r="E543" s="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"/>
      <c r="S543" s="1"/>
      <c r="T543" s="1"/>
      <c r="U543" s="1"/>
      <c r="V543" s="3"/>
      <c r="W543" s="1"/>
      <c r="X543" s="1"/>
    </row>
    <row r="544" ht="16.5" customHeight="1">
      <c r="A544" s="1"/>
      <c r="B544" s="1"/>
      <c r="C544" s="1"/>
      <c r="D544" s="8"/>
      <c r="E544" s="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"/>
      <c r="S544" s="1"/>
      <c r="T544" s="1"/>
      <c r="U544" s="1"/>
      <c r="V544" s="3"/>
      <c r="W544" s="1"/>
      <c r="X544" s="1"/>
    </row>
    <row r="545" ht="16.5" customHeight="1">
      <c r="A545" s="1"/>
      <c r="B545" s="1"/>
      <c r="C545" s="1"/>
      <c r="D545" s="8"/>
      <c r="E545" s="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"/>
      <c r="S545" s="1"/>
      <c r="T545" s="1"/>
      <c r="U545" s="1"/>
      <c r="V545" s="3"/>
      <c r="W545" s="1"/>
      <c r="X545" s="1"/>
    </row>
    <row r="546" ht="16.5" customHeight="1">
      <c r="A546" s="1"/>
      <c r="B546" s="1"/>
      <c r="C546" s="1"/>
      <c r="D546" s="8"/>
      <c r="E546" s="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"/>
      <c r="S546" s="1"/>
      <c r="T546" s="1"/>
      <c r="U546" s="1"/>
      <c r="V546" s="3"/>
      <c r="W546" s="1"/>
      <c r="X546" s="1"/>
    </row>
    <row r="547" ht="16.5" customHeight="1">
      <c r="A547" s="1"/>
      <c r="B547" s="1"/>
      <c r="C547" s="1"/>
      <c r="D547" s="8"/>
      <c r="E547" s="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"/>
      <c r="S547" s="1"/>
      <c r="T547" s="1"/>
      <c r="U547" s="1"/>
      <c r="V547" s="3"/>
      <c r="W547" s="1"/>
      <c r="X547" s="1"/>
    </row>
    <row r="548" ht="16.5" customHeight="1">
      <c r="A548" s="1"/>
      <c r="B548" s="1"/>
      <c r="C548" s="1"/>
      <c r="D548" s="8"/>
      <c r="E548" s="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"/>
      <c r="S548" s="1"/>
      <c r="T548" s="1"/>
      <c r="U548" s="1"/>
      <c r="V548" s="3"/>
      <c r="W548" s="1"/>
      <c r="X548" s="1"/>
    </row>
    <row r="549" ht="16.5" customHeight="1">
      <c r="A549" s="1"/>
      <c r="B549" s="1"/>
      <c r="C549" s="1"/>
      <c r="D549" s="8"/>
      <c r="E549" s="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"/>
      <c r="S549" s="1"/>
      <c r="T549" s="1"/>
      <c r="U549" s="1"/>
      <c r="V549" s="3"/>
      <c r="W549" s="1"/>
      <c r="X549" s="1"/>
    </row>
    <row r="550" ht="16.5" customHeight="1">
      <c r="A550" s="1"/>
      <c r="B550" s="1"/>
      <c r="C550" s="1"/>
      <c r="D550" s="8"/>
      <c r="E550" s="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"/>
      <c r="S550" s="1"/>
      <c r="T550" s="1"/>
      <c r="U550" s="1"/>
      <c r="V550" s="3"/>
      <c r="W550" s="1"/>
      <c r="X550" s="1"/>
    </row>
    <row r="551" ht="16.5" customHeight="1">
      <c r="A551" s="1"/>
      <c r="B551" s="1"/>
      <c r="C551" s="1"/>
      <c r="D551" s="8"/>
      <c r="E551" s="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"/>
      <c r="S551" s="1"/>
      <c r="T551" s="1"/>
      <c r="U551" s="1"/>
      <c r="V551" s="3"/>
      <c r="W551" s="1"/>
      <c r="X551" s="1"/>
    </row>
    <row r="552" ht="16.5" customHeight="1">
      <c r="A552" s="1"/>
      <c r="B552" s="1"/>
      <c r="C552" s="1"/>
      <c r="D552" s="8"/>
      <c r="E552" s="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"/>
      <c r="S552" s="1"/>
      <c r="T552" s="1"/>
      <c r="U552" s="1"/>
      <c r="V552" s="3"/>
      <c r="W552" s="1"/>
      <c r="X552" s="1"/>
    </row>
    <row r="553" ht="16.5" customHeight="1">
      <c r="A553" s="1"/>
      <c r="B553" s="1"/>
      <c r="C553" s="1"/>
      <c r="D553" s="8"/>
      <c r="E553" s="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"/>
      <c r="S553" s="1"/>
      <c r="T553" s="1"/>
      <c r="U553" s="1"/>
      <c r="V553" s="3"/>
      <c r="W553" s="1"/>
      <c r="X553" s="1"/>
    </row>
    <row r="554" ht="16.5" customHeight="1">
      <c r="A554" s="1"/>
      <c r="B554" s="1"/>
      <c r="C554" s="1"/>
      <c r="D554" s="8"/>
      <c r="E554" s="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"/>
      <c r="S554" s="1"/>
      <c r="T554" s="1"/>
      <c r="U554" s="1"/>
      <c r="V554" s="3"/>
      <c r="W554" s="1"/>
      <c r="X554" s="1"/>
    </row>
    <row r="555" ht="16.5" customHeight="1">
      <c r="A555" s="1"/>
      <c r="B555" s="1"/>
      <c r="C555" s="1"/>
      <c r="D555" s="8"/>
      <c r="E555" s="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"/>
      <c r="S555" s="1"/>
      <c r="T555" s="1"/>
      <c r="U555" s="1"/>
      <c r="V555" s="3"/>
      <c r="W555" s="1"/>
      <c r="X555" s="1"/>
    </row>
    <row r="556" ht="16.5" customHeight="1">
      <c r="A556" s="1"/>
      <c r="B556" s="1"/>
      <c r="C556" s="1"/>
      <c r="D556" s="8"/>
      <c r="E556" s="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"/>
      <c r="S556" s="1"/>
      <c r="T556" s="1"/>
      <c r="U556" s="1"/>
      <c r="V556" s="3"/>
      <c r="W556" s="1"/>
      <c r="X556" s="1"/>
    </row>
    <row r="557" ht="16.5" customHeight="1">
      <c r="A557" s="1"/>
      <c r="B557" s="1"/>
      <c r="C557" s="1"/>
      <c r="D557" s="8"/>
      <c r="E557" s="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"/>
      <c r="S557" s="1"/>
      <c r="T557" s="1"/>
      <c r="U557" s="1"/>
      <c r="V557" s="3"/>
      <c r="W557" s="1"/>
      <c r="X557" s="1"/>
    </row>
    <row r="558" ht="16.5" customHeight="1">
      <c r="A558" s="1"/>
      <c r="B558" s="1"/>
      <c r="C558" s="1"/>
      <c r="D558" s="8"/>
      <c r="E558" s="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"/>
      <c r="S558" s="1"/>
      <c r="T558" s="1"/>
      <c r="U558" s="1"/>
      <c r="V558" s="3"/>
      <c r="W558" s="1"/>
      <c r="X558" s="1"/>
    </row>
    <row r="559" ht="16.5" customHeight="1">
      <c r="A559" s="1"/>
      <c r="B559" s="1"/>
      <c r="C559" s="1"/>
      <c r="D559" s="8"/>
      <c r="E559" s="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"/>
      <c r="S559" s="1"/>
      <c r="T559" s="1"/>
      <c r="U559" s="1"/>
      <c r="V559" s="3"/>
      <c r="W559" s="1"/>
      <c r="X559" s="1"/>
    </row>
    <row r="560" ht="16.5" customHeight="1">
      <c r="A560" s="1"/>
      <c r="B560" s="1"/>
      <c r="C560" s="1"/>
      <c r="D560" s="8"/>
      <c r="E560" s="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"/>
      <c r="S560" s="1"/>
      <c r="T560" s="1"/>
      <c r="U560" s="1"/>
      <c r="V560" s="3"/>
      <c r="W560" s="1"/>
      <c r="X560" s="1"/>
    </row>
    <row r="561" ht="16.5" customHeight="1">
      <c r="A561" s="1"/>
      <c r="B561" s="1"/>
      <c r="C561" s="1"/>
      <c r="D561" s="8"/>
      <c r="E561" s="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"/>
      <c r="S561" s="1"/>
      <c r="T561" s="1"/>
      <c r="U561" s="1"/>
      <c r="V561" s="3"/>
      <c r="W561" s="1"/>
      <c r="X561" s="1"/>
    </row>
    <row r="562" ht="16.5" customHeight="1">
      <c r="A562" s="1"/>
      <c r="B562" s="1"/>
      <c r="C562" s="1"/>
      <c r="D562" s="8"/>
      <c r="E562" s="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"/>
      <c r="S562" s="1"/>
      <c r="T562" s="1"/>
      <c r="U562" s="1"/>
      <c r="V562" s="3"/>
      <c r="W562" s="1"/>
      <c r="X562" s="1"/>
    </row>
    <row r="563" ht="16.5" customHeight="1">
      <c r="A563" s="1"/>
      <c r="B563" s="1"/>
      <c r="C563" s="1"/>
      <c r="D563" s="8"/>
      <c r="E563" s="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"/>
      <c r="S563" s="1"/>
      <c r="T563" s="1"/>
      <c r="U563" s="1"/>
      <c r="V563" s="3"/>
      <c r="W563" s="1"/>
      <c r="X563" s="1"/>
    </row>
    <row r="564" ht="16.5" customHeight="1">
      <c r="A564" s="1"/>
      <c r="B564" s="1"/>
      <c r="C564" s="1"/>
      <c r="D564" s="8"/>
      <c r="E564" s="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"/>
      <c r="S564" s="1"/>
      <c r="T564" s="1"/>
      <c r="U564" s="1"/>
      <c r="V564" s="3"/>
      <c r="W564" s="1"/>
      <c r="X564" s="1"/>
    </row>
    <row r="565" ht="16.5" customHeight="1">
      <c r="A565" s="1"/>
      <c r="B565" s="1"/>
      <c r="C565" s="1"/>
      <c r="D565" s="8"/>
      <c r="E565" s="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"/>
      <c r="S565" s="1"/>
      <c r="T565" s="1"/>
      <c r="U565" s="1"/>
      <c r="V565" s="3"/>
      <c r="W565" s="1"/>
      <c r="X565" s="1"/>
    </row>
    <row r="566" ht="16.5" customHeight="1">
      <c r="A566" s="1"/>
      <c r="B566" s="1"/>
      <c r="C566" s="1"/>
      <c r="D566" s="8"/>
      <c r="E566" s="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"/>
      <c r="S566" s="1"/>
      <c r="T566" s="1"/>
      <c r="U566" s="1"/>
      <c r="V566" s="3"/>
      <c r="W566" s="1"/>
      <c r="X566" s="1"/>
    </row>
    <row r="567" ht="16.5" customHeight="1">
      <c r="A567" s="1"/>
      <c r="B567" s="1"/>
      <c r="C567" s="1"/>
      <c r="D567" s="8"/>
      <c r="E567" s="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"/>
      <c r="S567" s="1"/>
      <c r="T567" s="1"/>
      <c r="U567" s="1"/>
      <c r="V567" s="3"/>
      <c r="W567" s="1"/>
      <c r="X567" s="1"/>
    </row>
    <row r="568" ht="16.5" customHeight="1">
      <c r="A568" s="1"/>
      <c r="B568" s="1"/>
      <c r="C568" s="1"/>
      <c r="D568" s="8"/>
      <c r="E568" s="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"/>
      <c r="S568" s="1"/>
      <c r="T568" s="1"/>
      <c r="U568" s="1"/>
      <c r="V568" s="3"/>
      <c r="W568" s="1"/>
      <c r="X568" s="1"/>
    </row>
    <row r="569" ht="16.5" customHeight="1">
      <c r="A569" s="1"/>
      <c r="B569" s="1"/>
      <c r="C569" s="1"/>
      <c r="D569" s="8"/>
      <c r="E569" s="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"/>
      <c r="S569" s="1"/>
      <c r="T569" s="1"/>
      <c r="U569" s="1"/>
      <c r="V569" s="3"/>
      <c r="W569" s="1"/>
      <c r="X569" s="1"/>
    </row>
    <row r="570" ht="16.5" customHeight="1">
      <c r="A570" s="1"/>
      <c r="B570" s="1"/>
      <c r="C570" s="1"/>
      <c r="D570" s="8"/>
      <c r="E570" s="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"/>
      <c r="S570" s="1"/>
      <c r="T570" s="1"/>
      <c r="U570" s="1"/>
      <c r="V570" s="3"/>
      <c r="W570" s="1"/>
      <c r="X570" s="1"/>
    </row>
    <row r="571" ht="16.5" customHeight="1">
      <c r="A571" s="1"/>
      <c r="B571" s="1"/>
      <c r="C571" s="1"/>
      <c r="D571" s="8"/>
      <c r="E571" s="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"/>
      <c r="S571" s="1"/>
      <c r="T571" s="1"/>
      <c r="U571" s="1"/>
      <c r="V571" s="3"/>
      <c r="W571" s="1"/>
      <c r="X571" s="1"/>
    </row>
    <row r="572" ht="16.5" customHeight="1">
      <c r="A572" s="1"/>
      <c r="B572" s="1"/>
      <c r="C572" s="1"/>
      <c r="D572" s="8"/>
      <c r="E572" s="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"/>
      <c r="S572" s="1"/>
      <c r="T572" s="1"/>
      <c r="U572" s="1"/>
      <c r="V572" s="3"/>
      <c r="W572" s="1"/>
      <c r="X572" s="1"/>
    </row>
    <row r="573" ht="16.5" customHeight="1">
      <c r="A573" s="1"/>
      <c r="B573" s="1"/>
      <c r="C573" s="1"/>
      <c r="D573" s="8"/>
      <c r="E573" s="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"/>
      <c r="S573" s="1"/>
      <c r="T573" s="1"/>
      <c r="U573" s="1"/>
      <c r="V573" s="3"/>
      <c r="W573" s="1"/>
      <c r="X573" s="1"/>
    </row>
    <row r="574" ht="16.5" customHeight="1">
      <c r="A574" s="1"/>
      <c r="B574" s="1"/>
      <c r="C574" s="1"/>
      <c r="D574" s="8"/>
      <c r="E574" s="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"/>
      <c r="S574" s="1"/>
      <c r="T574" s="1"/>
      <c r="U574" s="1"/>
      <c r="V574" s="3"/>
      <c r="W574" s="1"/>
      <c r="X574" s="1"/>
    </row>
    <row r="575" ht="16.5" customHeight="1">
      <c r="A575" s="1"/>
      <c r="B575" s="1"/>
      <c r="C575" s="1"/>
      <c r="D575" s="8"/>
      <c r="E575" s="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"/>
      <c r="S575" s="1"/>
      <c r="T575" s="1"/>
      <c r="U575" s="1"/>
      <c r="V575" s="3"/>
      <c r="W575" s="1"/>
      <c r="X575" s="1"/>
    </row>
    <row r="576" ht="16.5" customHeight="1">
      <c r="A576" s="1"/>
      <c r="B576" s="1"/>
      <c r="C576" s="1"/>
      <c r="D576" s="8"/>
      <c r="E576" s="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"/>
      <c r="S576" s="1"/>
      <c r="T576" s="1"/>
      <c r="U576" s="1"/>
      <c r="V576" s="3"/>
      <c r="W576" s="1"/>
      <c r="X576" s="1"/>
    </row>
    <row r="577" ht="16.5" customHeight="1">
      <c r="A577" s="1"/>
      <c r="B577" s="1"/>
      <c r="C577" s="1"/>
      <c r="D577" s="8"/>
      <c r="E577" s="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"/>
      <c r="S577" s="1"/>
      <c r="T577" s="1"/>
      <c r="U577" s="1"/>
      <c r="V577" s="3"/>
      <c r="W577" s="1"/>
      <c r="X577" s="1"/>
    </row>
    <row r="578" ht="16.5" customHeight="1">
      <c r="A578" s="1"/>
      <c r="B578" s="1"/>
      <c r="C578" s="1"/>
      <c r="D578" s="8"/>
      <c r="E578" s="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"/>
      <c r="S578" s="1"/>
      <c r="T578" s="1"/>
      <c r="U578" s="1"/>
      <c r="V578" s="3"/>
      <c r="W578" s="1"/>
      <c r="X578" s="1"/>
    </row>
    <row r="579" ht="16.5" customHeight="1">
      <c r="A579" s="1"/>
      <c r="B579" s="1"/>
      <c r="C579" s="1"/>
      <c r="D579" s="8"/>
      <c r="E579" s="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"/>
      <c r="S579" s="1"/>
      <c r="T579" s="1"/>
      <c r="U579" s="1"/>
      <c r="V579" s="3"/>
      <c r="W579" s="1"/>
      <c r="X579" s="1"/>
    </row>
    <row r="580" ht="16.5" customHeight="1">
      <c r="A580" s="1"/>
      <c r="B580" s="1"/>
      <c r="C580" s="1"/>
      <c r="D580" s="8"/>
      <c r="E580" s="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"/>
      <c r="S580" s="1"/>
      <c r="T580" s="1"/>
      <c r="U580" s="1"/>
      <c r="V580" s="3"/>
      <c r="W580" s="1"/>
      <c r="X580" s="1"/>
    </row>
    <row r="581" ht="16.5" customHeight="1">
      <c r="A581" s="1"/>
      <c r="B581" s="1"/>
      <c r="C581" s="1"/>
      <c r="D581" s="8"/>
      <c r="E581" s="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"/>
      <c r="S581" s="1"/>
      <c r="T581" s="1"/>
      <c r="U581" s="1"/>
      <c r="V581" s="3"/>
      <c r="W581" s="1"/>
      <c r="X581" s="1"/>
    </row>
    <row r="582" ht="16.5" customHeight="1">
      <c r="A582" s="1"/>
      <c r="B582" s="1"/>
      <c r="C582" s="1"/>
      <c r="D582" s="8"/>
      <c r="E582" s="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"/>
      <c r="S582" s="1"/>
      <c r="T582" s="1"/>
      <c r="U582" s="1"/>
      <c r="V582" s="3"/>
      <c r="W582" s="1"/>
      <c r="X582" s="1"/>
    </row>
    <row r="583" ht="16.5" customHeight="1">
      <c r="A583" s="1"/>
      <c r="B583" s="1"/>
      <c r="C583" s="1"/>
      <c r="D583" s="8"/>
      <c r="E583" s="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"/>
      <c r="S583" s="1"/>
      <c r="T583" s="1"/>
      <c r="U583" s="1"/>
      <c r="V583" s="3"/>
      <c r="W583" s="1"/>
      <c r="X583" s="1"/>
    </row>
    <row r="584" ht="16.5" customHeight="1">
      <c r="A584" s="1"/>
      <c r="B584" s="1"/>
      <c r="C584" s="1"/>
      <c r="D584" s="8"/>
      <c r="E584" s="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"/>
      <c r="S584" s="1"/>
      <c r="T584" s="1"/>
      <c r="U584" s="1"/>
      <c r="V584" s="3"/>
      <c r="W584" s="1"/>
      <c r="X584" s="1"/>
    </row>
    <row r="585" ht="16.5" customHeight="1">
      <c r="A585" s="1"/>
      <c r="B585" s="1"/>
      <c r="C585" s="1"/>
      <c r="D585" s="8"/>
      <c r="E585" s="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"/>
      <c r="S585" s="1"/>
      <c r="T585" s="1"/>
      <c r="U585" s="1"/>
      <c r="V585" s="3"/>
      <c r="W585" s="1"/>
      <c r="X585" s="1"/>
    </row>
    <row r="586" ht="16.5" customHeight="1">
      <c r="A586" s="1"/>
      <c r="B586" s="1"/>
      <c r="C586" s="1"/>
      <c r="D586" s="8"/>
      <c r="E586" s="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"/>
      <c r="S586" s="1"/>
      <c r="T586" s="1"/>
      <c r="U586" s="1"/>
      <c r="V586" s="3"/>
      <c r="W586" s="1"/>
      <c r="X586" s="1"/>
    </row>
    <row r="587" ht="16.5" customHeight="1">
      <c r="A587" s="1"/>
      <c r="B587" s="1"/>
      <c r="C587" s="1"/>
      <c r="D587" s="8"/>
      <c r="E587" s="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"/>
      <c r="S587" s="1"/>
      <c r="T587" s="1"/>
      <c r="U587" s="1"/>
      <c r="V587" s="3"/>
      <c r="W587" s="1"/>
      <c r="X587" s="1"/>
    </row>
    <row r="588" ht="16.5" customHeight="1">
      <c r="A588" s="1"/>
      <c r="B588" s="1"/>
      <c r="C588" s="1"/>
      <c r="D588" s="8"/>
      <c r="E588" s="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"/>
      <c r="S588" s="1"/>
      <c r="T588" s="1"/>
      <c r="U588" s="1"/>
      <c r="V588" s="3"/>
      <c r="W588" s="1"/>
      <c r="X588" s="1"/>
    </row>
    <row r="589" ht="16.5" customHeight="1">
      <c r="A589" s="1"/>
      <c r="B589" s="1"/>
      <c r="C589" s="1"/>
      <c r="D589" s="8"/>
      <c r="E589" s="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"/>
      <c r="S589" s="1"/>
      <c r="T589" s="1"/>
      <c r="U589" s="1"/>
      <c r="V589" s="3"/>
      <c r="W589" s="1"/>
      <c r="X589" s="1"/>
    </row>
    <row r="590" ht="16.5" customHeight="1">
      <c r="A590" s="1"/>
      <c r="B590" s="1"/>
      <c r="C590" s="1"/>
      <c r="D590" s="8"/>
      <c r="E590" s="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"/>
      <c r="S590" s="1"/>
      <c r="T590" s="1"/>
      <c r="U590" s="1"/>
      <c r="V590" s="3"/>
      <c r="W590" s="1"/>
      <c r="X590" s="1"/>
    </row>
    <row r="591" ht="16.5" customHeight="1">
      <c r="A591" s="1"/>
      <c r="B591" s="1"/>
      <c r="C591" s="1"/>
      <c r="D591" s="8"/>
      <c r="E591" s="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"/>
      <c r="S591" s="1"/>
      <c r="T591" s="1"/>
      <c r="U591" s="1"/>
      <c r="V591" s="3"/>
      <c r="W591" s="1"/>
      <c r="X591" s="1"/>
    </row>
    <row r="592" ht="16.5" customHeight="1">
      <c r="A592" s="1"/>
      <c r="B592" s="1"/>
      <c r="C592" s="1"/>
      <c r="D592" s="8"/>
      <c r="E592" s="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"/>
      <c r="S592" s="1"/>
      <c r="T592" s="1"/>
      <c r="U592" s="1"/>
      <c r="V592" s="3"/>
      <c r="W592" s="1"/>
      <c r="X592" s="1"/>
    </row>
    <row r="593" ht="16.5" customHeight="1">
      <c r="A593" s="1"/>
      <c r="B593" s="1"/>
      <c r="C593" s="1"/>
      <c r="D593" s="8"/>
      <c r="E593" s="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"/>
      <c r="S593" s="1"/>
      <c r="T593" s="1"/>
      <c r="U593" s="1"/>
      <c r="V593" s="3"/>
      <c r="W593" s="1"/>
      <c r="X593" s="1"/>
    </row>
    <row r="594" ht="16.5" customHeight="1">
      <c r="A594" s="1"/>
      <c r="B594" s="1"/>
      <c r="C594" s="1"/>
      <c r="D594" s="8"/>
      <c r="E594" s="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"/>
      <c r="S594" s="1"/>
      <c r="T594" s="1"/>
      <c r="U594" s="1"/>
      <c r="V594" s="3"/>
      <c r="W594" s="1"/>
      <c r="X594" s="1"/>
    </row>
    <row r="595" ht="16.5" customHeight="1">
      <c r="A595" s="1"/>
      <c r="B595" s="1"/>
      <c r="C595" s="1"/>
      <c r="D595" s="8"/>
      <c r="E595" s="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"/>
      <c r="S595" s="1"/>
      <c r="T595" s="1"/>
      <c r="U595" s="1"/>
      <c r="V595" s="3"/>
      <c r="W595" s="1"/>
      <c r="X595" s="1"/>
    </row>
    <row r="596" ht="16.5" customHeight="1">
      <c r="A596" s="1"/>
      <c r="B596" s="1"/>
      <c r="C596" s="1"/>
      <c r="D596" s="8"/>
      <c r="E596" s="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"/>
      <c r="S596" s="1"/>
      <c r="T596" s="1"/>
      <c r="U596" s="1"/>
      <c r="V596" s="3"/>
      <c r="W596" s="1"/>
      <c r="X596" s="1"/>
    </row>
    <row r="597" ht="16.5" customHeight="1">
      <c r="A597" s="1"/>
      <c r="B597" s="1"/>
      <c r="C597" s="1"/>
      <c r="D597" s="8"/>
      <c r="E597" s="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"/>
      <c r="S597" s="1"/>
      <c r="T597" s="1"/>
      <c r="U597" s="1"/>
      <c r="V597" s="3"/>
      <c r="W597" s="1"/>
      <c r="X597" s="1"/>
    </row>
    <row r="598" ht="16.5" customHeight="1">
      <c r="A598" s="1"/>
      <c r="B598" s="1"/>
      <c r="C598" s="1"/>
      <c r="D598" s="8"/>
      <c r="E598" s="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"/>
      <c r="S598" s="1"/>
      <c r="T598" s="1"/>
      <c r="U598" s="1"/>
      <c r="V598" s="3"/>
      <c r="W598" s="1"/>
      <c r="X598" s="1"/>
    </row>
    <row r="599" ht="16.5" customHeight="1">
      <c r="A599" s="1"/>
      <c r="B599" s="1"/>
      <c r="C599" s="1"/>
      <c r="D599" s="8"/>
      <c r="E599" s="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"/>
      <c r="S599" s="1"/>
      <c r="T599" s="1"/>
      <c r="U599" s="1"/>
      <c r="V599" s="3"/>
      <c r="W599" s="1"/>
      <c r="X599" s="1"/>
    </row>
    <row r="600" ht="16.5" customHeight="1">
      <c r="A600" s="1"/>
      <c r="B600" s="1"/>
      <c r="C600" s="1"/>
      <c r="D600" s="8"/>
      <c r="E600" s="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"/>
      <c r="S600" s="1"/>
      <c r="T600" s="1"/>
      <c r="U600" s="1"/>
      <c r="V600" s="3"/>
      <c r="W600" s="1"/>
      <c r="X600" s="1"/>
    </row>
    <row r="601" ht="16.5" customHeight="1">
      <c r="A601" s="1"/>
      <c r="B601" s="1"/>
      <c r="C601" s="1"/>
      <c r="D601" s="8"/>
      <c r="E601" s="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"/>
      <c r="S601" s="1"/>
      <c r="T601" s="1"/>
      <c r="U601" s="1"/>
      <c r="V601" s="3"/>
      <c r="W601" s="1"/>
      <c r="X601" s="1"/>
    </row>
    <row r="602" ht="16.5" customHeight="1">
      <c r="A602" s="1"/>
      <c r="B602" s="1"/>
      <c r="C602" s="1"/>
      <c r="D602" s="8"/>
      <c r="E602" s="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"/>
      <c r="S602" s="1"/>
      <c r="T602" s="1"/>
      <c r="U602" s="1"/>
      <c r="V602" s="3"/>
      <c r="W602" s="1"/>
      <c r="X602" s="1"/>
    </row>
    <row r="603" ht="16.5" customHeight="1">
      <c r="A603" s="1"/>
      <c r="B603" s="1"/>
      <c r="C603" s="1"/>
      <c r="D603" s="8"/>
      <c r="E603" s="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"/>
      <c r="S603" s="1"/>
      <c r="T603" s="1"/>
      <c r="U603" s="1"/>
      <c r="V603" s="3"/>
      <c r="W603" s="1"/>
      <c r="X603" s="1"/>
    </row>
    <row r="604" ht="16.5" customHeight="1">
      <c r="A604" s="1"/>
      <c r="B604" s="1"/>
      <c r="C604" s="1"/>
      <c r="D604" s="8"/>
      <c r="E604" s="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"/>
      <c r="S604" s="1"/>
      <c r="T604" s="1"/>
      <c r="U604" s="1"/>
      <c r="V604" s="3"/>
      <c r="W604" s="1"/>
      <c r="X604" s="1"/>
    </row>
    <row r="605" ht="16.5" customHeight="1">
      <c r="A605" s="1"/>
      <c r="B605" s="1"/>
      <c r="C605" s="1"/>
      <c r="D605" s="8"/>
      <c r="E605" s="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"/>
      <c r="S605" s="1"/>
      <c r="T605" s="1"/>
      <c r="U605" s="1"/>
      <c r="V605" s="3"/>
      <c r="W605" s="1"/>
      <c r="X605" s="1"/>
    </row>
    <row r="606" ht="16.5" customHeight="1">
      <c r="A606" s="1"/>
      <c r="B606" s="1"/>
      <c r="C606" s="1"/>
      <c r="D606" s="8"/>
      <c r="E606" s="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"/>
      <c r="S606" s="1"/>
      <c r="T606" s="1"/>
      <c r="U606" s="1"/>
      <c r="V606" s="3"/>
      <c r="W606" s="1"/>
      <c r="X606" s="1"/>
    </row>
    <row r="607" ht="16.5" customHeight="1">
      <c r="A607" s="1"/>
      <c r="B607" s="1"/>
      <c r="C607" s="1"/>
      <c r="D607" s="8"/>
      <c r="E607" s="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"/>
      <c r="S607" s="1"/>
      <c r="T607" s="1"/>
      <c r="U607" s="1"/>
      <c r="V607" s="3"/>
      <c r="W607" s="1"/>
      <c r="X607" s="1"/>
    </row>
    <row r="608" ht="16.5" customHeight="1">
      <c r="A608" s="1"/>
      <c r="B608" s="1"/>
      <c r="C608" s="1"/>
      <c r="D608" s="8"/>
      <c r="E608" s="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"/>
      <c r="S608" s="1"/>
      <c r="T608" s="1"/>
      <c r="U608" s="1"/>
      <c r="V608" s="3"/>
      <c r="W608" s="1"/>
      <c r="X608" s="1"/>
    </row>
    <row r="609" ht="16.5" customHeight="1">
      <c r="A609" s="1"/>
      <c r="B609" s="1"/>
      <c r="C609" s="1"/>
      <c r="D609" s="8"/>
      <c r="E609" s="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"/>
      <c r="S609" s="1"/>
      <c r="T609" s="1"/>
      <c r="U609" s="1"/>
      <c r="V609" s="3"/>
      <c r="W609" s="1"/>
      <c r="X609" s="1"/>
    </row>
    <row r="610" ht="16.5" customHeight="1">
      <c r="A610" s="1"/>
      <c r="B610" s="1"/>
      <c r="C610" s="1"/>
      <c r="D610" s="8"/>
      <c r="E610" s="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"/>
      <c r="S610" s="1"/>
      <c r="T610" s="1"/>
      <c r="U610" s="1"/>
      <c r="V610" s="3"/>
      <c r="W610" s="1"/>
      <c r="X610" s="1"/>
    </row>
    <row r="611" ht="16.5" customHeight="1">
      <c r="A611" s="1"/>
      <c r="B611" s="1"/>
      <c r="C611" s="1"/>
      <c r="D611" s="8"/>
      <c r="E611" s="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"/>
      <c r="S611" s="1"/>
      <c r="T611" s="1"/>
      <c r="U611" s="1"/>
      <c r="V611" s="3"/>
      <c r="W611" s="1"/>
      <c r="X611" s="1"/>
    </row>
    <row r="612" ht="16.5" customHeight="1">
      <c r="A612" s="1"/>
      <c r="B612" s="1"/>
      <c r="C612" s="1"/>
      <c r="D612" s="8"/>
      <c r="E612" s="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"/>
      <c r="S612" s="1"/>
      <c r="T612" s="1"/>
      <c r="U612" s="1"/>
      <c r="V612" s="3"/>
      <c r="W612" s="1"/>
      <c r="X612" s="1"/>
    </row>
    <row r="613" ht="16.5" customHeight="1">
      <c r="A613" s="1"/>
      <c r="B613" s="1"/>
      <c r="C613" s="1"/>
      <c r="D613" s="8"/>
      <c r="E613" s="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"/>
      <c r="S613" s="1"/>
      <c r="T613" s="1"/>
      <c r="U613" s="1"/>
      <c r="V613" s="3"/>
      <c r="W613" s="1"/>
      <c r="X613" s="1"/>
    </row>
    <row r="614" ht="16.5" customHeight="1">
      <c r="A614" s="1"/>
      <c r="B614" s="1"/>
      <c r="C614" s="1"/>
      <c r="D614" s="8"/>
      <c r="E614" s="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"/>
      <c r="S614" s="1"/>
      <c r="T614" s="1"/>
      <c r="U614" s="1"/>
      <c r="V614" s="3"/>
      <c r="W614" s="1"/>
      <c r="X614" s="1"/>
    </row>
    <row r="615" ht="16.5" customHeight="1">
      <c r="A615" s="1"/>
      <c r="B615" s="1"/>
      <c r="C615" s="1"/>
      <c r="D615" s="8"/>
      <c r="E615" s="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"/>
      <c r="S615" s="1"/>
      <c r="T615" s="1"/>
      <c r="U615" s="1"/>
      <c r="V615" s="3"/>
      <c r="W615" s="1"/>
      <c r="X615" s="1"/>
    </row>
    <row r="616" ht="16.5" customHeight="1">
      <c r="A616" s="1"/>
      <c r="B616" s="1"/>
      <c r="C616" s="1"/>
      <c r="D616" s="8"/>
      <c r="E616" s="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"/>
      <c r="S616" s="1"/>
      <c r="T616" s="1"/>
      <c r="U616" s="1"/>
      <c r="V616" s="3"/>
      <c r="W616" s="1"/>
      <c r="X616" s="1"/>
    </row>
    <row r="617" ht="16.5" customHeight="1">
      <c r="A617" s="1"/>
      <c r="B617" s="1"/>
      <c r="C617" s="1"/>
      <c r="D617" s="8"/>
      <c r="E617" s="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"/>
      <c r="S617" s="1"/>
      <c r="T617" s="1"/>
      <c r="U617" s="1"/>
      <c r="V617" s="3"/>
      <c r="W617" s="1"/>
      <c r="X617" s="1"/>
    </row>
    <row r="618" ht="16.5" customHeight="1">
      <c r="A618" s="1"/>
      <c r="B618" s="1"/>
      <c r="C618" s="1"/>
      <c r="D618" s="8"/>
      <c r="E618" s="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"/>
      <c r="S618" s="1"/>
      <c r="T618" s="1"/>
      <c r="U618" s="1"/>
      <c r="V618" s="3"/>
      <c r="W618" s="1"/>
      <c r="X618" s="1"/>
    </row>
    <row r="619" ht="16.5" customHeight="1">
      <c r="A619" s="1"/>
      <c r="B619" s="1"/>
      <c r="C619" s="1"/>
      <c r="D619" s="8"/>
      <c r="E619" s="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"/>
      <c r="S619" s="1"/>
      <c r="T619" s="1"/>
      <c r="U619" s="1"/>
      <c r="V619" s="3"/>
      <c r="W619" s="1"/>
      <c r="X619" s="1"/>
    </row>
    <row r="620" ht="16.5" customHeight="1">
      <c r="A620" s="1"/>
      <c r="B620" s="1"/>
      <c r="C620" s="1"/>
      <c r="D620" s="8"/>
      <c r="E620" s="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"/>
      <c r="S620" s="1"/>
      <c r="T620" s="1"/>
      <c r="U620" s="1"/>
      <c r="V620" s="3"/>
      <c r="W620" s="1"/>
      <c r="X620" s="1"/>
    </row>
    <row r="621" ht="16.5" customHeight="1">
      <c r="A621" s="1"/>
      <c r="B621" s="1"/>
      <c r="C621" s="1"/>
      <c r="D621" s="8"/>
      <c r="E621" s="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"/>
      <c r="S621" s="1"/>
      <c r="T621" s="1"/>
      <c r="U621" s="1"/>
      <c r="V621" s="3"/>
      <c r="W621" s="1"/>
      <c r="X621" s="1"/>
    </row>
    <row r="622" ht="16.5" customHeight="1">
      <c r="A622" s="1"/>
      <c r="B622" s="1"/>
      <c r="C622" s="1"/>
      <c r="D622" s="8"/>
      <c r="E622" s="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"/>
      <c r="S622" s="1"/>
      <c r="T622" s="1"/>
      <c r="U622" s="1"/>
      <c r="V622" s="3"/>
      <c r="W622" s="1"/>
      <c r="X622" s="1"/>
    </row>
    <row r="623" ht="16.5" customHeight="1">
      <c r="A623" s="1"/>
      <c r="B623" s="1"/>
      <c r="C623" s="1"/>
      <c r="D623" s="8"/>
      <c r="E623" s="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"/>
      <c r="S623" s="1"/>
      <c r="T623" s="1"/>
      <c r="U623" s="1"/>
      <c r="V623" s="3"/>
      <c r="W623" s="1"/>
      <c r="X623" s="1"/>
    </row>
    <row r="624" ht="16.5" customHeight="1">
      <c r="A624" s="1"/>
      <c r="B624" s="1"/>
      <c r="C624" s="1"/>
      <c r="D624" s="8"/>
      <c r="E624" s="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"/>
      <c r="S624" s="1"/>
      <c r="T624" s="1"/>
      <c r="U624" s="1"/>
      <c r="V624" s="3"/>
      <c r="W624" s="1"/>
      <c r="X624" s="1"/>
    </row>
    <row r="625" ht="16.5" customHeight="1">
      <c r="A625" s="1"/>
      <c r="B625" s="1"/>
      <c r="C625" s="1"/>
      <c r="D625" s="8"/>
      <c r="E625" s="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"/>
      <c r="S625" s="1"/>
      <c r="T625" s="1"/>
      <c r="U625" s="1"/>
      <c r="V625" s="3"/>
      <c r="W625" s="1"/>
      <c r="X625" s="1"/>
    </row>
    <row r="626" ht="16.5" customHeight="1">
      <c r="A626" s="1"/>
      <c r="B626" s="1"/>
      <c r="C626" s="1"/>
      <c r="D626" s="8"/>
      <c r="E626" s="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"/>
      <c r="S626" s="1"/>
      <c r="T626" s="1"/>
      <c r="U626" s="1"/>
      <c r="V626" s="3"/>
      <c r="W626" s="1"/>
      <c r="X626" s="1"/>
    </row>
    <row r="627" ht="16.5" customHeight="1">
      <c r="A627" s="1"/>
      <c r="B627" s="1"/>
      <c r="C627" s="1"/>
      <c r="D627" s="8"/>
      <c r="E627" s="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"/>
      <c r="S627" s="1"/>
      <c r="T627" s="1"/>
      <c r="U627" s="1"/>
      <c r="V627" s="3"/>
      <c r="W627" s="1"/>
      <c r="X627" s="1"/>
    </row>
    <row r="628" ht="16.5" customHeight="1">
      <c r="A628" s="1"/>
      <c r="B628" s="1"/>
      <c r="C628" s="1"/>
      <c r="D628" s="8"/>
      <c r="E628" s="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"/>
      <c r="S628" s="1"/>
      <c r="T628" s="1"/>
      <c r="U628" s="1"/>
      <c r="V628" s="3"/>
      <c r="W628" s="1"/>
      <c r="X628" s="1"/>
    </row>
    <row r="629" ht="16.5" customHeight="1">
      <c r="A629" s="1"/>
      <c r="B629" s="1"/>
      <c r="C629" s="1"/>
      <c r="D629" s="8"/>
      <c r="E629" s="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"/>
      <c r="S629" s="1"/>
      <c r="T629" s="1"/>
      <c r="U629" s="1"/>
      <c r="V629" s="3"/>
      <c r="W629" s="1"/>
      <c r="X629" s="1"/>
    </row>
    <row r="630" ht="16.5" customHeight="1">
      <c r="A630" s="1"/>
      <c r="B630" s="1"/>
      <c r="C630" s="1"/>
      <c r="D630" s="8"/>
      <c r="E630" s="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"/>
      <c r="S630" s="1"/>
      <c r="T630" s="1"/>
      <c r="U630" s="1"/>
      <c r="V630" s="3"/>
      <c r="W630" s="1"/>
      <c r="X630" s="1"/>
    </row>
    <row r="631" ht="16.5" customHeight="1">
      <c r="A631" s="1"/>
      <c r="B631" s="1"/>
      <c r="C631" s="1"/>
      <c r="D631" s="8"/>
      <c r="E631" s="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"/>
      <c r="S631" s="1"/>
      <c r="T631" s="1"/>
      <c r="U631" s="1"/>
      <c r="V631" s="3"/>
      <c r="W631" s="1"/>
      <c r="X631" s="1"/>
    </row>
    <row r="632" ht="16.5" customHeight="1">
      <c r="A632" s="1"/>
      <c r="B632" s="1"/>
      <c r="C632" s="1"/>
      <c r="D632" s="8"/>
      <c r="E632" s="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"/>
      <c r="S632" s="1"/>
      <c r="T632" s="1"/>
      <c r="U632" s="1"/>
      <c r="V632" s="3"/>
      <c r="W632" s="1"/>
      <c r="X632" s="1"/>
    </row>
    <row r="633" ht="16.5" customHeight="1">
      <c r="A633" s="1"/>
      <c r="B633" s="1"/>
      <c r="C633" s="1"/>
      <c r="D633" s="8"/>
      <c r="E633" s="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"/>
      <c r="S633" s="1"/>
      <c r="T633" s="1"/>
      <c r="U633" s="1"/>
      <c r="V633" s="3"/>
      <c r="W633" s="1"/>
      <c r="X633" s="1"/>
    </row>
    <row r="634" ht="16.5" customHeight="1">
      <c r="A634" s="1"/>
      <c r="B634" s="1"/>
      <c r="C634" s="1"/>
      <c r="D634" s="8"/>
      <c r="E634" s="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"/>
      <c r="S634" s="1"/>
      <c r="T634" s="1"/>
      <c r="U634" s="1"/>
      <c r="V634" s="3"/>
      <c r="W634" s="1"/>
      <c r="X634" s="1"/>
    </row>
    <row r="635" ht="16.5" customHeight="1">
      <c r="A635" s="1"/>
      <c r="B635" s="1"/>
      <c r="C635" s="1"/>
      <c r="D635" s="8"/>
      <c r="E635" s="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"/>
      <c r="S635" s="1"/>
      <c r="T635" s="1"/>
      <c r="U635" s="1"/>
      <c r="V635" s="3"/>
      <c r="W635" s="1"/>
      <c r="X635" s="1"/>
    </row>
    <row r="636" ht="16.5" customHeight="1">
      <c r="A636" s="1"/>
      <c r="B636" s="1"/>
      <c r="C636" s="1"/>
      <c r="D636" s="8"/>
      <c r="E636" s="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"/>
      <c r="S636" s="1"/>
      <c r="T636" s="1"/>
      <c r="U636" s="1"/>
      <c r="V636" s="3"/>
      <c r="W636" s="1"/>
      <c r="X636" s="1"/>
    </row>
    <row r="637" ht="16.5" customHeight="1">
      <c r="A637" s="1"/>
      <c r="B637" s="1"/>
      <c r="C637" s="1"/>
      <c r="D637" s="8"/>
      <c r="E637" s="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"/>
      <c r="S637" s="1"/>
      <c r="T637" s="1"/>
      <c r="U637" s="1"/>
      <c r="V637" s="3"/>
      <c r="W637" s="1"/>
      <c r="X637" s="1"/>
    </row>
    <row r="638" ht="16.5" customHeight="1">
      <c r="A638" s="1"/>
      <c r="B638" s="1"/>
      <c r="C638" s="1"/>
      <c r="D638" s="8"/>
      <c r="E638" s="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"/>
      <c r="S638" s="1"/>
      <c r="T638" s="1"/>
      <c r="U638" s="1"/>
      <c r="V638" s="3"/>
      <c r="W638" s="1"/>
      <c r="X638" s="1"/>
    </row>
    <row r="639" ht="16.5" customHeight="1">
      <c r="A639" s="1"/>
      <c r="B639" s="1"/>
      <c r="C639" s="1"/>
      <c r="D639" s="8"/>
      <c r="E639" s="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"/>
      <c r="S639" s="1"/>
      <c r="T639" s="1"/>
      <c r="U639" s="1"/>
      <c r="V639" s="3"/>
      <c r="W639" s="1"/>
      <c r="X639" s="1"/>
    </row>
    <row r="640" ht="16.5" customHeight="1">
      <c r="A640" s="1"/>
      <c r="B640" s="1"/>
      <c r="C640" s="1"/>
      <c r="D640" s="8"/>
      <c r="E640" s="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"/>
      <c r="S640" s="1"/>
      <c r="T640" s="1"/>
      <c r="U640" s="1"/>
      <c r="V640" s="3"/>
      <c r="W640" s="1"/>
      <c r="X640" s="1"/>
    </row>
    <row r="641" ht="16.5" customHeight="1">
      <c r="A641" s="1"/>
      <c r="B641" s="1"/>
      <c r="C641" s="1"/>
      <c r="D641" s="8"/>
      <c r="E641" s="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"/>
      <c r="S641" s="1"/>
      <c r="T641" s="1"/>
      <c r="U641" s="1"/>
      <c r="V641" s="3"/>
      <c r="W641" s="1"/>
      <c r="X641" s="1"/>
    </row>
    <row r="642" ht="16.5" customHeight="1">
      <c r="A642" s="1"/>
      <c r="B642" s="1"/>
      <c r="C642" s="1"/>
      <c r="D642" s="8"/>
      <c r="E642" s="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"/>
      <c r="S642" s="1"/>
      <c r="T642" s="1"/>
      <c r="U642" s="1"/>
      <c r="V642" s="3"/>
      <c r="W642" s="1"/>
      <c r="X642" s="1"/>
    </row>
    <row r="643" ht="16.5" customHeight="1">
      <c r="A643" s="1"/>
      <c r="B643" s="1"/>
      <c r="C643" s="1"/>
      <c r="D643" s="8"/>
      <c r="E643" s="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"/>
      <c r="S643" s="1"/>
      <c r="T643" s="1"/>
      <c r="U643" s="1"/>
      <c r="V643" s="3"/>
      <c r="W643" s="1"/>
      <c r="X643" s="1"/>
    </row>
    <row r="644" ht="16.5" customHeight="1">
      <c r="A644" s="1"/>
      <c r="B644" s="1"/>
      <c r="C644" s="1"/>
      <c r="D644" s="8"/>
      <c r="E644" s="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"/>
      <c r="S644" s="1"/>
      <c r="T644" s="1"/>
      <c r="U644" s="1"/>
      <c r="V644" s="3"/>
      <c r="W644" s="1"/>
      <c r="X644" s="1"/>
    </row>
    <row r="645" ht="16.5" customHeight="1">
      <c r="A645" s="1"/>
      <c r="B645" s="1"/>
      <c r="C645" s="1"/>
      <c r="D645" s="8"/>
      <c r="E645" s="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"/>
      <c r="S645" s="1"/>
      <c r="T645" s="1"/>
      <c r="U645" s="1"/>
      <c r="V645" s="3"/>
      <c r="W645" s="1"/>
      <c r="X645" s="1"/>
    </row>
    <row r="646" ht="16.5" customHeight="1">
      <c r="A646" s="1"/>
      <c r="B646" s="1"/>
      <c r="C646" s="1"/>
      <c r="D646" s="8"/>
      <c r="E646" s="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"/>
      <c r="S646" s="1"/>
      <c r="T646" s="1"/>
      <c r="U646" s="1"/>
      <c r="V646" s="3"/>
      <c r="W646" s="1"/>
      <c r="X646" s="1"/>
    </row>
    <row r="647" ht="16.5" customHeight="1">
      <c r="A647" s="1"/>
      <c r="B647" s="1"/>
      <c r="C647" s="1"/>
      <c r="D647" s="8"/>
      <c r="E647" s="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"/>
      <c r="S647" s="1"/>
      <c r="T647" s="1"/>
      <c r="U647" s="1"/>
      <c r="V647" s="3"/>
      <c r="W647" s="1"/>
      <c r="X647" s="1"/>
    </row>
    <row r="648" ht="16.5" customHeight="1">
      <c r="A648" s="1"/>
      <c r="B648" s="1"/>
      <c r="C648" s="1"/>
      <c r="D648" s="8"/>
      <c r="E648" s="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"/>
      <c r="S648" s="1"/>
      <c r="T648" s="1"/>
      <c r="U648" s="1"/>
      <c r="V648" s="3"/>
      <c r="W648" s="1"/>
      <c r="X648" s="1"/>
    </row>
    <row r="649" ht="16.5" customHeight="1">
      <c r="A649" s="1"/>
      <c r="B649" s="1"/>
      <c r="C649" s="1"/>
      <c r="D649" s="8"/>
      <c r="E649" s="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"/>
      <c r="S649" s="1"/>
      <c r="T649" s="1"/>
      <c r="U649" s="1"/>
      <c r="V649" s="3"/>
      <c r="W649" s="1"/>
      <c r="X649" s="1"/>
    </row>
    <row r="650" ht="16.5" customHeight="1">
      <c r="A650" s="1"/>
      <c r="B650" s="1"/>
      <c r="C650" s="1"/>
      <c r="D650" s="8"/>
      <c r="E650" s="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"/>
      <c r="S650" s="1"/>
      <c r="T650" s="1"/>
      <c r="U650" s="1"/>
      <c r="V650" s="3"/>
      <c r="W650" s="1"/>
      <c r="X650" s="1"/>
    </row>
    <row r="651" ht="16.5" customHeight="1">
      <c r="A651" s="1"/>
      <c r="B651" s="1"/>
      <c r="C651" s="1"/>
      <c r="D651" s="8"/>
      <c r="E651" s="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"/>
      <c r="S651" s="1"/>
      <c r="T651" s="1"/>
      <c r="U651" s="1"/>
      <c r="V651" s="3"/>
      <c r="W651" s="1"/>
      <c r="X651" s="1"/>
    </row>
    <row r="652" ht="16.5" customHeight="1">
      <c r="A652" s="1"/>
      <c r="B652" s="1"/>
      <c r="C652" s="1"/>
      <c r="D652" s="8"/>
      <c r="E652" s="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"/>
      <c r="S652" s="1"/>
      <c r="T652" s="1"/>
      <c r="U652" s="1"/>
      <c r="V652" s="3"/>
      <c r="W652" s="1"/>
      <c r="X652" s="1"/>
    </row>
    <row r="653" ht="16.5" customHeight="1">
      <c r="A653" s="1"/>
      <c r="B653" s="1"/>
      <c r="C653" s="1"/>
      <c r="D653" s="8"/>
      <c r="E653" s="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"/>
      <c r="S653" s="1"/>
      <c r="T653" s="1"/>
      <c r="U653" s="1"/>
      <c r="V653" s="3"/>
      <c r="W653" s="1"/>
      <c r="X653" s="1"/>
    </row>
    <row r="654" ht="16.5" customHeight="1">
      <c r="A654" s="1"/>
      <c r="B654" s="1"/>
      <c r="C654" s="1"/>
      <c r="D654" s="8"/>
      <c r="E654" s="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"/>
      <c r="S654" s="1"/>
      <c r="T654" s="1"/>
      <c r="U654" s="1"/>
      <c r="V654" s="3"/>
      <c r="W654" s="1"/>
      <c r="X654" s="1"/>
    </row>
    <row r="655" ht="16.5" customHeight="1">
      <c r="A655" s="1"/>
      <c r="B655" s="1"/>
      <c r="C655" s="1"/>
      <c r="D655" s="8"/>
      <c r="E655" s="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"/>
      <c r="S655" s="1"/>
      <c r="T655" s="1"/>
      <c r="U655" s="1"/>
      <c r="V655" s="3"/>
      <c r="W655" s="1"/>
      <c r="X655" s="1"/>
    </row>
    <row r="656" ht="16.5" customHeight="1">
      <c r="A656" s="1"/>
      <c r="B656" s="1"/>
      <c r="C656" s="1"/>
      <c r="D656" s="8"/>
      <c r="E656" s="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"/>
      <c r="S656" s="1"/>
      <c r="T656" s="1"/>
      <c r="U656" s="1"/>
      <c r="V656" s="3"/>
      <c r="W656" s="1"/>
      <c r="X656" s="1"/>
    </row>
    <row r="657" ht="16.5" customHeight="1">
      <c r="A657" s="1"/>
      <c r="B657" s="1"/>
      <c r="C657" s="1"/>
      <c r="D657" s="8"/>
      <c r="E657" s="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"/>
      <c r="S657" s="1"/>
      <c r="T657" s="1"/>
      <c r="U657" s="1"/>
      <c r="V657" s="3"/>
      <c r="W657" s="1"/>
      <c r="X657" s="1"/>
    </row>
    <row r="658" ht="16.5" customHeight="1">
      <c r="A658" s="1"/>
      <c r="B658" s="1"/>
      <c r="C658" s="1"/>
      <c r="D658" s="8"/>
      <c r="E658" s="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"/>
      <c r="S658" s="1"/>
      <c r="T658" s="1"/>
      <c r="U658" s="1"/>
      <c r="V658" s="3"/>
      <c r="W658" s="1"/>
      <c r="X658" s="1"/>
    </row>
    <row r="659" ht="16.5" customHeight="1">
      <c r="A659" s="1"/>
      <c r="B659" s="1"/>
      <c r="C659" s="1"/>
      <c r="D659" s="8"/>
      <c r="E659" s="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"/>
      <c r="S659" s="1"/>
      <c r="T659" s="1"/>
      <c r="U659" s="1"/>
      <c r="V659" s="3"/>
      <c r="W659" s="1"/>
      <c r="X659" s="1"/>
    </row>
    <row r="660" ht="16.5" customHeight="1">
      <c r="A660" s="1"/>
      <c r="B660" s="1"/>
      <c r="C660" s="1"/>
      <c r="D660" s="8"/>
      <c r="E660" s="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"/>
      <c r="S660" s="1"/>
      <c r="T660" s="1"/>
      <c r="U660" s="1"/>
      <c r="V660" s="3"/>
      <c r="W660" s="1"/>
      <c r="X660" s="1"/>
    </row>
    <row r="661" ht="16.5" customHeight="1">
      <c r="A661" s="1"/>
      <c r="B661" s="1"/>
      <c r="C661" s="1"/>
      <c r="D661" s="8"/>
      <c r="E661" s="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"/>
      <c r="S661" s="1"/>
      <c r="T661" s="1"/>
      <c r="U661" s="1"/>
      <c r="V661" s="3"/>
      <c r="W661" s="1"/>
      <c r="X661" s="1"/>
    </row>
    <row r="662" ht="16.5" customHeight="1">
      <c r="A662" s="1"/>
      <c r="B662" s="1"/>
      <c r="C662" s="1"/>
      <c r="D662" s="8"/>
      <c r="E662" s="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"/>
      <c r="S662" s="1"/>
      <c r="T662" s="1"/>
      <c r="U662" s="1"/>
      <c r="V662" s="3"/>
      <c r="W662" s="1"/>
      <c r="X662" s="1"/>
    </row>
    <row r="663" ht="16.5" customHeight="1">
      <c r="A663" s="1"/>
      <c r="B663" s="1"/>
      <c r="C663" s="1"/>
      <c r="D663" s="8"/>
      <c r="E663" s="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"/>
      <c r="S663" s="1"/>
      <c r="T663" s="1"/>
      <c r="U663" s="1"/>
      <c r="V663" s="3"/>
      <c r="W663" s="1"/>
      <c r="X663" s="1"/>
    </row>
    <row r="664" ht="16.5" customHeight="1">
      <c r="A664" s="1"/>
      <c r="B664" s="1"/>
      <c r="C664" s="1"/>
      <c r="D664" s="8"/>
      <c r="E664" s="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"/>
      <c r="S664" s="1"/>
      <c r="T664" s="1"/>
      <c r="U664" s="1"/>
      <c r="V664" s="3"/>
      <c r="W664" s="1"/>
      <c r="X664" s="1"/>
    </row>
    <row r="665" ht="16.5" customHeight="1">
      <c r="A665" s="1"/>
      <c r="B665" s="1"/>
      <c r="C665" s="1"/>
      <c r="D665" s="8"/>
      <c r="E665" s="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"/>
      <c r="S665" s="1"/>
      <c r="T665" s="1"/>
      <c r="U665" s="1"/>
      <c r="V665" s="3"/>
      <c r="W665" s="1"/>
      <c r="X665" s="1"/>
    </row>
    <row r="666" ht="16.5" customHeight="1">
      <c r="A666" s="1"/>
      <c r="B666" s="1"/>
      <c r="C666" s="1"/>
      <c r="D666" s="8"/>
      <c r="E666" s="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"/>
      <c r="S666" s="1"/>
      <c r="T666" s="1"/>
      <c r="U666" s="1"/>
      <c r="V666" s="3"/>
      <c r="W666" s="1"/>
      <c r="X666" s="1"/>
    </row>
    <row r="667" ht="16.5" customHeight="1">
      <c r="A667" s="1"/>
      <c r="B667" s="1"/>
      <c r="C667" s="1"/>
      <c r="D667" s="8"/>
      <c r="E667" s="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"/>
      <c r="S667" s="1"/>
      <c r="T667" s="1"/>
      <c r="U667" s="1"/>
      <c r="V667" s="3"/>
      <c r="W667" s="1"/>
      <c r="X667" s="1"/>
    </row>
    <row r="668" ht="16.5" customHeight="1">
      <c r="A668" s="1"/>
      <c r="B668" s="1"/>
      <c r="C668" s="1"/>
      <c r="D668" s="8"/>
      <c r="E668" s="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"/>
      <c r="S668" s="1"/>
      <c r="T668" s="1"/>
      <c r="U668" s="1"/>
      <c r="V668" s="3"/>
      <c r="W668" s="1"/>
      <c r="X668" s="1"/>
    </row>
    <row r="669" ht="16.5" customHeight="1">
      <c r="A669" s="1"/>
      <c r="B669" s="1"/>
      <c r="C669" s="1"/>
      <c r="D669" s="8"/>
      <c r="E669" s="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"/>
      <c r="S669" s="1"/>
      <c r="T669" s="1"/>
      <c r="U669" s="1"/>
      <c r="V669" s="3"/>
      <c r="W669" s="1"/>
      <c r="X669" s="1"/>
    </row>
    <row r="670" ht="16.5" customHeight="1">
      <c r="A670" s="1"/>
      <c r="B670" s="1"/>
      <c r="C670" s="1"/>
      <c r="D670" s="8"/>
      <c r="E670" s="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"/>
      <c r="S670" s="1"/>
      <c r="T670" s="1"/>
      <c r="U670" s="1"/>
      <c r="V670" s="3"/>
      <c r="W670" s="1"/>
      <c r="X670" s="1"/>
    </row>
    <row r="671" ht="16.5" customHeight="1">
      <c r="A671" s="1"/>
      <c r="B671" s="1"/>
      <c r="C671" s="1"/>
      <c r="D671" s="8"/>
      <c r="E671" s="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"/>
      <c r="S671" s="1"/>
      <c r="T671" s="1"/>
      <c r="U671" s="1"/>
      <c r="V671" s="3"/>
      <c r="W671" s="1"/>
      <c r="X671" s="1"/>
    </row>
    <row r="672" ht="16.5" customHeight="1">
      <c r="A672" s="1"/>
      <c r="B672" s="1"/>
      <c r="C672" s="1"/>
      <c r="D672" s="8"/>
      <c r="E672" s="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"/>
      <c r="S672" s="1"/>
      <c r="T672" s="1"/>
      <c r="U672" s="1"/>
      <c r="V672" s="3"/>
      <c r="W672" s="1"/>
      <c r="X672" s="1"/>
    </row>
    <row r="673" ht="16.5" customHeight="1">
      <c r="A673" s="1"/>
      <c r="B673" s="1"/>
      <c r="C673" s="1"/>
      <c r="D673" s="8"/>
      <c r="E673" s="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"/>
      <c r="S673" s="1"/>
      <c r="T673" s="1"/>
      <c r="U673" s="1"/>
      <c r="V673" s="3"/>
      <c r="W673" s="1"/>
      <c r="X673" s="1"/>
    </row>
    <row r="674" ht="16.5" customHeight="1">
      <c r="A674" s="1"/>
      <c r="B674" s="1"/>
      <c r="C674" s="1"/>
      <c r="D674" s="8"/>
      <c r="E674" s="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"/>
      <c r="S674" s="1"/>
      <c r="T674" s="1"/>
      <c r="U674" s="1"/>
      <c r="V674" s="3"/>
      <c r="W674" s="1"/>
      <c r="X674" s="1"/>
    </row>
    <row r="675" ht="16.5" customHeight="1">
      <c r="A675" s="1"/>
      <c r="B675" s="1"/>
      <c r="C675" s="1"/>
      <c r="D675" s="8"/>
      <c r="E675" s="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"/>
      <c r="S675" s="1"/>
      <c r="T675" s="1"/>
      <c r="U675" s="1"/>
      <c r="V675" s="3"/>
      <c r="W675" s="1"/>
      <c r="X675" s="1"/>
    </row>
    <row r="676" ht="16.5" customHeight="1">
      <c r="A676" s="1"/>
      <c r="B676" s="1"/>
      <c r="C676" s="1"/>
      <c r="D676" s="8"/>
      <c r="E676" s="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"/>
      <c r="S676" s="1"/>
      <c r="T676" s="1"/>
      <c r="U676" s="1"/>
      <c r="V676" s="3"/>
      <c r="W676" s="1"/>
      <c r="X676" s="1"/>
    </row>
    <row r="677" ht="16.5" customHeight="1">
      <c r="A677" s="1"/>
      <c r="B677" s="1"/>
      <c r="C677" s="1"/>
      <c r="D677" s="8"/>
      <c r="E677" s="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"/>
      <c r="S677" s="1"/>
      <c r="T677" s="1"/>
      <c r="U677" s="1"/>
      <c r="V677" s="3"/>
      <c r="W677" s="1"/>
      <c r="X677" s="1"/>
    </row>
    <row r="678" ht="16.5" customHeight="1">
      <c r="A678" s="1"/>
      <c r="B678" s="1"/>
      <c r="C678" s="1"/>
      <c r="D678" s="8"/>
      <c r="E678" s="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"/>
      <c r="S678" s="1"/>
      <c r="T678" s="1"/>
      <c r="U678" s="1"/>
      <c r="V678" s="3"/>
      <c r="W678" s="1"/>
      <c r="X678" s="1"/>
    </row>
    <row r="679" ht="16.5" customHeight="1">
      <c r="A679" s="1"/>
      <c r="B679" s="1"/>
      <c r="C679" s="1"/>
      <c r="D679" s="8"/>
      <c r="E679" s="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"/>
      <c r="S679" s="1"/>
      <c r="T679" s="1"/>
      <c r="U679" s="1"/>
      <c r="V679" s="3"/>
      <c r="W679" s="1"/>
      <c r="X679" s="1"/>
    </row>
    <row r="680" ht="16.5" customHeight="1">
      <c r="A680" s="1"/>
      <c r="B680" s="1"/>
      <c r="C680" s="1"/>
      <c r="D680" s="8"/>
      <c r="E680" s="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"/>
      <c r="S680" s="1"/>
      <c r="T680" s="1"/>
      <c r="U680" s="1"/>
      <c r="V680" s="3"/>
      <c r="W680" s="1"/>
      <c r="X680" s="1"/>
    </row>
    <row r="681" ht="16.5" customHeight="1">
      <c r="A681" s="1"/>
      <c r="B681" s="1"/>
      <c r="C681" s="1"/>
      <c r="D681" s="8"/>
      <c r="E681" s="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"/>
      <c r="S681" s="1"/>
      <c r="T681" s="1"/>
      <c r="U681" s="1"/>
      <c r="V681" s="3"/>
      <c r="W681" s="1"/>
      <c r="X681" s="1"/>
    </row>
    <row r="682" ht="16.5" customHeight="1">
      <c r="A682" s="1"/>
      <c r="B682" s="1"/>
      <c r="C682" s="1"/>
      <c r="D682" s="8"/>
      <c r="E682" s="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"/>
      <c r="S682" s="1"/>
      <c r="T682" s="1"/>
      <c r="U682" s="1"/>
      <c r="V682" s="3"/>
      <c r="W682" s="1"/>
      <c r="X682" s="1"/>
    </row>
    <row r="683" ht="16.5" customHeight="1">
      <c r="A683" s="1"/>
      <c r="B683" s="1"/>
      <c r="C683" s="1"/>
      <c r="D683" s="8"/>
      <c r="E683" s="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"/>
      <c r="S683" s="1"/>
      <c r="T683" s="1"/>
      <c r="U683" s="1"/>
      <c r="V683" s="3"/>
      <c r="W683" s="1"/>
      <c r="X683" s="1"/>
    </row>
    <row r="684" ht="16.5" customHeight="1">
      <c r="A684" s="1"/>
      <c r="B684" s="1"/>
      <c r="C684" s="1"/>
      <c r="D684" s="8"/>
      <c r="E684" s="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"/>
      <c r="S684" s="1"/>
      <c r="T684" s="1"/>
      <c r="U684" s="1"/>
      <c r="V684" s="3"/>
      <c r="W684" s="1"/>
      <c r="X684" s="1"/>
    </row>
    <row r="685" ht="16.5" customHeight="1">
      <c r="A685" s="1"/>
      <c r="B685" s="1"/>
      <c r="C685" s="1"/>
      <c r="D685" s="8"/>
      <c r="E685" s="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"/>
      <c r="S685" s="1"/>
      <c r="T685" s="1"/>
      <c r="U685" s="1"/>
      <c r="V685" s="3"/>
      <c r="W685" s="1"/>
      <c r="X685" s="1"/>
    </row>
    <row r="686" ht="16.5" customHeight="1">
      <c r="A686" s="1"/>
      <c r="B686" s="1"/>
      <c r="C686" s="1"/>
      <c r="D686" s="8"/>
      <c r="E686" s="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"/>
      <c r="S686" s="1"/>
      <c r="T686" s="1"/>
      <c r="U686" s="1"/>
      <c r="V686" s="3"/>
      <c r="W686" s="1"/>
      <c r="X686" s="1"/>
    </row>
    <row r="687" ht="16.5" customHeight="1">
      <c r="A687" s="1"/>
      <c r="B687" s="1"/>
      <c r="C687" s="1"/>
      <c r="D687" s="8"/>
      <c r="E687" s="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"/>
      <c r="S687" s="1"/>
      <c r="T687" s="1"/>
      <c r="U687" s="1"/>
      <c r="V687" s="3"/>
      <c r="W687" s="1"/>
      <c r="X687" s="1"/>
    </row>
    <row r="688" ht="16.5" customHeight="1">
      <c r="A688" s="1"/>
      <c r="B688" s="1"/>
      <c r="C688" s="1"/>
      <c r="D688" s="8"/>
      <c r="E688" s="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"/>
      <c r="S688" s="1"/>
      <c r="T688" s="1"/>
      <c r="U688" s="1"/>
      <c r="V688" s="3"/>
      <c r="W688" s="1"/>
      <c r="X688" s="1"/>
    </row>
    <row r="689" ht="16.5" customHeight="1">
      <c r="A689" s="1"/>
      <c r="B689" s="1"/>
      <c r="C689" s="1"/>
      <c r="D689" s="8"/>
      <c r="E689" s="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"/>
      <c r="S689" s="1"/>
      <c r="T689" s="1"/>
      <c r="U689" s="1"/>
      <c r="V689" s="3"/>
      <c r="W689" s="1"/>
      <c r="X689" s="1"/>
    </row>
    <row r="690" ht="16.5" customHeight="1">
      <c r="A690" s="1"/>
      <c r="B690" s="1"/>
      <c r="C690" s="1"/>
      <c r="D690" s="8"/>
      <c r="E690" s="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"/>
      <c r="S690" s="1"/>
      <c r="T690" s="1"/>
      <c r="U690" s="1"/>
      <c r="V690" s="3"/>
      <c r="W690" s="1"/>
      <c r="X690" s="1"/>
    </row>
    <row r="691" ht="16.5" customHeight="1">
      <c r="A691" s="1"/>
      <c r="B691" s="1"/>
      <c r="C691" s="1"/>
      <c r="D691" s="8"/>
      <c r="E691" s="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"/>
      <c r="S691" s="1"/>
      <c r="T691" s="1"/>
      <c r="U691" s="1"/>
      <c r="V691" s="3"/>
      <c r="W691" s="1"/>
      <c r="X691" s="1"/>
    </row>
    <row r="692" ht="16.5" customHeight="1">
      <c r="A692" s="1"/>
      <c r="B692" s="1"/>
      <c r="C692" s="1"/>
      <c r="D692" s="8"/>
      <c r="E692" s="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"/>
      <c r="S692" s="1"/>
      <c r="T692" s="1"/>
      <c r="U692" s="1"/>
      <c r="V692" s="3"/>
      <c r="W692" s="1"/>
      <c r="X692" s="1"/>
    </row>
    <row r="693" ht="16.5" customHeight="1">
      <c r="A693" s="1"/>
      <c r="B693" s="1"/>
      <c r="C693" s="1"/>
      <c r="D693" s="8"/>
      <c r="E693" s="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"/>
      <c r="S693" s="1"/>
      <c r="T693" s="1"/>
      <c r="U693" s="1"/>
      <c r="V693" s="3"/>
      <c r="W693" s="1"/>
      <c r="X693" s="1"/>
    </row>
    <row r="694" ht="16.5" customHeight="1">
      <c r="A694" s="1"/>
      <c r="B694" s="1"/>
      <c r="C694" s="1"/>
      <c r="D694" s="8"/>
      <c r="E694" s="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"/>
      <c r="S694" s="1"/>
      <c r="T694" s="1"/>
      <c r="U694" s="1"/>
      <c r="V694" s="3"/>
      <c r="W694" s="1"/>
      <c r="X694" s="1"/>
    </row>
    <row r="695" ht="16.5" customHeight="1">
      <c r="A695" s="1"/>
      <c r="B695" s="1"/>
      <c r="C695" s="1"/>
      <c r="D695" s="8"/>
      <c r="E695" s="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"/>
      <c r="S695" s="1"/>
      <c r="T695" s="1"/>
      <c r="U695" s="1"/>
      <c r="V695" s="3"/>
      <c r="W695" s="1"/>
      <c r="X695" s="1"/>
    </row>
    <row r="696" ht="16.5" customHeight="1">
      <c r="A696" s="1"/>
      <c r="B696" s="1"/>
      <c r="C696" s="1"/>
      <c r="D696" s="8"/>
      <c r="E696" s="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"/>
      <c r="S696" s="1"/>
      <c r="T696" s="1"/>
      <c r="U696" s="1"/>
      <c r="V696" s="3"/>
      <c r="W696" s="1"/>
      <c r="X696" s="1"/>
    </row>
    <row r="697" ht="16.5" customHeight="1">
      <c r="A697" s="1"/>
      <c r="B697" s="1"/>
      <c r="C697" s="1"/>
      <c r="D697" s="8"/>
      <c r="E697" s="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"/>
      <c r="S697" s="1"/>
      <c r="T697" s="1"/>
      <c r="U697" s="1"/>
      <c r="V697" s="3"/>
      <c r="W697" s="1"/>
      <c r="X697" s="1"/>
    </row>
    <row r="698" ht="16.5" customHeight="1">
      <c r="A698" s="1"/>
      <c r="B698" s="1"/>
      <c r="C698" s="1"/>
      <c r="D698" s="8"/>
      <c r="E698" s="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"/>
      <c r="S698" s="1"/>
      <c r="T698" s="1"/>
      <c r="U698" s="1"/>
      <c r="V698" s="3"/>
      <c r="W698" s="1"/>
      <c r="X698" s="1"/>
    </row>
    <row r="699" ht="16.5" customHeight="1">
      <c r="A699" s="1"/>
      <c r="B699" s="1"/>
      <c r="C699" s="1"/>
      <c r="D699" s="8"/>
      <c r="E699" s="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"/>
      <c r="S699" s="1"/>
      <c r="T699" s="1"/>
      <c r="U699" s="1"/>
      <c r="V699" s="3"/>
      <c r="W699" s="1"/>
      <c r="X699" s="1"/>
    </row>
    <row r="700" ht="16.5" customHeight="1">
      <c r="A700" s="1"/>
      <c r="B700" s="1"/>
      <c r="C700" s="1"/>
      <c r="D700" s="8"/>
      <c r="E700" s="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"/>
      <c r="S700" s="1"/>
      <c r="T700" s="1"/>
      <c r="U700" s="1"/>
      <c r="V700" s="3"/>
      <c r="W700" s="1"/>
      <c r="X700" s="1"/>
    </row>
    <row r="701" ht="16.5" customHeight="1">
      <c r="A701" s="1"/>
      <c r="B701" s="1"/>
      <c r="C701" s="1"/>
      <c r="D701" s="8"/>
      <c r="E701" s="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"/>
      <c r="S701" s="1"/>
      <c r="T701" s="1"/>
      <c r="U701" s="1"/>
      <c r="V701" s="3"/>
      <c r="W701" s="1"/>
      <c r="X701" s="1"/>
    </row>
    <row r="702" ht="16.5" customHeight="1">
      <c r="A702" s="1"/>
      <c r="B702" s="1"/>
      <c r="C702" s="1"/>
      <c r="D702" s="8"/>
      <c r="E702" s="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"/>
      <c r="S702" s="1"/>
      <c r="T702" s="1"/>
      <c r="U702" s="1"/>
      <c r="V702" s="3"/>
      <c r="W702" s="1"/>
      <c r="X702" s="1"/>
    </row>
    <row r="703" ht="16.5" customHeight="1">
      <c r="A703" s="1"/>
      <c r="B703" s="1"/>
      <c r="C703" s="1"/>
      <c r="D703" s="8"/>
      <c r="E703" s="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"/>
      <c r="S703" s="1"/>
      <c r="T703" s="1"/>
      <c r="U703" s="1"/>
      <c r="V703" s="3"/>
      <c r="W703" s="1"/>
      <c r="X703" s="1"/>
    </row>
    <row r="704" ht="16.5" customHeight="1">
      <c r="A704" s="1"/>
      <c r="B704" s="1"/>
      <c r="C704" s="1"/>
      <c r="D704" s="8"/>
      <c r="E704" s="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"/>
      <c r="S704" s="1"/>
      <c r="T704" s="1"/>
      <c r="U704" s="1"/>
      <c r="V704" s="3"/>
      <c r="W704" s="1"/>
      <c r="X704" s="1"/>
    </row>
    <row r="705" ht="16.5" customHeight="1">
      <c r="A705" s="1"/>
      <c r="B705" s="1"/>
      <c r="C705" s="1"/>
      <c r="D705" s="8"/>
      <c r="E705" s="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"/>
      <c r="S705" s="1"/>
      <c r="T705" s="1"/>
      <c r="U705" s="1"/>
      <c r="V705" s="3"/>
      <c r="W705" s="1"/>
      <c r="X705" s="1"/>
    </row>
    <row r="706" ht="16.5" customHeight="1">
      <c r="A706" s="1"/>
      <c r="B706" s="1"/>
      <c r="C706" s="1"/>
      <c r="D706" s="8"/>
      <c r="E706" s="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"/>
      <c r="S706" s="1"/>
      <c r="T706" s="1"/>
      <c r="U706" s="1"/>
      <c r="V706" s="3"/>
      <c r="W706" s="1"/>
      <c r="X706" s="1"/>
    </row>
    <row r="707" ht="16.5" customHeight="1">
      <c r="A707" s="1"/>
      <c r="B707" s="1"/>
      <c r="C707" s="1"/>
      <c r="D707" s="8"/>
      <c r="E707" s="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"/>
      <c r="S707" s="1"/>
      <c r="T707" s="1"/>
      <c r="U707" s="1"/>
      <c r="V707" s="3"/>
      <c r="W707" s="1"/>
      <c r="X707" s="1"/>
    </row>
    <row r="708" ht="16.5" customHeight="1">
      <c r="A708" s="1"/>
      <c r="B708" s="1"/>
      <c r="C708" s="1"/>
      <c r="D708" s="8"/>
      <c r="E708" s="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"/>
      <c r="S708" s="1"/>
      <c r="T708" s="1"/>
      <c r="U708" s="1"/>
      <c r="V708" s="3"/>
      <c r="W708" s="1"/>
      <c r="X708" s="1"/>
    </row>
    <row r="709" ht="16.5" customHeight="1">
      <c r="A709" s="1"/>
      <c r="B709" s="1"/>
      <c r="C709" s="1"/>
      <c r="D709" s="8"/>
      <c r="E709" s="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"/>
      <c r="S709" s="1"/>
      <c r="T709" s="1"/>
      <c r="U709" s="1"/>
      <c r="V709" s="3"/>
      <c r="W709" s="1"/>
      <c r="X709" s="1"/>
    </row>
    <row r="710" ht="16.5" customHeight="1">
      <c r="A710" s="1"/>
      <c r="B710" s="1"/>
      <c r="C710" s="1"/>
      <c r="D710" s="8"/>
      <c r="E710" s="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"/>
      <c r="S710" s="1"/>
      <c r="T710" s="1"/>
      <c r="U710" s="1"/>
      <c r="V710" s="3"/>
      <c r="W710" s="1"/>
      <c r="X710" s="1"/>
    </row>
    <row r="711" ht="16.5" customHeight="1">
      <c r="A711" s="1"/>
      <c r="B711" s="1"/>
      <c r="C711" s="1"/>
      <c r="D711" s="8"/>
      <c r="E711" s="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"/>
      <c r="S711" s="1"/>
      <c r="T711" s="1"/>
      <c r="U711" s="1"/>
      <c r="V711" s="3"/>
      <c r="W711" s="1"/>
      <c r="X711" s="1"/>
    </row>
    <row r="712" ht="16.5" customHeight="1">
      <c r="A712" s="1"/>
      <c r="B712" s="1"/>
      <c r="C712" s="1"/>
      <c r="D712" s="8"/>
      <c r="E712" s="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"/>
      <c r="S712" s="1"/>
      <c r="T712" s="1"/>
      <c r="U712" s="1"/>
      <c r="V712" s="3"/>
      <c r="W712" s="1"/>
      <c r="X712" s="1"/>
    </row>
    <row r="713" ht="16.5" customHeight="1">
      <c r="A713" s="1"/>
      <c r="B713" s="1"/>
      <c r="C713" s="1"/>
      <c r="D713" s="8"/>
      <c r="E713" s="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"/>
      <c r="S713" s="1"/>
      <c r="T713" s="1"/>
      <c r="U713" s="1"/>
      <c r="V713" s="3"/>
      <c r="W713" s="1"/>
      <c r="X713" s="1"/>
    </row>
    <row r="714" ht="16.5" customHeight="1">
      <c r="A714" s="1"/>
      <c r="B714" s="1"/>
      <c r="C714" s="1"/>
      <c r="D714" s="8"/>
      <c r="E714" s="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"/>
      <c r="S714" s="1"/>
      <c r="T714" s="1"/>
      <c r="U714" s="1"/>
      <c r="V714" s="3"/>
      <c r="W714" s="1"/>
      <c r="X714" s="1"/>
    </row>
    <row r="715" ht="16.5" customHeight="1">
      <c r="A715" s="1"/>
      <c r="B715" s="1"/>
      <c r="C715" s="1"/>
      <c r="D715" s="8"/>
      <c r="E715" s="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"/>
      <c r="S715" s="1"/>
      <c r="T715" s="1"/>
      <c r="U715" s="1"/>
      <c r="V715" s="3"/>
      <c r="W715" s="1"/>
      <c r="X715" s="1"/>
    </row>
    <row r="716" ht="16.5" customHeight="1">
      <c r="A716" s="1"/>
      <c r="B716" s="1"/>
      <c r="C716" s="1"/>
      <c r="D716" s="8"/>
      <c r="E716" s="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"/>
      <c r="S716" s="1"/>
      <c r="T716" s="1"/>
      <c r="U716" s="1"/>
      <c r="V716" s="3"/>
      <c r="W716" s="1"/>
      <c r="X716" s="1"/>
    </row>
    <row r="717" ht="16.5" customHeight="1">
      <c r="A717" s="1"/>
      <c r="B717" s="1"/>
      <c r="C717" s="1"/>
      <c r="D717" s="8"/>
      <c r="E717" s="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"/>
      <c r="S717" s="1"/>
      <c r="T717" s="1"/>
      <c r="U717" s="1"/>
      <c r="V717" s="3"/>
      <c r="W717" s="1"/>
      <c r="X717" s="1"/>
    </row>
    <row r="718" ht="16.5" customHeight="1">
      <c r="A718" s="1"/>
      <c r="B718" s="1"/>
      <c r="C718" s="1"/>
      <c r="D718" s="8"/>
      <c r="E718" s="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"/>
      <c r="S718" s="1"/>
      <c r="T718" s="1"/>
      <c r="U718" s="1"/>
      <c r="V718" s="3"/>
      <c r="W718" s="1"/>
      <c r="X718" s="1"/>
    </row>
    <row r="719" ht="16.5" customHeight="1">
      <c r="A719" s="1"/>
      <c r="B719" s="1"/>
      <c r="C719" s="1"/>
      <c r="D719" s="8"/>
      <c r="E719" s="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"/>
      <c r="S719" s="1"/>
      <c r="T719" s="1"/>
      <c r="U719" s="1"/>
      <c r="V719" s="3"/>
      <c r="W719" s="1"/>
      <c r="X719" s="1"/>
    </row>
    <row r="720" ht="16.5" customHeight="1">
      <c r="A720" s="1"/>
      <c r="B720" s="1"/>
      <c r="C720" s="1"/>
      <c r="D720" s="8"/>
      <c r="E720" s="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"/>
      <c r="S720" s="1"/>
      <c r="T720" s="1"/>
      <c r="U720" s="1"/>
      <c r="V720" s="3"/>
      <c r="W720" s="1"/>
      <c r="X720" s="1"/>
    </row>
    <row r="721" ht="16.5" customHeight="1">
      <c r="A721" s="1"/>
      <c r="B721" s="1"/>
      <c r="C721" s="1"/>
      <c r="D721" s="8"/>
      <c r="E721" s="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"/>
      <c r="S721" s="1"/>
      <c r="T721" s="1"/>
      <c r="U721" s="1"/>
      <c r="V721" s="3"/>
      <c r="W721" s="1"/>
      <c r="X721" s="1"/>
    </row>
    <row r="722" ht="16.5" customHeight="1">
      <c r="A722" s="1"/>
      <c r="B722" s="1"/>
      <c r="C722" s="1"/>
      <c r="D722" s="8"/>
      <c r="E722" s="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"/>
      <c r="S722" s="1"/>
      <c r="T722" s="1"/>
      <c r="U722" s="1"/>
      <c r="V722" s="3"/>
      <c r="W722" s="1"/>
      <c r="X722" s="1"/>
    </row>
    <row r="723" ht="16.5" customHeight="1">
      <c r="A723" s="1"/>
      <c r="B723" s="1"/>
      <c r="C723" s="1"/>
      <c r="D723" s="8"/>
      <c r="E723" s="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"/>
      <c r="S723" s="1"/>
      <c r="T723" s="1"/>
      <c r="U723" s="1"/>
      <c r="V723" s="3"/>
      <c r="W723" s="1"/>
      <c r="X723" s="1"/>
    </row>
    <row r="724" ht="16.5" customHeight="1">
      <c r="A724" s="1"/>
      <c r="B724" s="1"/>
      <c r="C724" s="1"/>
      <c r="D724" s="8"/>
      <c r="E724" s="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"/>
      <c r="S724" s="1"/>
      <c r="T724" s="1"/>
      <c r="U724" s="1"/>
      <c r="V724" s="3"/>
      <c r="W724" s="1"/>
      <c r="X724" s="1"/>
    </row>
    <row r="725" ht="16.5" customHeight="1">
      <c r="A725" s="1"/>
      <c r="B725" s="1"/>
      <c r="C725" s="1"/>
      <c r="D725" s="8"/>
      <c r="E725" s="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"/>
      <c r="S725" s="1"/>
      <c r="T725" s="1"/>
      <c r="U725" s="1"/>
      <c r="V725" s="3"/>
      <c r="W725" s="1"/>
      <c r="X725" s="1"/>
    </row>
    <row r="726" ht="16.5" customHeight="1">
      <c r="A726" s="1"/>
      <c r="B726" s="1"/>
      <c r="C726" s="1"/>
      <c r="D726" s="8"/>
      <c r="E726" s="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"/>
      <c r="S726" s="1"/>
      <c r="T726" s="1"/>
      <c r="U726" s="1"/>
      <c r="V726" s="3"/>
      <c r="W726" s="1"/>
      <c r="X726" s="1"/>
    </row>
    <row r="727" ht="16.5" customHeight="1">
      <c r="A727" s="1"/>
      <c r="B727" s="1"/>
      <c r="C727" s="1"/>
      <c r="D727" s="8"/>
      <c r="E727" s="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"/>
      <c r="S727" s="1"/>
      <c r="T727" s="1"/>
      <c r="U727" s="1"/>
      <c r="V727" s="3"/>
      <c r="W727" s="1"/>
      <c r="X727" s="1"/>
    </row>
    <row r="728" ht="16.5" customHeight="1">
      <c r="A728" s="1"/>
      <c r="B728" s="1"/>
      <c r="C728" s="1"/>
      <c r="D728" s="8"/>
      <c r="E728" s="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"/>
      <c r="S728" s="1"/>
      <c r="T728" s="1"/>
      <c r="U728" s="1"/>
      <c r="V728" s="3"/>
      <c r="W728" s="1"/>
      <c r="X728" s="1"/>
    </row>
    <row r="729" ht="16.5" customHeight="1">
      <c r="A729" s="1"/>
      <c r="B729" s="1"/>
      <c r="C729" s="1"/>
      <c r="D729" s="8"/>
      <c r="E729" s="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"/>
      <c r="S729" s="1"/>
      <c r="T729" s="1"/>
      <c r="U729" s="1"/>
      <c r="V729" s="3"/>
      <c r="W729" s="1"/>
      <c r="X729" s="1"/>
    </row>
    <row r="730" ht="16.5" customHeight="1">
      <c r="A730" s="1"/>
      <c r="B730" s="1"/>
      <c r="C730" s="1"/>
      <c r="D730" s="8"/>
      <c r="E730" s="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"/>
      <c r="S730" s="1"/>
      <c r="T730" s="1"/>
      <c r="U730" s="1"/>
      <c r="V730" s="3"/>
      <c r="W730" s="1"/>
      <c r="X730" s="1"/>
    </row>
    <row r="731" ht="16.5" customHeight="1">
      <c r="A731" s="1"/>
      <c r="B731" s="1"/>
      <c r="C731" s="1"/>
      <c r="D731" s="8"/>
      <c r="E731" s="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"/>
      <c r="S731" s="1"/>
      <c r="T731" s="1"/>
      <c r="U731" s="1"/>
      <c r="V731" s="3"/>
      <c r="W731" s="1"/>
      <c r="X731" s="1"/>
    </row>
    <row r="732" ht="16.5" customHeight="1">
      <c r="A732" s="1"/>
      <c r="B732" s="1"/>
      <c r="C732" s="1"/>
      <c r="D732" s="8"/>
      <c r="E732" s="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"/>
      <c r="S732" s="1"/>
      <c r="T732" s="1"/>
      <c r="U732" s="1"/>
      <c r="V732" s="3"/>
      <c r="W732" s="1"/>
      <c r="X732" s="1"/>
    </row>
    <row r="733" ht="16.5" customHeight="1">
      <c r="A733" s="1"/>
      <c r="B733" s="1"/>
      <c r="C733" s="1"/>
      <c r="D733" s="8"/>
      <c r="E733" s="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"/>
      <c r="S733" s="1"/>
      <c r="T733" s="1"/>
      <c r="U733" s="1"/>
      <c r="V733" s="3"/>
      <c r="W733" s="1"/>
      <c r="X733" s="1"/>
    </row>
    <row r="734" ht="16.5" customHeight="1">
      <c r="A734" s="1"/>
      <c r="B734" s="1"/>
      <c r="C734" s="1"/>
      <c r="D734" s="8"/>
      <c r="E734" s="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"/>
      <c r="S734" s="1"/>
      <c r="T734" s="1"/>
      <c r="U734" s="1"/>
      <c r="V734" s="3"/>
      <c r="W734" s="1"/>
      <c r="X734" s="1"/>
    </row>
    <row r="735" ht="16.5" customHeight="1">
      <c r="A735" s="1"/>
      <c r="B735" s="1"/>
      <c r="C735" s="1"/>
      <c r="D735" s="8"/>
      <c r="E735" s="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"/>
      <c r="S735" s="1"/>
      <c r="T735" s="1"/>
      <c r="U735" s="1"/>
      <c r="V735" s="3"/>
      <c r="W735" s="1"/>
      <c r="X735" s="1"/>
    </row>
    <row r="736" ht="16.5" customHeight="1">
      <c r="A736" s="1"/>
      <c r="B736" s="1"/>
      <c r="C736" s="1"/>
      <c r="D736" s="8"/>
      <c r="E736" s="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"/>
      <c r="S736" s="1"/>
      <c r="T736" s="1"/>
      <c r="U736" s="1"/>
      <c r="V736" s="3"/>
      <c r="W736" s="1"/>
      <c r="X736" s="1"/>
    </row>
    <row r="737" ht="16.5" customHeight="1">
      <c r="A737" s="1"/>
      <c r="B737" s="1"/>
      <c r="C737" s="1"/>
      <c r="D737" s="8"/>
      <c r="E737" s="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"/>
      <c r="S737" s="1"/>
      <c r="T737" s="1"/>
      <c r="U737" s="1"/>
      <c r="V737" s="3"/>
      <c r="W737" s="1"/>
      <c r="X737" s="1"/>
    </row>
    <row r="738" ht="16.5" customHeight="1">
      <c r="A738" s="1"/>
      <c r="B738" s="1"/>
      <c r="C738" s="1"/>
      <c r="D738" s="8"/>
      <c r="E738" s="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"/>
      <c r="S738" s="1"/>
      <c r="T738" s="1"/>
      <c r="U738" s="1"/>
      <c r="V738" s="3"/>
      <c r="W738" s="1"/>
      <c r="X738" s="1"/>
    </row>
    <row r="739" ht="16.5" customHeight="1">
      <c r="A739" s="1"/>
      <c r="B739" s="1"/>
      <c r="C739" s="1"/>
      <c r="D739" s="8"/>
      <c r="E739" s="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"/>
      <c r="S739" s="1"/>
      <c r="T739" s="1"/>
      <c r="U739" s="1"/>
      <c r="V739" s="3"/>
      <c r="W739" s="1"/>
      <c r="X739" s="1"/>
    </row>
    <row r="740" ht="16.5" customHeight="1">
      <c r="A740" s="1"/>
      <c r="B740" s="1"/>
      <c r="C740" s="1"/>
      <c r="D740" s="8"/>
      <c r="E740" s="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"/>
      <c r="S740" s="1"/>
      <c r="T740" s="1"/>
      <c r="U740" s="1"/>
      <c r="V740" s="3"/>
      <c r="W740" s="1"/>
      <c r="X740" s="1"/>
    </row>
    <row r="741" ht="16.5" customHeight="1">
      <c r="A741" s="1"/>
      <c r="B741" s="1"/>
      <c r="C741" s="1"/>
      <c r="D741" s="8"/>
      <c r="E741" s="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"/>
      <c r="S741" s="1"/>
      <c r="T741" s="1"/>
      <c r="U741" s="1"/>
      <c r="V741" s="3"/>
      <c r="W741" s="1"/>
      <c r="X741" s="1"/>
    </row>
    <row r="742" ht="16.5" customHeight="1">
      <c r="A742" s="1"/>
      <c r="B742" s="1"/>
      <c r="C742" s="1"/>
      <c r="D742" s="8"/>
      <c r="E742" s="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"/>
      <c r="S742" s="1"/>
      <c r="T742" s="1"/>
      <c r="U742" s="1"/>
      <c r="V742" s="3"/>
      <c r="W742" s="1"/>
      <c r="X742" s="1"/>
    </row>
    <row r="743" ht="16.5" customHeight="1">
      <c r="A743" s="1"/>
      <c r="B743" s="1"/>
      <c r="C743" s="1"/>
      <c r="D743" s="8"/>
      <c r="E743" s="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"/>
      <c r="S743" s="1"/>
      <c r="T743" s="1"/>
      <c r="U743" s="1"/>
      <c r="V743" s="3"/>
      <c r="W743" s="1"/>
      <c r="X743" s="1"/>
    </row>
    <row r="744" ht="16.5" customHeight="1">
      <c r="A744" s="1"/>
      <c r="B744" s="1"/>
      <c r="C744" s="1"/>
      <c r="D744" s="8"/>
      <c r="E744" s="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"/>
      <c r="S744" s="1"/>
      <c r="T744" s="1"/>
      <c r="U744" s="1"/>
      <c r="V744" s="3"/>
      <c r="W744" s="1"/>
      <c r="X744" s="1"/>
    </row>
    <row r="745" ht="16.5" customHeight="1">
      <c r="A745" s="1"/>
      <c r="B745" s="1"/>
      <c r="C745" s="1"/>
      <c r="D745" s="8"/>
      <c r="E745" s="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"/>
      <c r="S745" s="1"/>
      <c r="T745" s="1"/>
      <c r="U745" s="1"/>
      <c r="V745" s="3"/>
      <c r="W745" s="1"/>
      <c r="X745" s="1"/>
    </row>
    <row r="746" ht="16.5" customHeight="1">
      <c r="A746" s="1"/>
      <c r="B746" s="1"/>
      <c r="C746" s="1"/>
      <c r="D746" s="8"/>
      <c r="E746" s="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"/>
      <c r="S746" s="1"/>
      <c r="T746" s="1"/>
      <c r="U746" s="1"/>
      <c r="V746" s="3"/>
      <c r="W746" s="1"/>
      <c r="X746" s="1"/>
    </row>
    <row r="747" ht="16.5" customHeight="1">
      <c r="A747" s="1"/>
      <c r="B747" s="1"/>
      <c r="C747" s="1"/>
      <c r="D747" s="8"/>
      <c r="E747" s="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"/>
      <c r="S747" s="1"/>
      <c r="T747" s="1"/>
      <c r="U747" s="1"/>
      <c r="V747" s="3"/>
      <c r="W747" s="1"/>
      <c r="X747" s="1"/>
    </row>
    <row r="748" ht="16.5" customHeight="1">
      <c r="A748" s="1"/>
      <c r="B748" s="1"/>
      <c r="C748" s="1"/>
      <c r="D748" s="8"/>
      <c r="E748" s="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"/>
      <c r="S748" s="1"/>
      <c r="T748" s="1"/>
      <c r="U748" s="1"/>
      <c r="V748" s="3"/>
      <c r="W748" s="1"/>
      <c r="X748" s="1"/>
    </row>
    <row r="749" ht="16.5" customHeight="1">
      <c r="A749" s="1"/>
      <c r="B749" s="1"/>
      <c r="C749" s="1"/>
      <c r="D749" s="8"/>
      <c r="E749" s="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"/>
      <c r="S749" s="1"/>
      <c r="T749" s="1"/>
      <c r="U749" s="1"/>
      <c r="V749" s="3"/>
      <c r="W749" s="1"/>
      <c r="X749" s="1"/>
    </row>
    <row r="750" ht="16.5" customHeight="1">
      <c r="A750" s="1"/>
      <c r="B750" s="1"/>
      <c r="C750" s="1"/>
      <c r="D750" s="8"/>
      <c r="E750" s="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"/>
      <c r="S750" s="1"/>
      <c r="T750" s="1"/>
      <c r="U750" s="1"/>
      <c r="V750" s="3"/>
      <c r="W750" s="1"/>
      <c r="X750" s="1"/>
    </row>
    <row r="751" ht="16.5" customHeight="1">
      <c r="A751" s="1"/>
      <c r="B751" s="1"/>
      <c r="C751" s="1"/>
      <c r="D751" s="8"/>
      <c r="E751" s="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"/>
      <c r="S751" s="1"/>
      <c r="T751" s="1"/>
      <c r="U751" s="1"/>
      <c r="V751" s="3"/>
      <c r="W751" s="1"/>
      <c r="X751" s="1"/>
    </row>
    <row r="752" ht="16.5" customHeight="1">
      <c r="A752" s="1"/>
      <c r="B752" s="1"/>
      <c r="C752" s="1"/>
      <c r="D752" s="8"/>
      <c r="E752" s="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"/>
      <c r="S752" s="1"/>
      <c r="T752" s="1"/>
      <c r="U752" s="1"/>
      <c r="V752" s="3"/>
      <c r="W752" s="1"/>
      <c r="X752" s="1"/>
    </row>
    <row r="753" ht="16.5" customHeight="1">
      <c r="A753" s="1"/>
      <c r="B753" s="1"/>
      <c r="C753" s="1"/>
      <c r="D753" s="8"/>
      <c r="E753" s="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"/>
      <c r="S753" s="1"/>
      <c r="T753" s="1"/>
      <c r="U753" s="1"/>
      <c r="V753" s="3"/>
      <c r="W753" s="1"/>
      <c r="X753" s="1"/>
    </row>
    <row r="754" ht="16.5" customHeight="1">
      <c r="A754" s="1"/>
      <c r="B754" s="1"/>
      <c r="C754" s="1"/>
      <c r="D754" s="8"/>
      <c r="E754" s="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"/>
      <c r="S754" s="1"/>
      <c r="T754" s="1"/>
      <c r="U754" s="1"/>
      <c r="V754" s="3"/>
      <c r="W754" s="1"/>
      <c r="X754" s="1"/>
    </row>
    <row r="755" ht="16.5" customHeight="1">
      <c r="A755" s="1"/>
      <c r="B755" s="1"/>
      <c r="C755" s="1"/>
      <c r="D755" s="8"/>
      <c r="E755" s="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"/>
      <c r="S755" s="1"/>
      <c r="T755" s="1"/>
      <c r="U755" s="1"/>
      <c r="V755" s="3"/>
      <c r="W755" s="1"/>
      <c r="X755" s="1"/>
    </row>
    <row r="756" ht="16.5" customHeight="1">
      <c r="A756" s="1"/>
      <c r="B756" s="1"/>
      <c r="C756" s="1"/>
      <c r="D756" s="8"/>
      <c r="E756" s="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"/>
      <c r="S756" s="1"/>
      <c r="T756" s="1"/>
      <c r="U756" s="1"/>
      <c r="V756" s="3"/>
      <c r="W756" s="1"/>
      <c r="X756" s="1"/>
    </row>
    <row r="757" ht="16.5" customHeight="1">
      <c r="A757" s="1"/>
      <c r="B757" s="1"/>
      <c r="C757" s="1"/>
      <c r="D757" s="8"/>
      <c r="E757" s="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"/>
      <c r="S757" s="1"/>
      <c r="T757" s="1"/>
      <c r="U757" s="1"/>
      <c r="V757" s="3"/>
      <c r="W757" s="1"/>
      <c r="X757" s="1"/>
    </row>
    <row r="758" ht="16.5" customHeight="1">
      <c r="A758" s="1"/>
      <c r="B758" s="1"/>
      <c r="C758" s="1"/>
      <c r="D758" s="8"/>
      <c r="E758" s="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"/>
      <c r="S758" s="1"/>
      <c r="T758" s="1"/>
      <c r="U758" s="1"/>
      <c r="V758" s="3"/>
      <c r="W758" s="1"/>
      <c r="X758" s="1"/>
    </row>
    <row r="759" ht="16.5" customHeight="1">
      <c r="A759" s="1"/>
      <c r="B759" s="1"/>
      <c r="C759" s="1"/>
      <c r="D759" s="8"/>
      <c r="E759" s="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"/>
      <c r="S759" s="1"/>
      <c r="T759" s="1"/>
      <c r="U759" s="1"/>
      <c r="V759" s="3"/>
      <c r="W759" s="1"/>
      <c r="X759" s="1"/>
    </row>
    <row r="760" ht="16.5" customHeight="1">
      <c r="A760" s="1"/>
      <c r="B760" s="1"/>
      <c r="C760" s="1"/>
      <c r="D760" s="8"/>
      <c r="E760" s="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"/>
      <c r="S760" s="1"/>
      <c r="T760" s="1"/>
      <c r="U760" s="1"/>
      <c r="V760" s="3"/>
      <c r="W760" s="1"/>
      <c r="X760" s="1"/>
    </row>
    <row r="761" ht="16.5" customHeight="1">
      <c r="A761" s="1"/>
      <c r="B761" s="1"/>
      <c r="C761" s="1"/>
      <c r="D761" s="8"/>
      <c r="E761" s="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"/>
      <c r="S761" s="1"/>
      <c r="T761" s="1"/>
      <c r="U761" s="1"/>
      <c r="V761" s="3"/>
      <c r="W761" s="1"/>
      <c r="X761" s="1"/>
    </row>
    <row r="762" ht="16.5" customHeight="1">
      <c r="A762" s="1"/>
      <c r="B762" s="1"/>
      <c r="C762" s="1"/>
      <c r="D762" s="8"/>
      <c r="E762" s="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"/>
      <c r="S762" s="1"/>
      <c r="T762" s="1"/>
      <c r="U762" s="1"/>
      <c r="V762" s="3"/>
      <c r="W762" s="1"/>
      <c r="X762" s="1"/>
    </row>
    <row r="763" ht="16.5" customHeight="1">
      <c r="A763" s="1"/>
      <c r="B763" s="1"/>
      <c r="C763" s="1"/>
      <c r="D763" s="8"/>
      <c r="E763" s="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"/>
      <c r="S763" s="1"/>
      <c r="T763" s="1"/>
      <c r="U763" s="1"/>
      <c r="V763" s="3"/>
      <c r="W763" s="1"/>
      <c r="X763" s="1"/>
    </row>
    <row r="764" ht="16.5" customHeight="1">
      <c r="A764" s="1"/>
      <c r="B764" s="1"/>
      <c r="C764" s="1"/>
      <c r="D764" s="8"/>
      <c r="E764" s="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"/>
      <c r="S764" s="1"/>
      <c r="T764" s="1"/>
      <c r="U764" s="1"/>
      <c r="V764" s="3"/>
      <c r="W764" s="1"/>
      <c r="X764" s="1"/>
    </row>
    <row r="765" ht="16.5" customHeight="1">
      <c r="A765" s="1"/>
      <c r="B765" s="1"/>
      <c r="C765" s="1"/>
      <c r="D765" s="8"/>
      <c r="E765" s="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"/>
      <c r="S765" s="1"/>
      <c r="T765" s="1"/>
      <c r="U765" s="1"/>
      <c r="V765" s="3"/>
      <c r="W765" s="1"/>
      <c r="X765" s="1"/>
    </row>
    <row r="766" ht="16.5" customHeight="1">
      <c r="A766" s="1"/>
      <c r="B766" s="1"/>
      <c r="C766" s="1"/>
      <c r="D766" s="8"/>
      <c r="E766" s="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"/>
      <c r="S766" s="1"/>
      <c r="T766" s="1"/>
      <c r="U766" s="1"/>
      <c r="V766" s="3"/>
      <c r="W766" s="1"/>
      <c r="X766" s="1"/>
    </row>
    <row r="767" ht="16.5" customHeight="1">
      <c r="A767" s="1"/>
      <c r="B767" s="1"/>
      <c r="C767" s="1"/>
      <c r="D767" s="8"/>
      <c r="E767" s="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"/>
      <c r="S767" s="1"/>
      <c r="T767" s="1"/>
      <c r="U767" s="1"/>
      <c r="V767" s="3"/>
      <c r="W767" s="1"/>
      <c r="X767" s="1"/>
    </row>
    <row r="768" ht="16.5" customHeight="1">
      <c r="A768" s="1"/>
      <c r="B768" s="1"/>
      <c r="C768" s="1"/>
      <c r="D768" s="8"/>
      <c r="E768" s="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"/>
      <c r="S768" s="1"/>
      <c r="T768" s="1"/>
      <c r="U768" s="1"/>
      <c r="V768" s="3"/>
      <c r="W768" s="1"/>
      <c r="X768" s="1"/>
    </row>
    <row r="769" ht="16.5" customHeight="1">
      <c r="A769" s="1"/>
      <c r="B769" s="1"/>
      <c r="C769" s="1"/>
      <c r="D769" s="8"/>
      <c r="E769" s="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"/>
      <c r="S769" s="1"/>
      <c r="T769" s="1"/>
      <c r="U769" s="1"/>
      <c r="V769" s="3"/>
      <c r="W769" s="1"/>
      <c r="X769" s="1"/>
    </row>
    <row r="770" ht="16.5" customHeight="1">
      <c r="A770" s="1"/>
      <c r="B770" s="1"/>
      <c r="C770" s="1"/>
      <c r="D770" s="8"/>
      <c r="E770" s="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"/>
      <c r="S770" s="1"/>
      <c r="T770" s="1"/>
      <c r="U770" s="1"/>
      <c r="V770" s="3"/>
      <c r="W770" s="1"/>
      <c r="X770" s="1"/>
    </row>
    <row r="771" ht="16.5" customHeight="1">
      <c r="A771" s="1"/>
      <c r="B771" s="1"/>
      <c r="C771" s="1"/>
      <c r="D771" s="8"/>
      <c r="E771" s="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"/>
      <c r="S771" s="1"/>
      <c r="T771" s="1"/>
      <c r="U771" s="1"/>
      <c r="V771" s="3"/>
      <c r="W771" s="1"/>
      <c r="X771" s="1"/>
    </row>
    <row r="772" ht="16.5" customHeight="1">
      <c r="A772" s="1"/>
      <c r="B772" s="1"/>
      <c r="C772" s="1"/>
      <c r="D772" s="8"/>
      <c r="E772" s="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"/>
      <c r="S772" s="1"/>
      <c r="T772" s="1"/>
      <c r="U772" s="1"/>
      <c r="V772" s="3"/>
      <c r="W772" s="1"/>
      <c r="X772" s="1"/>
    </row>
    <row r="773" ht="16.5" customHeight="1">
      <c r="A773" s="1"/>
      <c r="B773" s="1"/>
      <c r="C773" s="1"/>
      <c r="D773" s="8"/>
      <c r="E773" s="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"/>
      <c r="S773" s="1"/>
      <c r="T773" s="1"/>
      <c r="U773" s="1"/>
      <c r="V773" s="3"/>
      <c r="W773" s="1"/>
      <c r="X773" s="1"/>
    </row>
    <row r="774" ht="16.5" customHeight="1">
      <c r="A774" s="1"/>
      <c r="B774" s="1"/>
      <c r="C774" s="1"/>
      <c r="D774" s="8"/>
      <c r="E774" s="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"/>
      <c r="S774" s="1"/>
      <c r="T774" s="1"/>
      <c r="U774" s="1"/>
      <c r="V774" s="3"/>
      <c r="W774" s="1"/>
      <c r="X774" s="1"/>
    </row>
    <row r="775" ht="16.5" customHeight="1">
      <c r="A775" s="1"/>
      <c r="B775" s="1"/>
      <c r="C775" s="1"/>
      <c r="D775" s="8"/>
      <c r="E775" s="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"/>
      <c r="S775" s="1"/>
      <c r="T775" s="1"/>
      <c r="U775" s="1"/>
      <c r="V775" s="3"/>
      <c r="W775" s="1"/>
      <c r="X775" s="1"/>
    </row>
    <row r="776" ht="16.5" customHeight="1">
      <c r="A776" s="1"/>
      <c r="B776" s="1"/>
      <c r="C776" s="1"/>
      <c r="D776" s="8"/>
      <c r="E776" s="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"/>
      <c r="S776" s="1"/>
      <c r="T776" s="1"/>
      <c r="U776" s="1"/>
      <c r="V776" s="3"/>
      <c r="W776" s="1"/>
      <c r="X776" s="1"/>
    </row>
    <row r="777" ht="16.5" customHeight="1">
      <c r="A777" s="1"/>
      <c r="B777" s="1"/>
      <c r="C777" s="1"/>
      <c r="D777" s="8"/>
      <c r="E777" s="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"/>
      <c r="S777" s="1"/>
      <c r="T777" s="1"/>
      <c r="U777" s="1"/>
      <c r="V777" s="3"/>
      <c r="W777" s="1"/>
      <c r="X777" s="1"/>
    </row>
    <row r="778" ht="16.5" customHeight="1">
      <c r="A778" s="1"/>
      <c r="B778" s="1"/>
      <c r="C778" s="1"/>
      <c r="D778" s="8"/>
      <c r="E778" s="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"/>
      <c r="S778" s="1"/>
      <c r="T778" s="1"/>
      <c r="U778" s="1"/>
      <c r="V778" s="3"/>
      <c r="W778" s="1"/>
      <c r="X778" s="1"/>
    </row>
    <row r="779" ht="16.5" customHeight="1">
      <c r="A779" s="1"/>
      <c r="B779" s="1"/>
      <c r="C779" s="1"/>
      <c r="D779" s="8"/>
      <c r="E779" s="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"/>
      <c r="S779" s="1"/>
      <c r="T779" s="1"/>
      <c r="U779" s="1"/>
      <c r="V779" s="3"/>
      <c r="W779" s="1"/>
      <c r="X779" s="1"/>
    </row>
    <row r="780" ht="16.5" customHeight="1">
      <c r="A780" s="1"/>
      <c r="B780" s="1"/>
      <c r="C780" s="1"/>
      <c r="D780" s="8"/>
      <c r="E780" s="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"/>
      <c r="S780" s="1"/>
      <c r="T780" s="1"/>
      <c r="U780" s="1"/>
      <c r="V780" s="3"/>
      <c r="W780" s="1"/>
      <c r="X780" s="1"/>
    </row>
    <row r="781" ht="16.5" customHeight="1">
      <c r="A781" s="1"/>
      <c r="B781" s="1"/>
      <c r="C781" s="1"/>
      <c r="D781" s="8"/>
      <c r="E781" s="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"/>
      <c r="S781" s="1"/>
      <c r="T781" s="1"/>
      <c r="U781" s="1"/>
      <c r="V781" s="3"/>
      <c r="W781" s="1"/>
      <c r="X781" s="1"/>
    </row>
    <row r="782" ht="16.5" customHeight="1">
      <c r="A782" s="1"/>
      <c r="B782" s="1"/>
      <c r="C782" s="1"/>
      <c r="D782" s="8"/>
      <c r="E782" s="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"/>
      <c r="S782" s="1"/>
      <c r="T782" s="1"/>
      <c r="U782" s="1"/>
      <c r="V782" s="3"/>
      <c r="W782" s="1"/>
      <c r="X782" s="1"/>
    </row>
    <row r="783" ht="16.5" customHeight="1">
      <c r="A783" s="1"/>
      <c r="B783" s="1"/>
      <c r="C783" s="1"/>
      <c r="D783" s="8"/>
      <c r="E783" s="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"/>
      <c r="S783" s="1"/>
      <c r="T783" s="1"/>
      <c r="U783" s="1"/>
      <c r="V783" s="3"/>
      <c r="W783" s="1"/>
      <c r="X783" s="1"/>
    </row>
    <row r="784" ht="16.5" customHeight="1">
      <c r="A784" s="1"/>
      <c r="B784" s="1"/>
      <c r="C784" s="1"/>
      <c r="D784" s="8"/>
      <c r="E784" s="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"/>
      <c r="S784" s="1"/>
      <c r="T784" s="1"/>
      <c r="U784" s="1"/>
      <c r="V784" s="3"/>
      <c r="W784" s="1"/>
      <c r="X784" s="1"/>
    </row>
    <row r="785" ht="16.5" customHeight="1">
      <c r="A785" s="1"/>
      <c r="B785" s="1"/>
      <c r="C785" s="1"/>
      <c r="D785" s="8"/>
      <c r="E785" s="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"/>
      <c r="S785" s="1"/>
      <c r="T785" s="1"/>
      <c r="U785" s="1"/>
      <c r="V785" s="3"/>
      <c r="W785" s="1"/>
      <c r="X785" s="1"/>
    </row>
    <row r="786" ht="16.5" customHeight="1">
      <c r="A786" s="1"/>
      <c r="B786" s="1"/>
      <c r="C786" s="1"/>
      <c r="D786" s="8"/>
      <c r="E786" s="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"/>
      <c r="S786" s="1"/>
      <c r="T786" s="1"/>
      <c r="U786" s="1"/>
      <c r="V786" s="3"/>
      <c r="W786" s="1"/>
      <c r="X786" s="1"/>
    </row>
    <row r="787" ht="16.5" customHeight="1">
      <c r="A787" s="1"/>
      <c r="B787" s="1"/>
      <c r="C787" s="1"/>
      <c r="D787" s="8"/>
      <c r="E787" s="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"/>
      <c r="S787" s="1"/>
      <c r="T787" s="1"/>
      <c r="U787" s="1"/>
      <c r="V787" s="3"/>
      <c r="W787" s="1"/>
      <c r="X787" s="1"/>
    </row>
    <row r="788" ht="16.5" customHeight="1">
      <c r="A788" s="1"/>
      <c r="B788" s="1"/>
      <c r="C788" s="1"/>
      <c r="D788" s="8"/>
      <c r="E788" s="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"/>
      <c r="S788" s="1"/>
      <c r="T788" s="1"/>
      <c r="U788" s="1"/>
      <c r="V788" s="3"/>
      <c r="W788" s="1"/>
      <c r="X788" s="1"/>
    </row>
    <row r="789" ht="16.5" customHeight="1">
      <c r="A789" s="1"/>
      <c r="B789" s="1"/>
      <c r="C789" s="1"/>
      <c r="D789" s="8"/>
      <c r="E789" s="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"/>
      <c r="S789" s="1"/>
      <c r="T789" s="1"/>
      <c r="U789" s="1"/>
      <c r="V789" s="3"/>
      <c r="W789" s="1"/>
      <c r="X789" s="1"/>
    </row>
    <row r="790" ht="16.5" customHeight="1">
      <c r="A790" s="1"/>
      <c r="B790" s="1"/>
      <c r="C790" s="1"/>
      <c r="D790" s="8"/>
      <c r="E790" s="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"/>
      <c r="S790" s="1"/>
      <c r="T790" s="1"/>
      <c r="U790" s="1"/>
      <c r="V790" s="3"/>
      <c r="W790" s="1"/>
      <c r="X790" s="1"/>
    </row>
    <row r="791" ht="16.5" customHeight="1">
      <c r="A791" s="1"/>
      <c r="B791" s="1"/>
      <c r="C791" s="1"/>
      <c r="D791" s="8"/>
      <c r="E791" s="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"/>
      <c r="S791" s="1"/>
      <c r="T791" s="1"/>
      <c r="U791" s="1"/>
      <c r="V791" s="3"/>
      <c r="W791" s="1"/>
      <c r="X791" s="1"/>
    </row>
    <row r="792" ht="16.5" customHeight="1">
      <c r="A792" s="1"/>
      <c r="B792" s="1"/>
      <c r="C792" s="1"/>
      <c r="D792" s="8"/>
      <c r="E792" s="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"/>
      <c r="S792" s="1"/>
      <c r="T792" s="1"/>
      <c r="U792" s="1"/>
      <c r="V792" s="3"/>
      <c r="W792" s="1"/>
      <c r="X792" s="1"/>
    </row>
    <row r="793" ht="16.5" customHeight="1">
      <c r="A793" s="1"/>
      <c r="B793" s="1"/>
      <c r="C793" s="1"/>
      <c r="D793" s="8"/>
      <c r="E793" s="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"/>
      <c r="S793" s="1"/>
      <c r="T793" s="1"/>
      <c r="U793" s="1"/>
      <c r="V793" s="3"/>
      <c r="W793" s="1"/>
      <c r="X793" s="1"/>
    </row>
    <row r="794" ht="16.5" customHeight="1">
      <c r="A794" s="1"/>
      <c r="B794" s="1"/>
      <c r="C794" s="1"/>
      <c r="D794" s="8"/>
      <c r="E794" s="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"/>
      <c r="S794" s="1"/>
      <c r="T794" s="1"/>
      <c r="U794" s="1"/>
      <c r="V794" s="3"/>
      <c r="W794" s="1"/>
      <c r="X794" s="1"/>
    </row>
    <row r="795" ht="16.5" customHeight="1">
      <c r="A795" s="1"/>
      <c r="B795" s="1"/>
      <c r="C795" s="1"/>
      <c r="D795" s="8"/>
      <c r="E795" s="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"/>
      <c r="S795" s="1"/>
      <c r="T795" s="1"/>
      <c r="U795" s="1"/>
      <c r="V795" s="3"/>
      <c r="W795" s="1"/>
      <c r="X795" s="1"/>
    </row>
    <row r="796" ht="16.5" customHeight="1">
      <c r="A796" s="1"/>
      <c r="B796" s="1"/>
      <c r="C796" s="1"/>
      <c r="D796" s="8"/>
      <c r="E796" s="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"/>
      <c r="S796" s="1"/>
      <c r="T796" s="1"/>
      <c r="U796" s="1"/>
      <c r="V796" s="3"/>
      <c r="W796" s="1"/>
      <c r="X796" s="1"/>
    </row>
    <row r="797" ht="16.5" customHeight="1">
      <c r="A797" s="1"/>
      <c r="B797" s="1"/>
      <c r="C797" s="1"/>
      <c r="D797" s="8"/>
      <c r="E797" s="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"/>
      <c r="S797" s="1"/>
      <c r="T797" s="1"/>
      <c r="U797" s="1"/>
      <c r="V797" s="3"/>
      <c r="W797" s="1"/>
      <c r="X797" s="1"/>
    </row>
    <row r="798" ht="16.5" customHeight="1">
      <c r="A798" s="1"/>
      <c r="B798" s="1"/>
      <c r="C798" s="1"/>
      <c r="D798" s="8"/>
      <c r="E798" s="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"/>
      <c r="S798" s="1"/>
      <c r="T798" s="1"/>
      <c r="U798" s="1"/>
      <c r="V798" s="3"/>
      <c r="W798" s="1"/>
      <c r="X798" s="1"/>
    </row>
    <row r="799" ht="16.5" customHeight="1">
      <c r="A799" s="1"/>
      <c r="B799" s="1"/>
      <c r="C799" s="1"/>
      <c r="D799" s="8"/>
      <c r="E799" s="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"/>
      <c r="S799" s="1"/>
      <c r="T799" s="1"/>
      <c r="U799" s="1"/>
      <c r="V799" s="3"/>
      <c r="W799" s="1"/>
      <c r="X799" s="1"/>
    </row>
    <row r="800" ht="16.5" customHeight="1">
      <c r="A800" s="1"/>
      <c r="B800" s="1"/>
      <c r="C800" s="1"/>
      <c r="D800" s="8"/>
      <c r="E800" s="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"/>
      <c r="S800" s="1"/>
      <c r="T800" s="1"/>
      <c r="U800" s="1"/>
      <c r="V800" s="3"/>
      <c r="W800" s="1"/>
      <c r="X800" s="1"/>
    </row>
    <row r="801" ht="16.5" customHeight="1">
      <c r="A801" s="1"/>
      <c r="B801" s="1"/>
      <c r="C801" s="1"/>
      <c r="D801" s="8"/>
      <c r="E801" s="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"/>
      <c r="S801" s="1"/>
      <c r="T801" s="1"/>
      <c r="U801" s="1"/>
      <c r="V801" s="3"/>
      <c r="W801" s="1"/>
      <c r="X801" s="1"/>
    </row>
    <row r="802" ht="16.5" customHeight="1">
      <c r="A802" s="1"/>
      <c r="B802" s="1"/>
      <c r="C802" s="1"/>
      <c r="D802" s="8"/>
      <c r="E802" s="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"/>
      <c r="S802" s="1"/>
      <c r="T802" s="1"/>
      <c r="U802" s="1"/>
      <c r="V802" s="3"/>
      <c r="W802" s="1"/>
      <c r="X802" s="1"/>
    </row>
    <row r="803" ht="16.5" customHeight="1">
      <c r="A803" s="1"/>
      <c r="B803" s="1"/>
      <c r="C803" s="1"/>
      <c r="D803" s="8"/>
      <c r="E803" s="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"/>
      <c r="S803" s="1"/>
      <c r="T803" s="1"/>
      <c r="U803" s="1"/>
      <c r="V803" s="3"/>
      <c r="W803" s="1"/>
      <c r="X803" s="1"/>
    </row>
    <row r="804" ht="16.5" customHeight="1">
      <c r="A804" s="1"/>
      <c r="B804" s="1"/>
      <c r="C804" s="1"/>
      <c r="D804" s="8"/>
      <c r="E804" s="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"/>
      <c r="S804" s="1"/>
      <c r="T804" s="1"/>
      <c r="U804" s="1"/>
      <c r="V804" s="3"/>
      <c r="W804" s="1"/>
      <c r="X804" s="1"/>
    </row>
    <row r="805" ht="16.5" customHeight="1">
      <c r="A805" s="1"/>
      <c r="B805" s="1"/>
      <c r="C805" s="1"/>
      <c r="D805" s="8"/>
      <c r="E805" s="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"/>
      <c r="S805" s="1"/>
      <c r="T805" s="1"/>
      <c r="U805" s="1"/>
      <c r="V805" s="3"/>
      <c r="W805" s="1"/>
      <c r="X805" s="1"/>
    </row>
    <row r="806" ht="16.5" customHeight="1">
      <c r="A806" s="1"/>
      <c r="B806" s="1"/>
      <c r="C806" s="1"/>
      <c r="D806" s="8"/>
      <c r="E806" s="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"/>
      <c r="S806" s="1"/>
      <c r="T806" s="1"/>
      <c r="U806" s="1"/>
      <c r="V806" s="3"/>
      <c r="W806" s="1"/>
      <c r="X806" s="1"/>
    </row>
    <row r="807" ht="16.5" customHeight="1">
      <c r="A807" s="1"/>
      <c r="B807" s="1"/>
      <c r="C807" s="1"/>
      <c r="D807" s="8"/>
      <c r="E807" s="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"/>
      <c r="S807" s="1"/>
      <c r="T807" s="1"/>
      <c r="U807" s="1"/>
      <c r="V807" s="3"/>
      <c r="W807" s="1"/>
      <c r="X807" s="1"/>
    </row>
    <row r="808" ht="16.5" customHeight="1">
      <c r="A808" s="1"/>
      <c r="B808" s="1"/>
      <c r="C808" s="1"/>
      <c r="D808" s="8"/>
      <c r="E808" s="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"/>
      <c r="S808" s="1"/>
      <c r="T808" s="1"/>
      <c r="U808" s="1"/>
      <c r="V808" s="3"/>
      <c r="W808" s="1"/>
      <c r="X808" s="1"/>
    </row>
    <row r="809" ht="16.5" customHeight="1">
      <c r="A809" s="1"/>
      <c r="B809" s="1"/>
      <c r="C809" s="1"/>
      <c r="D809" s="8"/>
      <c r="E809" s="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"/>
      <c r="S809" s="1"/>
      <c r="T809" s="1"/>
      <c r="U809" s="1"/>
      <c r="V809" s="3"/>
      <c r="W809" s="1"/>
      <c r="X809" s="1"/>
    </row>
    <row r="810" ht="16.5" customHeight="1">
      <c r="A810" s="1"/>
      <c r="B810" s="1"/>
      <c r="C810" s="1"/>
      <c r="D810" s="8"/>
      <c r="E810" s="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"/>
      <c r="S810" s="1"/>
      <c r="T810" s="1"/>
      <c r="U810" s="1"/>
      <c r="V810" s="3"/>
      <c r="W810" s="1"/>
      <c r="X810" s="1"/>
    </row>
    <row r="811" ht="16.5" customHeight="1">
      <c r="A811" s="1"/>
      <c r="B811" s="1"/>
      <c r="C811" s="1"/>
      <c r="D811" s="8"/>
      <c r="E811" s="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"/>
      <c r="S811" s="1"/>
      <c r="T811" s="1"/>
      <c r="U811" s="1"/>
      <c r="V811" s="3"/>
      <c r="W811" s="1"/>
      <c r="X811" s="1"/>
    </row>
    <row r="812" ht="16.5" customHeight="1">
      <c r="A812" s="1"/>
      <c r="B812" s="1"/>
      <c r="C812" s="1"/>
      <c r="D812" s="8"/>
      <c r="E812" s="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"/>
      <c r="S812" s="1"/>
      <c r="T812" s="1"/>
      <c r="U812" s="1"/>
      <c r="V812" s="3"/>
      <c r="W812" s="1"/>
      <c r="X812" s="1"/>
    </row>
    <row r="813" ht="16.5" customHeight="1">
      <c r="A813" s="1"/>
      <c r="B813" s="1"/>
      <c r="C813" s="1"/>
      <c r="D813" s="8"/>
      <c r="E813" s="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"/>
      <c r="S813" s="1"/>
      <c r="T813" s="1"/>
      <c r="U813" s="1"/>
      <c r="V813" s="3"/>
      <c r="W813" s="1"/>
      <c r="X813" s="1"/>
    </row>
    <row r="814" ht="16.5" customHeight="1">
      <c r="A814" s="1"/>
      <c r="B814" s="1"/>
      <c r="C814" s="1"/>
      <c r="D814" s="8"/>
      <c r="E814" s="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"/>
      <c r="S814" s="1"/>
      <c r="T814" s="1"/>
      <c r="U814" s="1"/>
      <c r="V814" s="3"/>
      <c r="W814" s="1"/>
      <c r="X814" s="1"/>
    </row>
    <row r="815" ht="16.5" customHeight="1">
      <c r="A815" s="1"/>
      <c r="B815" s="1"/>
      <c r="C815" s="1"/>
      <c r="D815" s="8"/>
      <c r="E815" s="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"/>
      <c r="S815" s="1"/>
      <c r="T815" s="1"/>
      <c r="U815" s="1"/>
      <c r="V815" s="3"/>
      <c r="W815" s="1"/>
      <c r="X815" s="1"/>
    </row>
    <row r="816" ht="16.5" customHeight="1">
      <c r="A816" s="1"/>
      <c r="B816" s="1"/>
      <c r="C816" s="1"/>
      <c r="D816" s="8"/>
      <c r="E816" s="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"/>
      <c r="S816" s="1"/>
      <c r="T816" s="1"/>
      <c r="U816" s="1"/>
      <c r="V816" s="3"/>
      <c r="W816" s="1"/>
      <c r="X816" s="1"/>
    </row>
    <row r="817" ht="16.5" customHeight="1">
      <c r="A817" s="1"/>
      <c r="B817" s="1"/>
      <c r="C817" s="1"/>
      <c r="D817" s="8"/>
      <c r="E817" s="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"/>
      <c r="S817" s="1"/>
      <c r="T817" s="1"/>
      <c r="U817" s="1"/>
      <c r="V817" s="3"/>
      <c r="W817" s="1"/>
      <c r="X817" s="1"/>
    </row>
    <row r="818" ht="16.5" customHeight="1">
      <c r="A818" s="1"/>
      <c r="B818" s="1"/>
      <c r="C818" s="1"/>
      <c r="D818" s="8"/>
      <c r="E818" s="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"/>
      <c r="S818" s="1"/>
      <c r="T818" s="1"/>
      <c r="U818" s="1"/>
      <c r="V818" s="3"/>
      <c r="W818" s="1"/>
      <c r="X818" s="1"/>
    </row>
    <row r="819" ht="16.5" customHeight="1">
      <c r="A819" s="1"/>
      <c r="B819" s="1"/>
      <c r="C819" s="1"/>
      <c r="D819" s="8"/>
      <c r="E819" s="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"/>
      <c r="S819" s="1"/>
      <c r="T819" s="1"/>
      <c r="U819" s="1"/>
      <c r="V819" s="3"/>
      <c r="W819" s="1"/>
      <c r="X819" s="1"/>
    </row>
    <row r="820" ht="16.5" customHeight="1">
      <c r="A820" s="1"/>
      <c r="B820" s="1"/>
      <c r="C820" s="1"/>
      <c r="D820" s="8"/>
      <c r="E820" s="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"/>
      <c r="S820" s="1"/>
      <c r="T820" s="1"/>
      <c r="U820" s="1"/>
      <c r="V820" s="3"/>
      <c r="W820" s="1"/>
      <c r="X820" s="1"/>
    </row>
    <row r="821" ht="16.5" customHeight="1">
      <c r="A821" s="1"/>
      <c r="B821" s="1"/>
      <c r="C821" s="1"/>
      <c r="D821" s="8"/>
      <c r="E821" s="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"/>
      <c r="S821" s="1"/>
      <c r="T821" s="1"/>
      <c r="U821" s="1"/>
      <c r="V821" s="3"/>
      <c r="W821" s="1"/>
      <c r="X821" s="1"/>
    </row>
    <row r="822" ht="16.5" customHeight="1">
      <c r="A822" s="1"/>
      <c r="B822" s="1"/>
      <c r="C822" s="1"/>
      <c r="D822" s="8"/>
      <c r="E822" s="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"/>
      <c r="S822" s="1"/>
      <c r="T822" s="1"/>
      <c r="U822" s="1"/>
      <c r="V822" s="3"/>
      <c r="W822" s="1"/>
      <c r="X822" s="1"/>
    </row>
    <row r="823" ht="16.5" customHeight="1">
      <c r="A823" s="1"/>
      <c r="B823" s="1"/>
      <c r="C823" s="1"/>
      <c r="D823" s="8"/>
      <c r="E823" s="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"/>
      <c r="S823" s="1"/>
      <c r="T823" s="1"/>
      <c r="U823" s="1"/>
      <c r="V823" s="3"/>
      <c r="W823" s="1"/>
      <c r="X823" s="1"/>
    </row>
    <row r="824" ht="16.5" customHeight="1">
      <c r="A824" s="1"/>
      <c r="B824" s="1"/>
      <c r="C824" s="1"/>
      <c r="D824" s="8"/>
      <c r="E824" s="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"/>
      <c r="S824" s="1"/>
      <c r="T824" s="1"/>
      <c r="U824" s="1"/>
      <c r="V824" s="3"/>
      <c r="W824" s="1"/>
      <c r="X824" s="1"/>
    </row>
    <row r="825" ht="16.5" customHeight="1">
      <c r="A825" s="1"/>
      <c r="B825" s="1"/>
      <c r="C825" s="1"/>
      <c r="D825" s="8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"/>
      <c r="S825" s="1"/>
      <c r="T825" s="1"/>
      <c r="U825" s="1"/>
      <c r="V825" s="3"/>
      <c r="W825" s="1"/>
      <c r="X825" s="1"/>
    </row>
    <row r="826" ht="16.5" customHeight="1">
      <c r="A826" s="1"/>
      <c r="B826" s="1"/>
      <c r="C826" s="1"/>
      <c r="D826" s="8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"/>
      <c r="S826" s="1"/>
      <c r="T826" s="1"/>
      <c r="U826" s="1"/>
      <c r="V826" s="3"/>
      <c r="W826" s="1"/>
      <c r="X826" s="1"/>
    </row>
    <row r="827" ht="16.5" customHeight="1">
      <c r="A827" s="1"/>
      <c r="B827" s="1"/>
      <c r="C827" s="1"/>
      <c r="D827" s="8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"/>
      <c r="S827" s="1"/>
      <c r="T827" s="1"/>
      <c r="U827" s="1"/>
      <c r="V827" s="3"/>
      <c r="W827" s="1"/>
      <c r="X827" s="1"/>
    </row>
    <row r="828" ht="16.5" customHeight="1">
      <c r="A828" s="1"/>
      <c r="B828" s="1"/>
      <c r="C828" s="1"/>
      <c r="D828" s="8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"/>
      <c r="S828" s="1"/>
      <c r="T828" s="1"/>
      <c r="U828" s="1"/>
      <c r="V828" s="3"/>
      <c r="W828" s="1"/>
      <c r="X828" s="1"/>
    </row>
    <row r="829" ht="16.5" customHeight="1">
      <c r="A829" s="1"/>
      <c r="B829" s="1"/>
      <c r="C829" s="1"/>
      <c r="D829" s="8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"/>
      <c r="S829" s="1"/>
      <c r="T829" s="1"/>
      <c r="U829" s="1"/>
      <c r="V829" s="3"/>
      <c r="W829" s="1"/>
      <c r="X829" s="1"/>
    </row>
    <row r="830" ht="16.5" customHeight="1">
      <c r="A830" s="1"/>
      <c r="B830" s="1"/>
      <c r="C830" s="1"/>
      <c r="D830" s="8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"/>
      <c r="S830" s="1"/>
      <c r="T830" s="1"/>
      <c r="U830" s="1"/>
      <c r="V830" s="3"/>
      <c r="W830" s="1"/>
      <c r="X830" s="1"/>
    </row>
    <row r="831" ht="16.5" customHeight="1">
      <c r="A831" s="1"/>
      <c r="B831" s="1"/>
      <c r="C831" s="1"/>
      <c r="D831" s="8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"/>
      <c r="S831" s="1"/>
      <c r="T831" s="1"/>
      <c r="U831" s="1"/>
      <c r="V831" s="3"/>
      <c r="W831" s="1"/>
      <c r="X831" s="1"/>
    </row>
    <row r="832" ht="16.5" customHeight="1">
      <c r="A832" s="1"/>
      <c r="B832" s="1"/>
      <c r="C832" s="1"/>
      <c r="D832" s="8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"/>
      <c r="S832" s="1"/>
      <c r="T832" s="1"/>
      <c r="U832" s="1"/>
      <c r="V832" s="3"/>
      <c r="W832" s="1"/>
      <c r="X832" s="1"/>
    </row>
    <row r="833" ht="16.5" customHeight="1">
      <c r="A833" s="1"/>
      <c r="B833" s="1"/>
      <c r="C833" s="1"/>
      <c r="D833" s="8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"/>
      <c r="S833" s="1"/>
      <c r="T833" s="1"/>
      <c r="U833" s="1"/>
      <c r="V833" s="3"/>
      <c r="W833" s="1"/>
      <c r="X833" s="1"/>
    </row>
    <row r="834" ht="16.5" customHeight="1">
      <c r="A834" s="1"/>
      <c r="B834" s="1"/>
      <c r="C834" s="1"/>
      <c r="D834" s="8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"/>
      <c r="S834" s="1"/>
      <c r="T834" s="1"/>
      <c r="U834" s="1"/>
      <c r="V834" s="3"/>
      <c r="W834" s="1"/>
      <c r="X834" s="1"/>
    </row>
    <row r="835" ht="16.5" customHeight="1">
      <c r="A835" s="1"/>
      <c r="B835" s="1"/>
      <c r="C835" s="1"/>
      <c r="D835" s="8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"/>
      <c r="S835" s="1"/>
      <c r="T835" s="1"/>
      <c r="U835" s="1"/>
      <c r="V835" s="3"/>
      <c r="W835" s="1"/>
      <c r="X835" s="1"/>
    </row>
    <row r="836" ht="16.5" customHeight="1">
      <c r="A836" s="1"/>
      <c r="B836" s="1"/>
      <c r="C836" s="1"/>
      <c r="D836" s="8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"/>
      <c r="S836" s="1"/>
      <c r="T836" s="1"/>
      <c r="U836" s="1"/>
      <c r="V836" s="3"/>
      <c r="W836" s="1"/>
      <c r="X836" s="1"/>
    </row>
    <row r="837" ht="16.5" customHeight="1">
      <c r="A837" s="1"/>
      <c r="B837" s="1"/>
      <c r="C837" s="1"/>
      <c r="D837" s="8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"/>
      <c r="S837" s="1"/>
      <c r="T837" s="1"/>
      <c r="U837" s="1"/>
      <c r="V837" s="3"/>
      <c r="W837" s="1"/>
      <c r="X837" s="1"/>
    </row>
    <row r="838" ht="16.5" customHeight="1">
      <c r="A838" s="1"/>
      <c r="B838" s="1"/>
      <c r="C838" s="1"/>
      <c r="D838" s="8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"/>
      <c r="S838" s="1"/>
      <c r="T838" s="1"/>
      <c r="U838" s="1"/>
      <c r="V838" s="3"/>
      <c r="W838" s="1"/>
      <c r="X838" s="1"/>
    </row>
    <row r="839" ht="16.5" customHeight="1">
      <c r="A839" s="1"/>
      <c r="B839" s="1"/>
      <c r="C839" s="1"/>
      <c r="D839" s="8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"/>
      <c r="S839" s="1"/>
      <c r="T839" s="1"/>
      <c r="U839" s="1"/>
      <c r="V839" s="3"/>
      <c r="W839" s="1"/>
      <c r="X839" s="1"/>
    </row>
    <row r="840" ht="16.5" customHeight="1">
      <c r="A840" s="1"/>
      <c r="B840" s="1"/>
      <c r="C840" s="1"/>
      <c r="D840" s="8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"/>
      <c r="S840" s="1"/>
      <c r="T840" s="1"/>
      <c r="U840" s="1"/>
      <c r="V840" s="3"/>
      <c r="W840" s="1"/>
      <c r="X840" s="1"/>
    </row>
    <row r="841" ht="16.5" customHeight="1">
      <c r="A841" s="1"/>
      <c r="B841" s="1"/>
      <c r="C841" s="1"/>
      <c r="D841" s="8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"/>
      <c r="S841" s="1"/>
      <c r="T841" s="1"/>
      <c r="U841" s="1"/>
      <c r="V841" s="3"/>
      <c r="W841" s="1"/>
      <c r="X841" s="1"/>
    </row>
    <row r="842" ht="16.5" customHeight="1">
      <c r="A842" s="1"/>
      <c r="B842" s="1"/>
      <c r="C842" s="1"/>
      <c r="D842" s="8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"/>
      <c r="S842" s="1"/>
      <c r="T842" s="1"/>
      <c r="U842" s="1"/>
      <c r="V842" s="3"/>
      <c r="W842" s="1"/>
      <c r="X842" s="1"/>
    </row>
    <row r="843" ht="16.5" customHeight="1">
      <c r="A843" s="1"/>
      <c r="B843" s="1"/>
      <c r="C843" s="1"/>
      <c r="D843" s="8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"/>
      <c r="S843" s="1"/>
      <c r="T843" s="1"/>
      <c r="U843" s="1"/>
      <c r="V843" s="3"/>
      <c r="W843" s="1"/>
      <c r="X843" s="1"/>
    </row>
    <row r="844" ht="16.5" customHeight="1">
      <c r="A844" s="1"/>
      <c r="B844" s="1"/>
      <c r="C844" s="1"/>
      <c r="D844" s="8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"/>
      <c r="S844" s="1"/>
      <c r="T844" s="1"/>
      <c r="U844" s="1"/>
      <c r="V844" s="3"/>
      <c r="W844" s="1"/>
      <c r="X844" s="1"/>
    </row>
    <row r="845" ht="16.5" customHeight="1">
      <c r="A845" s="1"/>
      <c r="B845" s="1"/>
      <c r="C845" s="1"/>
      <c r="D845" s="8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"/>
      <c r="S845" s="1"/>
      <c r="T845" s="1"/>
      <c r="U845" s="1"/>
      <c r="V845" s="3"/>
      <c r="W845" s="1"/>
      <c r="X845" s="1"/>
    </row>
    <row r="846" ht="16.5" customHeight="1">
      <c r="A846" s="1"/>
      <c r="B846" s="1"/>
      <c r="C846" s="1"/>
      <c r="D846" s="8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"/>
      <c r="S846" s="1"/>
      <c r="T846" s="1"/>
      <c r="U846" s="1"/>
      <c r="V846" s="3"/>
      <c r="W846" s="1"/>
      <c r="X846" s="1"/>
    </row>
    <row r="847" ht="16.5" customHeight="1">
      <c r="A847" s="1"/>
      <c r="B847" s="1"/>
      <c r="C847" s="1"/>
      <c r="D847" s="8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"/>
      <c r="S847" s="1"/>
      <c r="T847" s="1"/>
      <c r="U847" s="1"/>
      <c r="V847" s="3"/>
      <c r="W847" s="1"/>
      <c r="X847" s="1"/>
    </row>
    <row r="848" ht="16.5" customHeight="1">
      <c r="A848" s="1"/>
      <c r="B848" s="1"/>
      <c r="C848" s="1"/>
      <c r="D848" s="8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"/>
      <c r="S848" s="1"/>
      <c r="T848" s="1"/>
      <c r="U848" s="1"/>
      <c r="V848" s="3"/>
      <c r="W848" s="1"/>
      <c r="X848" s="1"/>
    </row>
    <row r="849" ht="16.5" customHeight="1">
      <c r="A849" s="1"/>
      <c r="B849" s="1"/>
      <c r="C849" s="1"/>
      <c r="D849" s="8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"/>
      <c r="S849" s="1"/>
      <c r="T849" s="1"/>
      <c r="U849" s="1"/>
      <c r="V849" s="3"/>
      <c r="W849" s="1"/>
      <c r="X849" s="1"/>
    </row>
    <row r="850" ht="16.5" customHeight="1">
      <c r="A850" s="1"/>
      <c r="B850" s="1"/>
      <c r="C850" s="1"/>
      <c r="D850" s="8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"/>
      <c r="S850" s="1"/>
      <c r="T850" s="1"/>
      <c r="U850" s="1"/>
      <c r="V850" s="3"/>
      <c r="W850" s="1"/>
      <c r="X850" s="1"/>
    </row>
    <row r="851" ht="16.5" customHeight="1">
      <c r="A851" s="1"/>
      <c r="B851" s="1"/>
      <c r="C851" s="1"/>
      <c r="D851" s="8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"/>
      <c r="S851" s="1"/>
      <c r="T851" s="1"/>
      <c r="U851" s="1"/>
      <c r="V851" s="3"/>
      <c r="W851" s="1"/>
      <c r="X851" s="1"/>
    </row>
    <row r="852" ht="16.5" customHeight="1">
      <c r="A852" s="1"/>
      <c r="B852" s="1"/>
      <c r="C852" s="1"/>
      <c r="D852" s="8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"/>
      <c r="S852" s="1"/>
      <c r="T852" s="1"/>
      <c r="U852" s="1"/>
      <c r="V852" s="3"/>
      <c r="W852" s="1"/>
      <c r="X852" s="1"/>
    </row>
    <row r="853" ht="16.5" customHeight="1">
      <c r="A853" s="1"/>
      <c r="B853" s="1"/>
      <c r="C853" s="1"/>
      <c r="D853" s="8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"/>
      <c r="S853" s="1"/>
      <c r="T853" s="1"/>
      <c r="U853" s="1"/>
      <c r="V853" s="3"/>
      <c r="W853" s="1"/>
      <c r="X853" s="1"/>
    </row>
    <row r="854" ht="16.5" customHeight="1">
      <c r="A854" s="1"/>
      <c r="B854" s="1"/>
      <c r="C854" s="1"/>
      <c r="D854" s="8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"/>
      <c r="S854" s="1"/>
      <c r="T854" s="1"/>
      <c r="U854" s="1"/>
      <c r="V854" s="3"/>
      <c r="W854" s="1"/>
      <c r="X854" s="1"/>
    </row>
    <row r="855" ht="16.5" customHeight="1">
      <c r="A855" s="1"/>
      <c r="B855" s="1"/>
      <c r="C855" s="1"/>
      <c r="D855" s="8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"/>
      <c r="S855" s="1"/>
      <c r="T855" s="1"/>
      <c r="U855" s="1"/>
      <c r="V855" s="3"/>
      <c r="W855" s="1"/>
      <c r="X855" s="1"/>
    </row>
    <row r="856" ht="16.5" customHeight="1">
      <c r="A856" s="1"/>
      <c r="B856" s="1"/>
      <c r="C856" s="1"/>
      <c r="D856" s="8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"/>
      <c r="S856" s="1"/>
      <c r="T856" s="1"/>
      <c r="U856" s="1"/>
      <c r="V856" s="3"/>
      <c r="W856" s="1"/>
      <c r="X856" s="1"/>
    </row>
    <row r="857" ht="16.5" customHeight="1">
      <c r="A857" s="1"/>
      <c r="B857" s="1"/>
      <c r="C857" s="1"/>
      <c r="D857" s="8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"/>
      <c r="S857" s="1"/>
      <c r="T857" s="1"/>
      <c r="U857" s="1"/>
      <c r="V857" s="3"/>
      <c r="W857" s="1"/>
      <c r="X857" s="1"/>
    </row>
    <row r="858" ht="16.5" customHeight="1">
      <c r="A858" s="1"/>
      <c r="B858" s="1"/>
      <c r="C858" s="1"/>
      <c r="D858" s="8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"/>
      <c r="S858" s="1"/>
      <c r="T858" s="1"/>
      <c r="U858" s="1"/>
      <c r="V858" s="3"/>
      <c r="W858" s="1"/>
      <c r="X858" s="1"/>
    </row>
    <row r="859" ht="16.5" customHeight="1">
      <c r="A859" s="1"/>
      <c r="B859" s="1"/>
      <c r="C859" s="1"/>
      <c r="D859" s="8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"/>
      <c r="S859" s="1"/>
      <c r="T859" s="1"/>
      <c r="U859" s="1"/>
      <c r="V859" s="3"/>
      <c r="W859" s="1"/>
      <c r="X859" s="1"/>
    </row>
    <row r="860" ht="16.5" customHeight="1">
      <c r="A860" s="1"/>
      <c r="B860" s="1"/>
      <c r="C860" s="1"/>
      <c r="D860" s="8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"/>
      <c r="S860" s="1"/>
      <c r="T860" s="1"/>
      <c r="U860" s="1"/>
      <c r="V860" s="3"/>
      <c r="W860" s="1"/>
      <c r="X860" s="1"/>
    </row>
    <row r="861" ht="16.5" customHeight="1">
      <c r="A861" s="1"/>
      <c r="B861" s="1"/>
      <c r="C861" s="1"/>
      <c r="D861" s="8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"/>
      <c r="S861" s="1"/>
      <c r="T861" s="1"/>
      <c r="U861" s="1"/>
      <c r="V861" s="3"/>
      <c r="W861" s="1"/>
      <c r="X861" s="1"/>
    </row>
    <row r="862" ht="16.5" customHeight="1">
      <c r="A862" s="1"/>
      <c r="B862" s="1"/>
      <c r="C862" s="1"/>
      <c r="D862" s="8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"/>
      <c r="S862" s="1"/>
      <c r="T862" s="1"/>
      <c r="U862" s="1"/>
      <c r="V862" s="3"/>
      <c r="W862" s="1"/>
      <c r="X862" s="1"/>
    </row>
    <row r="863" ht="16.5" customHeight="1">
      <c r="A863" s="1"/>
      <c r="B863" s="1"/>
      <c r="C863" s="1"/>
      <c r="D863" s="8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"/>
      <c r="S863" s="1"/>
      <c r="T863" s="1"/>
      <c r="U863" s="1"/>
      <c r="V863" s="3"/>
      <c r="W863" s="1"/>
      <c r="X863" s="1"/>
    </row>
    <row r="864" ht="16.5" customHeight="1">
      <c r="A864" s="1"/>
      <c r="B864" s="1"/>
      <c r="C864" s="1"/>
      <c r="D864" s="8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"/>
      <c r="S864" s="1"/>
      <c r="T864" s="1"/>
      <c r="U864" s="1"/>
      <c r="V864" s="3"/>
      <c r="W864" s="1"/>
      <c r="X864" s="1"/>
    </row>
    <row r="865" ht="16.5" customHeight="1">
      <c r="A865" s="1"/>
      <c r="B865" s="1"/>
      <c r="C865" s="1"/>
      <c r="D865" s="8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"/>
      <c r="S865" s="1"/>
      <c r="T865" s="1"/>
      <c r="U865" s="1"/>
      <c r="V865" s="3"/>
      <c r="W865" s="1"/>
      <c r="X865" s="1"/>
    </row>
    <row r="866" ht="16.5" customHeight="1">
      <c r="A866" s="1"/>
      <c r="B866" s="1"/>
      <c r="C866" s="1"/>
      <c r="D866" s="8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"/>
      <c r="S866" s="1"/>
      <c r="T866" s="1"/>
      <c r="U866" s="1"/>
      <c r="V866" s="3"/>
      <c r="W866" s="1"/>
      <c r="X866" s="1"/>
    </row>
    <row r="867" ht="16.5" customHeight="1">
      <c r="A867" s="1"/>
      <c r="B867" s="1"/>
      <c r="C867" s="1"/>
      <c r="D867" s="8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"/>
      <c r="S867" s="1"/>
      <c r="T867" s="1"/>
      <c r="U867" s="1"/>
      <c r="V867" s="3"/>
      <c r="W867" s="1"/>
      <c r="X867" s="1"/>
    </row>
    <row r="868" ht="16.5" customHeight="1">
      <c r="A868" s="1"/>
      <c r="B868" s="1"/>
      <c r="C868" s="1"/>
      <c r="D868" s="8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"/>
      <c r="S868" s="1"/>
      <c r="T868" s="1"/>
      <c r="U868" s="1"/>
      <c r="V868" s="3"/>
      <c r="W868" s="1"/>
      <c r="X868" s="1"/>
    </row>
    <row r="869" ht="16.5" customHeight="1">
      <c r="A869" s="1"/>
      <c r="B869" s="1"/>
      <c r="C869" s="1"/>
      <c r="D869" s="8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"/>
      <c r="S869" s="1"/>
      <c r="T869" s="1"/>
      <c r="U869" s="1"/>
      <c r="V869" s="3"/>
      <c r="W869" s="1"/>
      <c r="X869" s="1"/>
    </row>
    <row r="870" ht="16.5" customHeight="1">
      <c r="A870" s="1"/>
      <c r="B870" s="1"/>
      <c r="C870" s="1"/>
      <c r="D870" s="8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"/>
      <c r="S870" s="1"/>
      <c r="T870" s="1"/>
      <c r="U870" s="1"/>
      <c r="V870" s="3"/>
      <c r="W870" s="1"/>
      <c r="X870" s="1"/>
    </row>
    <row r="871" ht="16.5" customHeight="1">
      <c r="A871" s="1"/>
      <c r="B871" s="1"/>
      <c r="C871" s="1"/>
      <c r="D871" s="8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"/>
      <c r="S871" s="1"/>
      <c r="T871" s="1"/>
      <c r="U871" s="1"/>
      <c r="V871" s="3"/>
      <c r="W871" s="1"/>
      <c r="X871" s="1"/>
    </row>
    <row r="872" ht="16.5" customHeight="1">
      <c r="A872" s="1"/>
      <c r="B872" s="1"/>
      <c r="C872" s="1"/>
      <c r="D872" s="8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"/>
      <c r="S872" s="1"/>
      <c r="T872" s="1"/>
      <c r="U872" s="1"/>
      <c r="V872" s="3"/>
      <c r="W872" s="1"/>
      <c r="X872" s="1"/>
    </row>
    <row r="873" ht="16.5" customHeight="1">
      <c r="A873" s="1"/>
      <c r="B873" s="1"/>
      <c r="C873" s="1"/>
      <c r="D873" s="8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"/>
      <c r="S873" s="1"/>
      <c r="T873" s="1"/>
      <c r="U873" s="1"/>
      <c r="V873" s="3"/>
      <c r="W873" s="1"/>
      <c r="X873" s="1"/>
    </row>
    <row r="874" ht="16.5" customHeight="1">
      <c r="A874" s="1"/>
      <c r="B874" s="1"/>
      <c r="C874" s="1"/>
      <c r="D874" s="8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"/>
      <c r="S874" s="1"/>
      <c r="T874" s="1"/>
      <c r="U874" s="1"/>
      <c r="V874" s="3"/>
      <c r="W874" s="1"/>
      <c r="X874" s="1"/>
    </row>
    <row r="875" ht="16.5" customHeight="1">
      <c r="A875" s="1"/>
      <c r="B875" s="1"/>
      <c r="C875" s="1"/>
      <c r="D875" s="8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"/>
      <c r="S875" s="1"/>
      <c r="T875" s="1"/>
      <c r="U875" s="1"/>
      <c r="V875" s="3"/>
      <c r="W875" s="1"/>
      <c r="X875" s="1"/>
    </row>
    <row r="876" ht="16.5" customHeight="1">
      <c r="A876" s="1"/>
      <c r="B876" s="1"/>
      <c r="C876" s="1"/>
      <c r="D876" s="8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"/>
      <c r="S876" s="1"/>
      <c r="T876" s="1"/>
      <c r="U876" s="1"/>
      <c r="V876" s="3"/>
      <c r="W876" s="1"/>
      <c r="X876" s="1"/>
    </row>
    <row r="877" ht="16.5" customHeight="1">
      <c r="A877" s="1"/>
      <c r="B877" s="1"/>
      <c r="C877" s="1"/>
      <c r="D877" s="8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"/>
      <c r="S877" s="1"/>
      <c r="T877" s="1"/>
      <c r="U877" s="1"/>
      <c r="V877" s="3"/>
      <c r="W877" s="1"/>
      <c r="X877" s="1"/>
    </row>
    <row r="878" ht="16.5" customHeight="1">
      <c r="A878" s="1"/>
      <c r="B878" s="1"/>
      <c r="C878" s="1"/>
      <c r="D878" s="8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"/>
      <c r="S878" s="1"/>
      <c r="T878" s="1"/>
      <c r="U878" s="1"/>
      <c r="V878" s="3"/>
      <c r="W878" s="1"/>
      <c r="X878" s="1"/>
    </row>
    <row r="879" ht="16.5" customHeight="1">
      <c r="A879" s="1"/>
      <c r="B879" s="1"/>
      <c r="C879" s="1"/>
      <c r="D879" s="8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"/>
      <c r="S879" s="1"/>
      <c r="T879" s="1"/>
      <c r="U879" s="1"/>
      <c r="V879" s="3"/>
      <c r="W879" s="1"/>
      <c r="X879" s="1"/>
    </row>
    <row r="880" ht="16.5" customHeight="1">
      <c r="A880" s="1"/>
      <c r="B880" s="1"/>
      <c r="C880" s="1"/>
      <c r="D880" s="8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"/>
      <c r="S880" s="1"/>
      <c r="T880" s="1"/>
      <c r="U880" s="1"/>
      <c r="V880" s="3"/>
      <c r="W880" s="1"/>
      <c r="X880" s="1"/>
    </row>
    <row r="881" ht="16.5" customHeight="1">
      <c r="A881" s="1"/>
      <c r="B881" s="1"/>
      <c r="C881" s="1"/>
      <c r="D881" s="8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"/>
      <c r="S881" s="1"/>
      <c r="T881" s="1"/>
      <c r="U881" s="1"/>
      <c r="V881" s="3"/>
      <c r="W881" s="1"/>
      <c r="X881" s="1"/>
    </row>
    <row r="882" ht="16.5" customHeight="1">
      <c r="A882" s="1"/>
      <c r="B882" s="1"/>
      <c r="C882" s="1"/>
      <c r="D882" s="8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"/>
      <c r="S882" s="1"/>
      <c r="T882" s="1"/>
      <c r="U882" s="1"/>
      <c r="V882" s="3"/>
      <c r="W882" s="1"/>
      <c r="X882" s="1"/>
    </row>
    <row r="883" ht="16.5" customHeight="1">
      <c r="A883" s="1"/>
      <c r="B883" s="1"/>
      <c r="C883" s="1"/>
      <c r="D883" s="8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"/>
      <c r="S883" s="1"/>
      <c r="T883" s="1"/>
      <c r="U883" s="1"/>
      <c r="V883" s="3"/>
      <c r="W883" s="1"/>
      <c r="X883" s="1"/>
    </row>
    <row r="884" ht="16.5" customHeight="1">
      <c r="A884" s="1"/>
      <c r="B884" s="1"/>
      <c r="C884" s="1"/>
      <c r="D884" s="8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"/>
      <c r="S884" s="1"/>
      <c r="T884" s="1"/>
      <c r="U884" s="1"/>
      <c r="V884" s="3"/>
      <c r="W884" s="1"/>
      <c r="X884" s="1"/>
    </row>
    <row r="885" ht="16.5" customHeight="1">
      <c r="A885" s="1"/>
      <c r="B885" s="1"/>
      <c r="C885" s="1"/>
      <c r="D885" s="8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"/>
      <c r="S885" s="1"/>
      <c r="T885" s="1"/>
      <c r="U885" s="1"/>
      <c r="V885" s="3"/>
      <c r="W885" s="1"/>
      <c r="X885" s="1"/>
    </row>
    <row r="886" ht="16.5" customHeight="1">
      <c r="A886" s="1"/>
      <c r="B886" s="1"/>
      <c r="C886" s="1"/>
      <c r="D886" s="8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"/>
      <c r="S886" s="1"/>
      <c r="T886" s="1"/>
      <c r="U886" s="1"/>
      <c r="V886" s="3"/>
      <c r="W886" s="1"/>
      <c r="X886" s="1"/>
    </row>
    <row r="887" ht="16.5" customHeight="1">
      <c r="A887" s="1"/>
      <c r="B887" s="1"/>
      <c r="C887" s="1"/>
      <c r="D887" s="8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"/>
      <c r="S887" s="1"/>
      <c r="T887" s="1"/>
      <c r="U887" s="1"/>
      <c r="V887" s="3"/>
      <c r="W887" s="1"/>
      <c r="X887" s="1"/>
    </row>
    <row r="888" ht="16.5" customHeight="1">
      <c r="A888" s="1"/>
      <c r="B888" s="1"/>
      <c r="C888" s="1"/>
      <c r="D888" s="8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"/>
      <c r="S888" s="1"/>
      <c r="T888" s="1"/>
      <c r="U888" s="1"/>
      <c r="V888" s="3"/>
      <c r="W888" s="1"/>
      <c r="X888" s="1"/>
    </row>
    <row r="889" ht="16.5" customHeight="1">
      <c r="A889" s="1"/>
      <c r="B889" s="1"/>
      <c r="C889" s="1"/>
      <c r="D889" s="8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"/>
      <c r="S889" s="1"/>
      <c r="T889" s="1"/>
      <c r="U889" s="1"/>
      <c r="V889" s="3"/>
      <c r="W889" s="1"/>
      <c r="X889" s="1"/>
    </row>
    <row r="890" ht="16.5" customHeight="1">
      <c r="A890" s="1"/>
      <c r="B890" s="1"/>
      <c r="C890" s="1"/>
      <c r="D890" s="8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"/>
      <c r="S890" s="1"/>
      <c r="T890" s="1"/>
      <c r="U890" s="1"/>
      <c r="V890" s="3"/>
      <c r="W890" s="1"/>
      <c r="X890" s="1"/>
    </row>
    <row r="891" ht="16.5" customHeight="1">
      <c r="A891" s="1"/>
      <c r="B891" s="1"/>
      <c r="C891" s="1"/>
      <c r="D891" s="8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"/>
      <c r="S891" s="1"/>
      <c r="T891" s="1"/>
      <c r="U891" s="1"/>
      <c r="V891" s="3"/>
      <c r="W891" s="1"/>
      <c r="X891" s="1"/>
    </row>
    <row r="892" ht="16.5" customHeight="1">
      <c r="A892" s="1"/>
      <c r="B892" s="1"/>
      <c r="C892" s="1"/>
      <c r="D892" s="8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"/>
      <c r="S892" s="1"/>
      <c r="T892" s="1"/>
      <c r="U892" s="1"/>
      <c r="V892" s="3"/>
      <c r="W892" s="1"/>
      <c r="X892" s="1"/>
    </row>
    <row r="893" ht="16.5" customHeight="1">
      <c r="A893" s="1"/>
      <c r="B893" s="1"/>
      <c r="C893" s="1"/>
      <c r="D893" s="8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"/>
      <c r="S893" s="1"/>
      <c r="T893" s="1"/>
      <c r="U893" s="1"/>
      <c r="V893" s="3"/>
      <c r="W893" s="1"/>
      <c r="X893" s="1"/>
    </row>
    <row r="894" ht="16.5" customHeight="1">
      <c r="A894" s="1"/>
      <c r="B894" s="1"/>
      <c r="C894" s="1"/>
      <c r="D894" s="8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"/>
      <c r="S894" s="1"/>
      <c r="T894" s="1"/>
      <c r="U894" s="1"/>
      <c r="V894" s="3"/>
      <c r="W894" s="1"/>
      <c r="X894" s="1"/>
    </row>
    <row r="895" ht="16.5" customHeight="1">
      <c r="A895" s="1"/>
      <c r="B895" s="1"/>
      <c r="C895" s="1"/>
      <c r="D895" s="8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"/>
      <c r="S895" s="1"/>
      <c r="T895" s="1"/>
      <c r="U895" s="1"/>
      <c r="V895" s="3"/>
      <c r="W895" s="1"/>
      <c r="X895" s="1"/>
    </row>
    <row r="896" ht="16.5" customHeight="1">
      <c r="A896" s="1"/>
      <c r="B896" s="1"/>
      <c r="C896" s="1"/>
      <c r="D896" s="8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"/>
      <c r="S896" s="1"/>
      <c r="T896" s="1"/>
      <c r="U896" s="1"/>
      <c r="V896" s="3"/>
      <c r="W896" s="1"/>
      <c r="X896" s="1"/>
    </row>
    <row r="897" ht="16.5" customHeight="1">
      <c r="A897" s="1"/>
      <c r="B897" s="1"/>
      <c r="C897" s="1"/>
      <c r="D897" s="8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"/>
      <c r="S897" s="1"/>
      <c r="T897" s="1"/>
      <c r="U897" s="1"/>
      <c r="V897" s="3"/>
      <c r="W897" s="1"/>
      <c r="X897" s="1"/>
    </row>
    <row r="898" ht="16.5" customHeight="1">
      <c r="A898" s="1"/>
      <c r="B898" s="1"/>
      <c r="C898" s="1"/>
      <c r="D898" s="8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"/>
      <c r="S898" s="1"/>
      <c r="T898" s="1"/>
      <c r="U898" s="1"/>
      <c r="V898" s="3"/>
      <c r="W898" s="1"/>
      <c r="X898" s="1"/>
    </row>
    <row r="899" ht="16.5" customHeight="1">
      <c r="A899" s="1"/>
      <c r="B899" s="1"/>
      <c r="C899" s="1"/>
      <c r="D899" s="8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"/>
      <c r="S899" s="1"/>
      <c r="T899" s="1"/>
      <c r="U899" s="1"/>
      <c r="V899" s="3"/>
      <c r="W899" s="1"/>
      <c r="X899" s="1"/>
    </row>
    <row r="900" ht="16.5" customHeight="1">
      <c r="A900" s="1"/>
      <c r="B900" s="1"/>
      <c r="C900" s="1"/>
      <c r="D900" s="8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"/>
      <c r="S900" s="1"/>
      <c r="T900" s="1"/>
      <c r="U900" s="1"/>
      <c r="V900" s="3"/>
      <c r="W900" s="1"/>
      <c r="X900" s="1"/>
    </row>
    <row r="901" ht="16.5" customHeight="1">
      <c r="A901" s="1"/>
      <c r="B901" s="1"/>
      <c r="C901" s="1"/>
      <c r="D901" s="8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"/>
      <c r="S901" s="1"/>
      <c r="T901" s="1"/>
      <c r="U901" s="1"/>
      <c r="V901" s="3"/>
      <c r="W901" s="1"/>
      <c r="X901" s="1"/>
    </row>
    <row r="902" ht="16.5" customHeight="1">
      <c r="A902" s="1"/>
      <c r="B902" s="1"/>
      <c r="C902" s="1"/>
      <c r="D902" s="8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"/>
      <c r="S902" s="1"/>
      <c r="T902" s="1"/>
      <c r="U902" s="1"/>
      <c r="V902" s="3"/>
      <c r="W902" s="1"/>
      <c r="X902" s="1"/>
    </row>
    <row r="903" ht="16.5" customHeight="1">
      <c r="A903" s="1"/>
      <c r="B903" s="1"/>
      <c r="C903" s="1"/>
      <c r="D903" s="8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"/>
      <c r="S903" s="1"/>
      <c r="T903" s="1"/>
      <c r="U903" s="1"/>
      <c r="V903" s="3"/>
      <c r="W903" s="1"/>
      <c r="X903" s="1"/>
    </row>
    <row r="904" ht="16.5" customHeight="1">
      <c r="A904" s="1"/>
      <c r="B904" s="1"/>
      <c r="C904" s="1"/>
      <c r="D904" s="8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"/>
      <c r="S904" s="1"/>
      <c r="T904" s="1"/>
      <c r="U904" s="1"/>
      <c r="V904" s="3"/>
      <c r="W904" s="1"/>
      <c r="X904" s="1"/>
    </row>
    <row r="905" ht="16.5" customHeight="1">
      <c r="A905" s="1"/>
      <c r="B905" s="1"/>
      <c r="C905" s="1"/>
      <c r="D905" s="8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"/>
      <c r="S905" s="1"/>
      <c r="T905" s="1"/>
      <c r="U905" s="1"/>
      <c r="V905" s="3"/>
      <c r="W905" s="1"/>
      <c r="X905" s="1"/>
    </row>
    <row r="906" ht="16.5" customHeight="1">
      <c r="A906" s="1"/>
      <c r="B906" s="1"/>
      <c r="C906" s="1"/>
      <c r="D906" s="8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"/>
      <c r="S906" s="1"/>
      <c r="T906" s="1"/>
      <c r="U906" s="1"/>
      <c r="V906" s="3"/>
      <c r="W906" s="1"/>
      <c r="X906" s="1"/>
    </row>
    <row r="907" ht="16.5" customHeight="1">
      <c r="A907" s="1"/>
      <c r="B907" s="1"/>
      <c r="C907" s="1"/>
      <c r="D907" s="8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"/>
      <c r="S907" s="1"/>
      <c r="T907" s="1"/>
      <c r="U907" s="1"/>
      <c r="V907" s="3"/>
      <c r="W907" s="1"/>
      <c r="X907" s="1"/>
    </row>
    <row r="908" ht="16.5" customHeight="1">
      <c r="A908" s="1"/>
      <c r="B908" s="1"/>
      <c r="C908" s="1"/>
      <c r="D908" s="8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"/>
      <c r="S908" s="1"/>
      <c r="T908" s="1"/>
      <c r="U908" s="1"/>
      <c r="V908" s="3"/>
      <c r="W908" s="1"/>
      <c r="X908" s="1"/>
    </row>
    <row r="909" ht="16.5" customHeight="1">
      <c r="A909" s="1"/>
      <c r="B909" s="1"/>
      <c r="C909" s="1"/>
      <c r="D909" s="8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"/>
      <c r="S909" s="1"/>
      <c r="T909" s="1"/>
      <c r="U909" s="1"/>
      <c r="V909" s="3"/>
      <c r="W909" s="1"/>
      <c r="X909" s="1"/>
    </row>
    <row r="910" ht="16.5" customHeight="1">
      <c r="A910" s="1"/>
      <c r="B910" s="1"/>
      <c r="C910" s="1"/>
      <c r="D910" s="8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"/>
      <c r="S910" s="1"/>
      <c r="T910" s="1"/>
      <c r="U910" s="1"/>
      <c r="V910" s="3"/>
      <c r="W910" s="1"/>
      <c r="X910" s="1"/>
    </row>
    <row r="911" ht="16.5" customHeight="1">
      <c r="A911" s="1"/>
      <c r="B911" s="1"/>
      <c r="C911" s="1"/>
      <c r="D911" s="8"/>
      <c r="E911" s="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"/>
      <c r="S911" s="1"/>
      <c r="T911" s="1"/>
      <c r="U911" s="1"/>
      <c r="V911" s="3"/>
      <c r="W911" s="1"/>
      <c r="X911" s="1"/>
    </row>
    <row r="912" ht="16.5" customHeight="1">
      <c r="A912" s="1"/>
      <c r="B912" s="1"/>
      <c r="C912" s="1"/>
      <c r="D912" s="8"/>
      <c r="E912" s="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"/>
      <c r="S912" s="1"/>
      <c r="T912" s="1"/>
      <c r="U912" s="1"/>
      <c r="V912" s="3"/>
      <c r="W912" s="1"/>
      <c r="X912" s="1"/>
    </row>
    <row r="913" ht="16.5" customHeight="1">
      <c r="A913" s="1"/>
      <c r="B913" s="1"/>
      <c r="C913" s="1"/>
      <c r="D913" s="8"/>
      <c r="E913" s="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"/>
      <c r="S913" s="1"/>
      <c r="T913" s="1"/>
      <c r="U913" s="1"/>
      <c r="V913" s="3"/>
      <c r="W913" s="1"/>
      <c r="X913" s="1"/>
    </row>
    <row r="914" ht="16.5" customHeight="1">
      <c r="A914" s="1"/>
      <c r="B914" s="1"/>
      <c r="C914" s="1"/>
      <c r="D914" s="8"/>
      <c r="E914" s="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"/>
      <c r="S914" s="1"/>
      <c r="T914" s="1"/>
      <c r="U914" s="1"/>
      <c r="V914" s="3"/>
      <c r="W914" s="1"/>
      <c r="X914" s="1"/>
    </row>
    <row r="915" ht="16.5" customHeight="1">
      <c r="A915" s="1"/>
      <c r="B915" s="1"/>
      <c r="C915" s="1"/>
      <c r="D915" s="8"/>
      <c r="E915" s="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"/>
      <c r="S915" s="1"/>
      <c r="T915" s="1"/>
      <c r="U915" s="1"/>
      <c r="V915" s="3"/>
      <c r="W915" s="1"/>
      <c r="X915" s="1"/>
    </row>
    <row r="916" ht="16.5" customHeight="1">
      <c r="A916" s="1"/>
      <c r="B916" s="1"/>
      <c r="C916" s="1"/>
      <c r="D916" s="8"/>
      <c r="E916" s="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"/>
      <c r="S916" s="1"/>
      <c r="T916" s="1"/>
      <c r="U916" s="1"/>
      <c r="V916" s="3"/>
      <c r="W916" s="1"/>
      <c r="X916" s="1"/>
    </row>
    <row r="917" ht="16.5" customHeight="1">
      <c r="A917" s="1"/>
      <c r="B917" s="1"/>
      <c r="C917" s="1"/>
      <c r="D917" s="8"/>
      <c r="E917" s="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"/>
      <c r="S917" s="1"/>
      <c r="T917" s="1"/>
      <c r="U917" s="1"/>
      <c r="V917" s="3"/>
      <c r="W917" s="1"/>
      <c r="X917" s="1"/>
    </row>
    <row r="918" ht="16.5" customHeight="1">
      <c r="A918" s="1"/>
      <c r="B918" s="1"/>
      <c r="C918" s="1"/>
      <c r="D918" s="8"/>
      <c r="E918" s="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"/>
      <c r="S918" s="1"/>
      <c r="T918" s="1"/>
      <c r="U918" s="1"/>
      <c r="V918" s="3"/>
      <c r="W918" s="1"/>
      <c r="X918" s="1"/>
    </row>
    <row r="919" ht="16.5" customHeight="1">
      <c r="A919" s="1"/>
      <c r="B919" s="1"/>
      <c r="C919" s="1"/>
      <c r="D919" s="8"/>
      <c r="E919" s="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"/>
      <c r="S919" s="1"/>
      <c r="T919" s="1"/>
      <c r="U919" s="1"/>
      <c r="V919" s="3"/>
      <c r="W919" s="1"/>
      <c r="X919" s="1"/>
    </row>
    <row r="920" ht="16.5" customHeight="1">
      <c r="A920" s="1"/>
      <c r="B920" s="1"/>
      <c r="C920" s="1"/>
      <c r="D920" s="8"/>
      <c r="E920" s="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"/>
      <c r="S920" s="1"/>
      <c r="T920" s="1"/>
      <c r="U920" s="1"/>
      <c r="V920" s="3"/>
      <c r="W920" s="1"/>
      <c r="X920" s="1"/>
    </row>
    <row r="921" ht="16.5" customHeight="1">
      <c r="A921" s="1"/>
      <c r="B921" s="1"/>
      <c r="C921" s="1"/>
      <c r="D921" s="8"/>
      <c r="E921" s="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"/>
      <c r="S921" s="1"/>
      <c r="T921" s="1"/>
      <c r="U921" s="1"/>
      <c r="V921" s="3"/>
      <c r="W921" s="1"/>
      <c r="X921" s="1"/>
    </row>
    <row r="922" ht="16.5" customHeight="1">
      <c r="A922" s="1"/>
      <c r="B922" s="1"/>
      <c r="C922" s="1"/>
      <c r="D922" s="8"/>
      <c r="E922" s="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"/>
      <c r="S922" s="1"/>
      <c r="T922" s="1"/>
      <c r="U922" s="1"/>
      <c r="V922" s="3"/>
      <c r="W922" s="1"/>
      <c r="X922" s="1"/>
    </row>
    <row r="923" ht="16.5" customHeight="1">
      <c r="A923" s="1"/>
      <c r="B923" s="1"/>
      <c r="C923" s="1"/>
      <c r="D923" s="8"/>
      <c r="E923" s="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"/>
      <c r="S923" s="1"/>
      <c r="T923" s="1"/>
      <c r="U923" s="1"/>
      <c r="V923" s="3"/>
      <c r="W923" s="1"/>
      <c r="X923" s="1"/>
    </row>
    <row r="924" ht="16.5" customHeight="1">
      <c r="A924" s="1"/>
      <c r="B924" s="1"/>
      <c r="C924" s="1"/>
      <c r="D924" s="8"/>
      <c r="E924" s="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"/>
      <c r="S924" s="1"/>
      <c r="T924" s="1"/>
      <c r="U924" s="1"/>
      <c r="V924" s="3"/>
      <c r="W924" s="1"/>
      <c r="X924" s="1"/>
    </row>
    <row r="925" ht="16.5" customHeight="1">
      <c r="A925" s="1"/>
      <c r="B925" s="1"/>
      <c r="C925" s="1"/>
      <c r="D925" s="8"/>
      <c r="E925" s="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"/>
      <c r="S925" s="1"/>
      <c r="T925" s="1"/>
      <c r="U925" s="1"/>
      <c r="V925" s="3"/>
      <c r="W925" s="1"/>
      <c r="X925" s="1"/>
    </row>
    <row r="926" ht="16.5" customHeight="1">
      <c r="A926" s="1"/>
      <c r="B926" s="1"/>
      <c r="C926" s="1"/>
      <c r="D926" s="8"/>
      <c r="E926" s="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"/>
      <c r="S926" s="1"/>
      <c r="T926" s="1"/>
      <c r="U926" s="1"/>
      <c r="V926" s="3"/>
      <c r="W926" s="1"/>
      <c r="X926" s="1"/>
    </row>
    <row r="927" ht="16.5" customHeight="1">
      <c r="A927" s="1"/>
      <c r="B927" s="1"/>
      <c r="C927" s="1"/>
      <c r="D927" s="8"/>
      <c r="E927" s="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"/>
      <c r="S927" s="1"/>
      <c r="T927" s="1"/>
      <c r="U927" s="1"/>
      <c r="V927" s="3"/>
      <c r="W927" s="1"/>
      <c r="X927" s="1"/>
    </row>
    <row r="928" ht="16.5" customHeight="1">
      <c r="A928" s="1"/>
      <c r="B928" s="1"/>
      <c r="C928" s="1"/>
      <c r="D928" s="8"/>
      <c r="E928" s="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"/>
      <c r="S928" s="1"/>
      <c r="T928" s="1"/>
      <c r="U928" s="1"/>
      <c r="V928" s="3"/>
      <c r="W928" s="1"/>
      <c r="X928" s="1"/>
    </row>
    <row r="929" ht="16.5" customHeight="1">
      <c r="A929" s="1"/>
      <c r="B929" s="1"/>
      <c r="C929" s="1"/>
      <c r="D929" s="8"/>
      <c r="E929" s="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"/>
      <c r="S929" s="1"/>
      <c r="T929" s="1"/>
      <c r="U929" s="1"/>
      <c r="V929" s="3"/>
      <c r="W929" s="1"/>
      <c r="X929" s="1"/>
    </row>
    <row r="930" ht="16.5" customHeight="1">
      <c r="A930" s="1"/>
      <c r="B930" s="1"/>
      <c r="C930" s="1"/>
      <c r="D930" s="8"/>
      <c r="E930" s="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"/>
      <c r="S930" s="1"/>
      <c r="T930" s="1"/>
      <c r="U930" s="1"/>
      <c r="V930" s="3"/>
      <c r="W930" s="1"/>
      <c r="X930" s="1"/>
    </row>
    <row r="931" ht="16.5" customHeight="1">
      <c r="A931" s="1"/>
      <c r="B931" s="1"/>
      <c r="C931" s="1"/>
      <c r="D931" s="8"/>
      <c r="E931" s="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"/>
      <c r="S931" s="1"/>
      <c r="T931" s="1"/>
      <c r="U931" s="1"/>
      <c r="V931" s="3"/>
      <c r="W931" s="1"/>
      <c r="X931" s="1"/>
    </row>
    <row r="932" ht="16.5" customHeight="1">
      <c r="A932" s="1"/>
      <c r="B932" s="1"/>
      <c r="C932" s="1"/>
      <c r="D932" s="8"/>
      <c r="E932" s="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"/>
      <c r="S932" s="1"/>
      <c r="T932" s="1"/>
      <c r="U932" s="1"/>
      <c r="V932" s="3"/>
      <c r="W932" s="1"/>
      <c r="X932" s="1"/>
    </row>
    <row r="933" ht="16.5" customHeight="1">
      <c r="A933" s="1"/>
      <c r="B933" s="1"/>
      <c r="C933" s="1"/>
      <c r="D933" s="8"/>
      <c r="E933" s="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"/>
      <c r="S933" s="1"/>
      <c r="T933" s="1"/>
      <c r="U933" s="1"/>
      <c r="V933" s="3"/>
      <c r="W933" s="1"/>
      <c r="X933" s="1"/>
    </row>
    <row r="934" ht="16.5" customHeight="1">
      <c r="A934" s="1"/>
      <c r="B934" s="1"/>
      <c r="C934" s="1"/>
      <c r="D934" s="8"/>
      <c r="E934" s="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"/>
      <c r="S934" s="1"/>
      <c r="T934" s="1"/>
      <c r="U934" s="1"/>
      <c r="V934" s="3"/>
      <c r="W934" s="1"/>
      <c r="X934" s="1"/>
    </row>
    <row r="935" ht="16.5" customHeight="1">
      <c r="A935" s="1"/>
      <c r="B935" s="1"/>
      <c r="C935" s="1"/>
      <c r="D935" s="8"/>
      <c r="E935" s="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"/>
      <c r="S935" s="1"/>
      <c r="T935" s="1"/>
      <c r="U935" s="1"/>
      <c r="V935" s="3"/>
      <c r="W935" s="1"/>
      <c r="X935" s="1"/>
    </row>
    <row r="936" ht="16.5" customHeight="1">
      <c r="A936" s="1"/>
      <c r="B936" s="1"/>
      <c r="C936" s="1"/>
      <c r="D936" s="8"/>
      <c r="E936" s="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"/>
      <c r="S936" s="1"/>
      <c r="T936" s="1"/>
      <c r="U936" s="1"/>
      <c r="V936" s="3"/>
      <c r="W936" s="1"/>
      <c r="X936" s="1"/>
    </row>
    <row r="937" ht="16.5" customHeight="1">
      <c r="A937" s="1"/>
      <c r="B937" s="1"/>
      <c r="C937" s="1"/>
      <c r="D937" s="8"/>
      <c r="E937" s="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"/>
      <c r="S937" s="1"/>
      <c r="T937" s="1"/>
      <c r="U937" s="1"/>
      <c r="V937" s="3"/>
      <c r="W937" s="1"/>
      <c r="X937" s="1"/>
    </row>
    <row r="938" ht="16.5" customHeight="1">
      <c r="A938" s="1"/>
      <c r="B938" s="1"/>
      <c r="C938" s="1"/>
      <c r="D938" s="8"/>
      <c r="E938" s="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"/>
      <c r="S938" s="1"/>
      <c r="T938" s="1"/>
      <c r="U938" s="1"/>
      <c r="V938" s="3"/>
      <c r="W938" s="1"/>
      <c r="X938" s="1"/>
    </row>
    <row r="939" ht="16.5" customHeight="1">
      <c r="A939" s="1"/>
      <c r="B939" s="1"/>
      <c r="C939" s="1"/>
      <c r="D939" s="8"/>
      <c r="E939" s="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"/>
      <c r="S939" s="1"/>
      <c r="T939" s="1"/>
      <c r="U939" s="1"/>
      <c r="V939" s="3"/>
      <c r="W939" s="1"/>
      <c r="X939" s="1"/>
    </row>
    <row r="940" ht="16.5" customHeight="1">
      <c r="A940" s="1"/>
      <c r="B940" s="1"/>
      <c r="C940" s="1"/>
      <c r="D940" s="8"/>
      <c r="E940" s="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"/>
      <c r="S940" s="1"/>
      <c r="T940" s="1"/>
      <c r="U940" s="1"/>
      <c r="V940" s="3"/>
      <c r="W940" s="1"/>
      <c r="X940" s="1"/>
    </row>
    <row r="941" ht="16.5" customHeight="1">
      <c r="A941" s="1"/>
      <c r="B941" s="1"/>
      <c r="C941" s="1"/>
      <c r="D941" s="8"/>
      <c r="E941" s="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"/>
      <c r="S941" s="1"/>
      <c r="T941" s="1"/>
      <c r="U941" s="1"/>
      <c r="V941" s="3"/>
      <c r="W941" s="1"/>
      <c r="X941" s="1"/>
    </row>
    <row r="942" ht="16.5" customHeight="1">
      <c r="A942" s="1"/>
      <c r="B942" s="1"/>
      <c r="C942" s="1"/>
      <c r="D942" s="8"/>
      <c r="E942" s="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"/>
      <c r="S942" s="1"/>
      <c r="T942" s="1"/>
      <c r="U942" s="1"/>
      <c r="V942" s="3"/>
      <c r="W942" s="1"/>
      <c r="X942" s="1"/>
    </row>
    <row r="943" ht="16.5" customHeight="1">
      <c r="A943" s="1"/>
      <c r="B943" s="1"/>
      <c r="C943" s="1"/>
      <c r="D943" s="8"/>
      <c r="E943" s="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"/>
      <c r="S943" s="1"/>
      <c r="T943" s="1"/>
      <c r="U943" s="1"/>
      <c r="V943" s="3"/>
      <c r="W943" s="1"/>
      <c r="X943" s="1"/>
    </row>
    <row r="944" ht="16.5" customHeight="1">
      <c r="A944" s="1"/>
      <c r="B944" s="1"/>
      <c r="C944" s="1"/>
      <c r="D944" s="8"/>
      <c r="E944" s="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"/>
      <c r="S944" s="1"/>
      <c r="T944" s="1"/>
      <c r="U944" s="1"/>
      <c r="V944" s="3"/>
      <c r="W944" s="1"/>
      <c r="X944" s="1"/>
    </row>
    <row r="945" ht="16.5" customHeight="1">
      <c r="A945" s="1"/>
      <c r="B945" s="1"/>
      <c r="C945" s="1"/>
      <c r="D945" s="8"/>
      <c r="E945" s="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"/>
      <c r="S945" s="1"/>
      <c r="T945" s="1"/>
      <c r="U945" s="1"/>
      <c r="V945" s="3"/>
      <c r="W945" s="1"/>
      <c r="X945" s="1"/>
    </row>
    <row r="946" ht="16.5" customHeight="1">
      <c r="A946" s="1"/>
      <c r="B946" s="1"/>
      <c r="C946" s="1"/>
      <c r="D946" s="8"/>
      <c r="E946" s="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"/>
      <c r="S946" s="1"/>
      <c r="T946" s="1"/>
      <c r="U946" s="1"/>
      <c r="V946" s="3"/>
      <c r="W946" s="1"/>
      <c r="X946" s="1"/>
    </row>
    <row r="947" ht="16.5" customHeight="1">
      <c r="A947" s="1"/>
      <c r="B947" s="1"/>
      <c r="C947" s="1"/>
      <c r="D947" s="8"/>
      <c r="E947" s="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"/>
      <c r="S947" s="1"/>
      <c r="T947" s="1"/>
      <c r="U947" s="1"/>
      <c r="V947" s="3"/>
      <c r="W947" s="1"/>
      <c r="X947" s="1"/>
    </row>
    <row r="948" ht="16.5" customHeight="1">
      <c r="A948" s="1"/>
      <c r="B948" s="1"/>
      <c r="C948" s="1"/>
      <c r="D948" s="8"/>
      <c r="E948" s="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"/>
      <c r="S948" s="1"/>
      <c r="T948" s="1"/>
      <c r="U948" s="1"/>
      <c r="V948" s="3"/>
      <c r="W948" s="1"/>
      <c r="X948" s="1"/>
    </row>
    <row r="949" ht="16.5" customHeight="1">
      <c r="A949" s="1"/>
      <c r="B949" s="1"/>
      <c r="C949" s="1"/>
      <c r="D949" s="8"/>
      <c r="E949" s="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"/>
      <c r="S949" s="1"/>
      <c r="T949" s="1"/>
      <c r="U949" s="1"/>
      <c r="V949" s="3"/>
      <c r="W949" s="1"/>
      <c r="X949" s="1"/>
    </row>
    <row r="950" ht="16.5" customHeight="1">
      <c r="A950" s="1"/>
      <c r="B950" s="1"/>
      <c r="C950" s="1"/>
      <c r="D950" s="8"/>
      <c r="E950" s="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"/>
      <c r="S950" s="1"/>
      <c r="T950" s="1"/>
      <c r="U950" s="1"/>
      <c r="V950" s="3"/>
      <c r="W950" s="1"/>
      <c r="X950" s="1"/>
    </row>
    <row r="951" ht="16.5" customHeight="1">
      <c r="A951" s="1"/>
      <c r="B951" s="1"/>
      <c r="C951" s="1"/>
      <c r="D951" s="8"/>
      <c r="E951" s="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"/>
      <c r="S951" s="1"/>
      <c r="T951" s="1"/>
      <c r="U951" s="1"/>
      <c r="V951" s="3"/>
      <c r="W951" s="1"/>
      <c r="X951" s="1"/>
    </row>
    <row r="952" ht="16.5" customHeight="1">
      <c r="A952" s="1"/>
      <c r="B952" s="1"/>
      <c r="C952" s="1"/>
      <c r="D952" s="8"/>
      <c r="E952" s="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"/>
      <c r="S952" s="1"/>
      <c r="T952" s="1"/>
      <c r="U952" s="1"/>
      <c r="V952" s="3"/>
      <c r="W952" s="1"/>
      <c r="X952" s="1"/>
    </row>
    <row r="953" ht="16.5" customHeight="1">
      <c r="A953" s="1"/>
      <c r="B953" s="1"/>
      <c r="C953" s="1"/>
      <c r="D953" s="8"/>
      <c r="E953" s="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"/>
      <c r="S953" s="1"/>
      <c r="T953" s="1"/>
      <c r="U953" s="1"/>
      <c r="V953" s="3"/>
      <c r="W953" s="1"/>
      <c r="X953" s="1"/>
    </row>
    <row r="954" ht="16.5" customHeight="1">
      <c r="A954" s="1"/>
      <c r="B954" s="1"/>
      <c r="C954" s="1"/>
      <c r="D954" s="8"/>
      <c r="E954" s="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"/>
      <c r="S954" s="1"/>
      <c r="T954" s="1"/>
      <c r="U954" s="1"/>
      <c r="V954" s="3"/>
      <c r="W954" s="1"/>
      <c r="X954" s="1"/>
    </row>
    <row r="955" ht="16.5" customHeight="1">
      <c r="A955" s="1"/>
      <c r="B955" s="1"/>
      <c r="C955" s="1"/>
      <c r="D955" s="8"/>
      <c r="E955" s="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"/>
      <c r="S955" s="1"/>
      <c r="T955" s="1"/>
      <c r="U955" s="1"/>
      <c r="V955" s="3"/>
      <c r="W955" s="1"/>
      <c r="X955" s="1"/>
    </row>
    <row r="956" ht="16.5" customHeight="1">
      <c r="A956" s="1"/>
      <c r="B956" s="1"/>
      <c r="C956" s="1"/>
      <c r="D956" s="8"/>
      <c r="E956" s="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"/>
      <c r="S956" s="1"/>
      <c r="T956" s="1"/>
      <c r="U956" s="1"/>
      <c r="V956" s="3"/>
      <c r="W956" s="1"/>
      <c r="X956" s="1"/>
    </row>
    <row r="957" ht="16.5" customHeight="1">
      <c r="A957" s="1"/>
      <c r="B957" s="1"/>
      <c r="C957" s="1"/>
      <c r="D957" s="8"/>
      <c r="E957" s="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"/>
      <c r="S957" s="1"/>
      <c r="T957" s="1"/>
      <c r="U957" s="1"/>
      <c r="V957" s="3"/>
      <c r="W957" s="1"/>
      <c r="X957" s="1"/>
    </row>
    <row r="958" ht="16.5" customHeight="1">
      <c r="A958" s="1"/>
      <c r="B958" s="1"/>
      <c r="C958" s="1"/>
      <c r="D958" s="8"/>
      <c r="E958" s="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"/>
      <c r="S958" s="1"/>
      <c r="T958" s="1"/>
      <c r="U958" s="1"/>
      <c r="V958" s="3"/>
      <c r="W958" s="1"/>
      <c r="X958" s="1"/>
    </row>
    <row r="959" ht="16.5" customHeight="1">
      <c r="A959" s="1"/>
      <c r="B959" s="1"/>
      <c r="C959" s="1"/>
      <c r="D959" s="8"/>
      <c r="E959" s="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"/>
      <c r="S959" s="1"/>
      <c r="T959" s="1"/>
      <c r="U959" s="1"/>
      <c r="V959" s="3"/>
      <c r="W959" s="1"/>
      <c r="X959" s="1"/>
    </row>
    <row r="960" ht="16.5" customHeight="1">
      <c r="A960" s="1"/>
      <c r="B960" s="1"/>
      <c r="C960" s="1"/>
      <c r="D960" s="8"/>
      <c r="E960" s="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"/>
      <c r="S960" s="1"/>
      <c r="T960" s="1"/>
      <c r="U960" s="1"/>
      <c r="V960" s="3"/>
      <c r="W960" s="1"/>
      <c r="X960" s="1"/>
    </row>
    <row r="961" ht="16.5" customHeight="1">
      <c r="A961" s="1"/>
      <c r="B961" s="1"/>
      <c r="C961" s="1"/>
      <c r="D961" s="8"/>
      <c r="E961" s="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"/>
      <c r="S961" s="1"/>
      <c r="T961" s="1"/>
      <c r="U961" s="1"/>
      <c r="V961" s="3"/>
      <c r="W961" s="1"/>
      <c r="X961" s="1"/>
    </row>
    <row r="962" ht="16.5" customHeight="1">
      <c r="A962" s="1"/>
      <c r="B962" s="1"/>
      <c r="C962" s="1"/>
      <c r="D962" s="8"/>
      <c r="E962" s="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"/>
      <c r="S962" s="1"/>
      <c r="T962" s="1"/>
      <c r="U962" s="1"/>
      <c r="V962" s="3"/>
      <c r="W962" s="1"/>
      <c r="X962" s="1"/>
    </row>
    <row r="963" ht="16.5" customHeight="1">
      <c r="A963" s="1"/>
      <c r="B963" s="1"/>
      <c r="C963" s="1"/>
      <c r="D963" s="8"/>
      <c r="E963" s="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"/>
      <c r="S963" s="1"/>
      <c r="T963" s="1"/>
      <c r="U963" s="1"/>
      <c r="V963" s="3"/>
      <c r="W963" s="1"/>
      <c r="X963" s="1"/>
    </row>
    <row r="964" ht="16.5" customHeight="1">
      <c r="A964" s="1"/>
      <c r="B964" s="1"/>
      <c r="C964" s="1"/>
      <c r="D964" s="8"/>
      <c r="E964" s="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"/>
      <c r="S964" s="1"/>
      <c r="T964" s="1"/>
      <c r="U964" s="1"/>
      <c r="V964" s="3"/>
      <c r="W964" s="1"/>
      <c r="X964" s="1"/>
    </row>
    <row r="965" ht="16.5" customHeight="1">
      <c r="A965" s="1"/>
      <c r="B965" s="1"/>
      <c r="C965" s="1"/>
      <c r="D965" s="8"/>
      <c r="E965" s="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"/>
      <c r="S965" s="1"/>
      <c r="T965" s="1"/>
      <c r="U965" s="1"/>
      <c r="V965" s="3"/>
      <c r="W965" s="1"/>
      <c r="X965" s="1"/>
    </row>
    <row r="966" ht="16.5" customHeight="1">
      <c r="A966" s="1"/>
      <c r="B966" s="1"/>
      <c r="C966" s="1"/>
      <c r="D966" s="8"/>
      <c r="E966" s="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"/>
      <c r="S966" s="1"/>
      <c r="T966" s="1"/>
      <c r="U966" s="1"/>
      <c r="V966" s="3"/>
      <c r="W966" s="1"/>
      <c r="X966" s="1"/>
    </row>
    <row r="967" ht="16.5" customHeight="1">
      <c r="A967" s="1"/>
      <c r="B967" s="1"/>
      <c r="C967" s="1"/>
      <c r="D967" s="8"/>
      <c r="E967" s="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"/>
      <c r="S967" s="1"/>
      <c r="T967" s="1"/>
      <c r="U967" s="1"/>
      <c r="V967" s="3"/>
      <c r="W967" s="1"/>
      <c r="X967" s="1"/>
    </row>
    <row r="968" ht="16.5" customHeight="1">
      <c r="A968" s="1"/>
      <c r="B968" s="1"/>
      <c r="C968" s="1"/>
      <c r="D968" s="8"/>
      <c r="E968" s="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"/>
      <c r="S968" s="1"/>
      <c r="T968" s="1"/>
      <c r="U968" s="1"/>
      <c r="V968" s="3"/>
      <c r="W968" s="1"/>
      <c r="X968" s="1"/>
    </row>
    <row r="969" ht="16.5" customHeight="1">
      <c r="A969" s="1"/>
      <c r="B969" s="1"/>
      <c r="C969" s="1"/>
      <c r="D969" s="8"/>
      <c r="E969" s="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"/>
      <c r="S969" s="1"/>
      <c r="T969" s="1"/>
      <c r="U969" s="1"/>
      <c r="V969" s="3"/>
      <c r="W969" s="1"/>
      <c r="X969" s="1"/>
    </row>
    <row r="970" ht="16.5" customHeight="1">
      <c r="A970" s="1"/>
      <c r="B970" s="1"/>
      <c r="C970" s="1"/>
      <c r="D970" s="8"/>
      <c r="E970" s="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"/>
      <c r="S970" s="1"/>
      <c r="T970" s="1"/>
      <c r="U970" s="1"/>
      <c r="V970" s="3"/>
      <c r="W970" s="1"/>
      <c r="X970" s="1"/>
    </row>
    <row r="971" ht="16.5" customHeight="1">
      <c r="A971" s="1"/>
      <c r="B971" s="1"/>
      <c r="C971" s="1"/>
      <c r="D971" s="8"/>
      <c r="E971" s="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"/>
      <c r="S971" s="1"/>
      <c r="T971" s="1"/>
      <c r="U971" s="1"/>
      <c r="V971" s="3"/>
      <c r="W971" s="1"/>
      <c r="X971" s="1"/>
    </row>
    <row r="972" ht="16.5" customHeight="1">
      <c r="A972" s="1"/>
      <c r="B972" s="1"/>
      <c r="C972" s="1"/>
      <c r="D972" s="8"/>
      <c r="E972" s="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"/>
      <c r="S972" s="1"/>
      <c r="T972" s="1"/>
      <c r="U972" s="1"/>
      <c r="V972" s="3"/>
      <c r="W972" s="1"/>
      <c r="X972" s="1"/>
    </row>
    <row r="973" ht="16.5" customHeight="1">
      <c r="A973" s="1"/>
      <c r="B973" s="1"/>
      <c r="C973" s="1"/>
      <c r="D973" s="8"/>
      <c r="E973" s="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"/>
      <c r="S973" s="1"/>
      <c r="T973" s="1"/>
      <c r="U973" s="1"/>
      <c r="V973" s="3"/>
      <c r="W973" s="1"/>
      <c r="X973" s="1"/>
    </row>
    <row r="974" ht="16.5" customHeight="1">
      <c r="A974" s="1"/>
      <c r="B974" s="1"/>
      <c r="C974" s="1"/>
      <c r="D974" s="8"/>
      <c r="E974" s="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"/>
      <c r="S974" s="1"/>
      <c r="T974" s="1"/>
      <c r="U974" s="1"/>
      <c r="V974" s="3"/>
      <c r="W974" s="1"/>
      <c r="X974" s="1"/>
    </row>
    <row r="975" ht="16.5" customHeight="1">
      <c r="A975" s="1"/>
      <c r="B975" s="1"/>
      <c r="C975" s="1"/>
      <c r="D975" s="8"/>
      <c r="E975" s="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"/>
      <c r="S975" s="1"/>
      <c r="T975" s="1"/>
      <c r="U975" s="1"/>
      <c r="V975" s="3"/>
      <c r="W975" s="1"/>
      <c r="X975" s="1"/>
    </row>
    <row r="976" ht="16.5" customHeight="1">
      <c r="A976" s="1"/>
      <c r="B976" s="1"/>
      <c r="C976" s="1"/>
      <c r="D976" s="8"/>
      <c r="E976" s="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"/>
      <c r="S976" s="1"/>
      <c r="T976" s="1"/>
      <c r="U976" s="1"/>
      <c r="V976" s="3"/>
      <c r="W976" s="1"/>
      <c r="X976" s="1"/>
    </row>
    <row r="977" ht="16.5" customHeight="1">
      <c r="A977" s="1"/>
      <c r="B977" s="1"/>
      <c r="C977" s="1"/>
      <c r="D977" s="8"/>
      <c r="E977" s="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"/>
      <c r="S977" s="1"/>
      <c r="T977" s="1"/>
      <c r="U977" s="1"/>
      <c r="V977" s="3"/>
      <c r="W977" s="1"/>
      <c r="X977" s="1"/>
    </row>
    <row r="978" ht="16.5" customHeight="1">
      <c r="A978" s="1"/>
      <c r="B978" s="1"/>
      <c r="C978" s="1"/>
      <c r="D978" s="8"/>
      <c r="E978" s="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"/>
      <c r="S978" s="1"/>
      <c r="T978" s="1"/>
      <c r="U978" s="1"/>
      <c r="V978" s="3"/>
      <c r="W978" s="1"/>
      <c r="X978" s="1"/>
    </row>
    <row r="979" ht="16.5" customHeight="1">
      <c r="A979" s="1"/>
      <c r="B979" s="1"/>
      <c r="C979" s="1"/>
      <c r="D979" s="8"/>
      <c r="E979" s="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"/>
      <c r="S979" s="1"/>
      <c r="T979" s="1"/>
      <c r="U979" s="1"/>
      <c r="V979" s="3"/>
      <c r="W979" s="1"/>
      <c r="X979" s="1"/>
    </row>
    <row r="980" ht="16.5" customHeight="1">
      <c r="A980" s="1"/>
      <c r="B980" s="1"/>
      <c r="C980" s="1"/>
      <c r="D980" s="8"/>
      <c r="E980" s="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"/>
      <c r="S980" s="1"/>
      <c r="T980" s="1"/>
      <c r="U980" s="1"/>
      <c r="V980" s="3"/>
      <c r="W980" s="1"/>
      <c r="X980" s="1"/>
    </row>
    <row r="981" ht="16.5" customHeight="1">
      <c r="A981" s="1"/>
      <c r="B981" s="1"/>
      <c r="C981" s="1"/>
      <c r="D981" s="8"/>
      <c r="E981" s="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"/>
      <c r="S981" s="1"/>
      <c r="T981" s="1"/>
      <c r="U981" s="1"/>
      <c r="V981" s="3"/>
      <c r="W981" s="1"/>
      <c r="X981" s="1"/>
    </row>
    <row r="982" ht="16.5" customHeight="1">
      <c r="A982" s="1"/>
      <c r="B982" s="1"/>
      <c r="C982" s="1"/>
      <c r="D982" s="8"/>
      <c r="E982" s="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"/>
      <c r="S982" s="1"/>
      <c r="T982" s="1"/>
      <c r="U982" s="1"/>
      <c r="V982" s="3"/>
      <c r="W982" s="1"/>
      <c r="X982" s="1"/>
    </row>
    <row r="983" ht="16.5" customHeight="1">
      <c r="A983" s="1"/>
      <c r="B983" s="1"/>
      <c r="C983" s="1"/>
      <c r="D983" s="8"/>
      <c r="E983" s="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"/>
      <c r="S983" s="1"/>
      <c r="T983" s="1"/>
      <c r="U983" s="1"/>
      <c r="V983" s="3"/>
      <c r="W983" s="1"/>
      <c r="X983" s="1"/>
    </row>
    <row r="984" ht="16.5" customHeight="1">
      <c r="A984" s="1"/>
      <c r="B984" s="1"/>
      <c r="C984" s="1"/>
      <c r="D984" s="8"/>
      <c r="E984" s="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"/>
      <c r="S984" s="1"/>
      <c r="T984" s="1"/>
      <c r="U984" s="1"/>
      <c r="V984" s="3"/>
      <c r="W984" s="1"/>
      <c r="X984" s="1"/>
    </row>
    <row r="985" ht="16.5" customHeight="1">
      <c r="A985" s="1"/>
      <c r="B985" s="1"/>
      <c r="C985" s="1"/>
      <c r="D985" s="8"/>
      <c r="E985" s="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"/>
      <c r="S985" s="1"/>
      <c r="T985" s="1"/>
      <c r="U985" s="1"/>
      <c r="V985" s="3"/>
      <c r="W985" s="1"/>
      <c r="X985" s="1"/>
    </row>
    <row r="986" ht="16.5" customHeight="1">
      <c r="A986" s="1"/>
      <c r="B986" s="1"/>
      <c r="C986" s="1"/>
      <c r="D986" s="8"/>
      <c r="E986" s="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"/>
      <c r="S986" s="1"/>
      <c r="T986" s="1"/>
      <c r="U986" s="1"/>
      <c r="V986" s="3"/>
      <c r="W986" s="1"/>
      <c r="X986" s="1"/>
    </row>
    <row r="987" ht="16.5" customHeight="1">
      <c r="A987" s="1"/>
      <c r="B987" s="1"/>
      <c r="C987" s="1"/>
      <c r="D987" s="8"/>
      <c r="E987" s="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"/>
      <c r="S987" s="1"/>
      <c r="T987" s="1"/>
      <c r="U987" s="1"/>
      <c r="V987" s="3"/>
      <c r="W987" s="1"/>
      <c r="X987" s="1"/>
    </row>
  </sheetData>
  <autoFilter ref="$B$3:$T$193"/>
  <mergeCells count="20">
    <mergeCell ref="D5:D7"/>
    <mergeCell ref="E5:E7"/>
    <mergeCell ref="F5:F7"/>
    <mergeCell ref="G5:G7"/>
    <mergeCell ref="H5:H7"/>
    <mergeCell ref="I5:I7"/>
    <mergeCell ref="J5:J7"/>
    <mergeCell ref="K5:K7"/>
    <mergeCell ref="M4:S4"/>
    <mergeCell ref="M5:Q5"/>
    <mergeCell ref="R5:R7"/>
    <mergeCell ref="S5:S7"/>
    <mergeCell ref="B1:T1"/>
    <mergeCell ref="C2:S2"/>
    <mergeCell ref="B4:L4"/>
    <mergeCell ref="T4:T7"/>
    <mergeCell ref="B5:B7"/>
    <mergeCell ref="C5:C7"/>
    <mergeCell ref="L5:L7"/>
    <mergeCell ref="M8:Q8"/>
  </mergeCells>
  <dataValidations>
    <dataValidation type="list" allowBlank="1" showErrorMessage="1" sqref="L9:L77">
      <formula1>"수급자,일반,차상위"</formula1>
    </dataValidation>
    <dataValidation type="list" allowBlank="1" showErrorMessage="1" sqref="N78:N132 N146:N193">
      <formula1>"급여정보,신청,지원범위,품목,기타"</formula1>
    </dataValidation>
    <dataValidation type="list" allowBlank="1" showErrorMessage="1" sqref="M132 M134:M137 M140 M144 M194">
      <formula1>공적급여</formula1>
    </dataValidation>
    <dataValidation type="list" allowBlank="1" showErrorMessage="1" sqref="G194:H382">
      <formula1>의뢰인</formula1>
    </dataValidation>
    <dataValidation type="list" allowBlank="1" showErrorMessage="1" sqref="O133">
      <formula1>보조기기</formula1>
    </dataValidation>
    <dataValidation type="list" allowBlank="1" showErrorMessage="1" sqref="P95:P145 P194:P203">
      <formula1>사례연계</formula1>
    </dataValidation>
    <dataValidation type="list" allowBlank="1" showErrorMessage="1" sqref="T9:T262">
      <formula1>"김영기,송근필,장홍민,이창하,심채연,양하나"</formula1>
    </dataValidation>
    <dataValidation type="list" allowBlank="1" showInputMessage="1" showErrorMessage="1" prompt="항목 목록에 있는 값을 클릭하여 입력하세요." sqref="C2 G9:G78 G80:G82 G90 G92:G193">
      <formula1>"시군구(및 읍면동) 담당자,장애 당사자,보호자 및 지인,유관기관 종사자,교육기관 종사자,기타"</formula1>
    </dataValidation>
    <dataValidation type="list" allowBlank="1" showErrorMessage="1" sqref="O9:O72 O74:O132 O134:O297">
      <formula1>"구입,가격,기능,종류,명칭,대여,개조 및 제작,세척,점검,수리,재사용,기타"</formula1>
    </dataValidation>
    <dataValidation type="list" allowBlank="1" showErrorMessage="1" sqref="N9:N11 N13:N77">
      <formula1>"급여정보,신청,지원범위,품목"</formula1>
    </dataValidation>
    <dataValidation type="list" allowBlank="1" showErrorMessage="1" sqref="N133:N145 N194:N274">
      <formula1>민간급여</formula1>
    </dataValidation>
    <dataValidation type="list" allowBlank="1" showErrorMessage="1" sqref="G79 G83:G89 G91">
      <formula1>"장애 당사자,보호자 및 지인,시군구(및 읍면동) 담당자,유관기관 종사자,교육기관 종사자,기타"</formula1>
    </dataValidation>
    <dataValidation type="list" allowBlank="1" showErrorMessage="1" sqref="M9:M131 M133 M138:M139 M141:M143 M145:M193">
      <formula1>"급여 정보,신청,지원범위,품목,내구연한,기타"</formula1>
    </dataValidation>
    <dataValidation type="list" allowBlank="1" showErrorMessage="1" sqref="P9:P72 O73 P74:P94 P146:P193">
      <formula1>"사례관리 서비스 요청,타 센터 및 기관 사례 연계,기타"</formula1>
    </dataValidation>
  </dataValidations>
  <printOptions/>
  <pageMargins bottom="0.7480314960629921" footer="0.0" header="0.0" left="0.5511811023622047" right="0.6692913385826772" top="0.7480314960629921"/>
  <pageSetup paperSize="9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8.86"/>
    <col customWidth="1" min="6" max="6" width="7.43"/>
    <col customWidth="1" min="7" max="7" width="24.14"/>
    <col customWidth="1" min="8" max="8" width="9.14"/>
    <col customWidth="1" min="9" max="9" width="24.14"/>
    <col customWidth="1" min="10" max="10" width="9.14"/>
    <col customWidth="1" min="11" max="11" width="24.14"/>
    <col customWidth="1" min="12" max="12" width="9.14"/>
    <col customWidth="1" min="13" max="13" width="33.71"/>
    <col customWidth="1" min="14" max="14" width="9.14"/>
    <col customWidth="1" min="15" max="15" width="24.14"/>
    <col customWidth="1" min="16" max="16" width="9.14"/>
    <col customWidth="1" min="17" max="26" width="8.71"/>
  </cols>
  <sheetData>
    <row r="1" ht="16.5" customHeight="1">
      <c r="B1" s="118" t="s">
        <v>964</v>
      </c>
      <c r="C1" s="118" t="s">
        <v>965</v>
      </c>
      <c r="E1" s="118" t="s">
        <v>966</v>
      </c>
      <c r="F1" s="118" t="s">
        <v>965</v>
      </c>
      <c r="G1" s="118" t="s">
        <v>18</v>
      </c>
      <c r="H1" s="118" t="s">
        <v>965</v>
      </c>
      <c r="I1" s="118" t="s">
        <v>19</v>
      </c>
      <c r="J1" s="118" t="s">
        <v>965</v>
      </c>
      <c r="K1" s="118" t="s">
        <v>20</v>
      </c>
      <c r="L1" s="118" t="s">
        <v>965</v>
      </c>
      <c r="M1" s="118" t="s">
        <v>21</v>
      </c>
      <c r="N1" s="118" t="s">
        <v>965</v>
      </c>
      <c r="O1" s="118" t="s">
        <v>22</v>
      </c>
      <c r="P1" s="118" t="s">
        <v>965</v>
      </c>
    </row>
    <row r="2" ht="16.5" customHeight="1">
      <c r="B2" s="119" t="s">
        <v>967</v>
      </c>
      <c r="C2" s="119">
        <f>COUNTIFS('2025'!$C$9:$C$229,"&gt;=2025-01-01",'2025'!$C$9:$C$229,"&lt;=2025-1-31")</f>
        <v>18</v>
      </c>
      <c r="E2" s="119" t="s">
        <v>26</v>
      </c>
      <c r="F2" s="119">
        <f>COUNTIF('2025'!$G$9:$G$119,E2)</f>
        <v>28</v>
      </c>
      <c r="G2" s="119" t="s">
        <v>968</v>
      </c>
      <c r="H2" s="119"/>
      <c r="I2" s="119" t="s">
        <v>968</v>
      </c>
      <c r="J2" s="119"/>
      <c r="K2" s="119" t="s">
        <v>152</v>
      </c>
      <c r="L2" s="119"/>
      <c r="M2" s="119" t="s">
        <v>318</v>
      </c>
      <c r="N2" s="119"/>
      <c r="O2" s="119" t="s">
        <v>22</v>
      </c>
      <c r="P2" s="119"/>
    </row>
    <row r="3" ht="16.5" customHeight="1">
      <c r="B3" s="119" t="s">
        <v>969</v>
      </c>
      <c r="C3" s="119">
        <f>COUNTIFS('2025'!$C$9:$C$229,"&gt;=2025-01-01",'2025'!$C$9:$C$229,"&lt;=2025-1-31")</f>
        <v>18</v>
      </c>
      <c r="E3" s="119" t="s">
        <v>42</v>
      </c>
      <c r="F3" s="119">
        <f>COUNTIF('2025'!$G$9:$G$119,E3)</f>
        <v>41</v>
      </c>
      <c r="G3" s="119" t="s">
        <v>71</v>
      </c>
      <c r="H3" s="119"/>
      <c r="I3" s="119" t="s">
        <v>71</v>
      </c>
      <c r="J3" s="119"/>
      <c r="K3" s="119" t="s">
        <v>271</v>
      </c>
      <c r="L3" s="119"/>
      <c r="M3" s="119" t="s">
        <v>970</v>
      </c>
      <c r="N3" s="119"/>
    </row>
    <row r="4" ht="16.5" customHeight="1">
      <c r="B4" s="119" t="s">
        <v>971</v>
      </c>
      <c r="C4" s="119">
        <f>COUNTIFS('2025'!$C$9:$C$229,"&gt;=2025-01-01",'2025'!$C$9:$C$229,"&lt;=2025-1-31")</f>
        <v>18</v>
      </c>
      <c r="E4" s="119" t="s">
        <v>70</v>
      </c>
      <c r="F4" s="119">
        <f>COUNTIF('2025'!$G$9:$G$119,E4)</f>
        <v>10</v>
      </c>
      <c r="G4" s="119" t="s">
        <v>642</v>
      </c>
      <c r="H4" s="119"/>
      <c r="I4" s="119" t="s">
        <v>642</v>
      </c>
      <c r="J4" s="119"/>
      <c r="K4" s="119" t="s">
        <v>687</v>
      </c>
      <c r="L4" s="119"/>
      <c r="M4" s="119" t="s">
        <v>22</v>
      </c>
      <c r="N4" s="119"/>
    </row>
    <row r="5" ht="16.5" customHeight="1">
      <c r="B5" s="119" t="s">
        <v>972</v>
      </c>
      <c r="C5" s="119">
        <f>COUNTIFS('2025'!$C$9:$C$229,"&gt;=2025-01-01",'2025'!$C$9:$C$229,"&lt;=2025-1-31")</f>
        <v>18</v>
      </c>
      <c r="E5" s="119" t="s">
        <v>33</v>
      </c>
      <c r="F5" s="119">
        <f>COUNTIF('2025'!$G$9:$G$119,E5)</f>
        <v>29</v>
      </c>
      <c r="G5" s="119" t="s">
        <v>203</v>
      </c>
      <c r="H5" s="119"/>
      <c r="I5" s="119" t="s">
        <v>203</v>
      </c>
      <c r="J5" s="119"/>
      <c r="K5" s="119" t="s">
        <v>254</v>
      </c>
      <c r="L5" s="119"/>
    </row>
    <row r="6" ht="16.5" customHeight="1">
      <c r="B6" s="119" t="s">
        <v>973</v>
      </c>
      <c r="C6" s="119">
        <f>COUNTIFS('2025'!$C$9:$C$229,"&gt;=2025-01-01",'2025'!$C$9:$C$229,"&lt;=2025-1-31")</f>
        <v>18</v>
      </c>
      <c r="E6" s="119" t="s">
        <v>215</v>
      </c>
      <c r="F6" s="119">
        <f>COUNTIF('2025'!$G$9:$G$119,E6)</f>
        <v>3</v>
      </c>
      <c r="G6" s="119" t="s">
        <v>449</v>
      </c>
      <c r="H6" s="119"/>
      <c r="I6" s="119" t="s">
        <v>22</v>
      </c>
      <c r="J6" s="119"/>
      <c r="K6" s="119" t="s">
        <v>974</v>
      </c>
      <c r="L6" s="119"/>
    </row>
    <row r="7" ht="16.5" customHeight="1">
      <c r="B7" s="119" t="s">
        <v>975</v>
      </c>
      <c r="C7" s="119">
        <f>COUNTIFS('2025'!$C$9:$C$229,"&gt;=2025-01-01",'2025'!$C$9:$C$229,"&lt;=2025-1-31")</f>
        <v>18</v>
      </c>
      <c r="E7" s="119" t="s">
        <v>22</v>
      </c>
      <c r="F7" s="119">
        <f>COUNTIF('2025'!$G$9:$G$119,E7)</f>
        <v>0</v>
      </c>
      <c r="G7" s="119" t="s">
        <v>22</v>
      </c>
      <c r="H7" s="119"/>
      <c r="K7" s="119" t="s">
        <v>27</v>
      </c>
      <c r="L7" s="119"/>
    </row>
    <row r="8" ht="16.5" customHeight="1">
      <c r="B8" s="119" t="s">
        <v>976</v>
      </c>
      <c r="C8" s="119">
        <f>COUNTIFS('2025'!$C$9:$C$229,"&gt;=2025-01-01",'2025'!$C$9:$C$229,"&lt;=2025-1-31")</f>
        <v>18</v>
      </c>
      <c r="E8" s="119" t="s">
        <v>977</v>
      </c>
      <c r="F8" s="119">
        <f>SUM(F2:F7)</f>
        <v>111</v>
      </c>
      <c r="G8" s="119" t="s">
        <v>977</v>
      </c>
      <c r="H8" s="119">
        <f>SUM(H2:H7)</f>
        <v>0</v>
      </c>
      <c r="K8" s="119" t="s">
        <v>105</v>
      </c>
      <c r="L8" s="119"/>
    </row>
    <row r="9" ht="16.5" customHeight="1">
      <c r="B9" s="119" t="s">
        <v>978</v>
      </c>
      <c r="C9" s="119">
        <f>COUNTIFS('2025'!$C$9:$C$229,"&gt;=2025-01-01",'2025'!$C$9:$C$229,"&lt;=2025-1-31")</f>
        <v>18</v>
      </c>
      <c r="E9" s="120"/>
      <c r="F9" s="121">
        <f>F4/118</f>
        <v>0.08474576271</v>
      </c>
      <c r="K9" s="119" t="s">
        <v>512</v>
      </c>
      <c r="L9" s="119"/>
    </row>
    <row r="10" ht="16.5" customHeight="1">
      <c r="B10" s="119" t="s">
        <v>979</v>
      </c>
      <c r="C10" s="119">
        <f>COUNTIFS('2025'!$C$9:$C$229,"&gt;=2025-01-01",'2025'!$C$9:$C$229,"&lt;=2025-1-31")</f>
        <v>18</v>
      </c>
      <c r="E10" s="120"/>
      <c r="F10" s="120"/>
      <c r="K10" s="119" t="s">
        <v>417</v>
      </c>
      <c r="L10" s="119"/>
    </row>
    <row r="11" ht="16.5" customHeight="1">
      <c r="B11" s="119" t="s">
        <v>980</v>
      </c>
      <c r="C11" s="119">
        <f>COUNTIFS('2025'!$C$9:$C$229,"&gt;=2025-01-01",'2025'!$C$9:$C$229,"&lt;=2025-1-31")</f>
        <v>18</v>
      </c>
      <c r="E11" s="120"/>
      <c r="F11" s="120"/>
      <c r="K11" s="119" t="s">
        <v>128</v>
      </c>
      <c r="L11" s="119"/>
    </row>
    <row r="12" ht="16.5" customHeight="1">
      <c r="B12" s="119" t="s">
        <v>981</v>
      </c>
      <c r="C12" s="119">
        <f>COUNTIFS('2025'!$C$9:$C$229,"&gt;=2025-01-01",'2025'!$C$9:$C$229,"&lt;=2025-1-31")</f>
        <v>18</v>
      </c>
      <c r="E12" s="120"/>
      <c r="F12" s="120"/>
      <c r="K12" s="119" t="s">
        <v>727</v>
      </c>
      <c r="L12" s="119"/>
    </row>
    <row r="13" ht="16.5" customHeight="1">
      <c r="B13" s="119" t="s">
        <v>982</v>
      </c>
      <c r="C13" s="119">
        <f>COUNTIFS('2025'!$C$9:$C$229,"&gt;=2025-01-01",'2025'!$C$9:$C$229,"&lt;=2025-1-31")</f>
        <v>18</v>
      </c>
      <c r="E13" s="120"/>
      <c r="F13" s="120"/>
      <c r="K13" s="119" t="s">
        <v>22</v>
      </c>
      <c r="L13" s="119"/>
    </row>
    <row r="14" ht="16.5" customHeight="1">
      <c r="B14" s="119" t="s">
        <v>977</v>
      </c>
      <c r="C14" s="119">
        <f>SUM(C2:C13)</f>
        <v>216</v>
      </c>
      <c r="E14" s="120"/>
      <c r="F14" s="120"/>
    </row>
    <row r="15" ht="16.5" customHeight="1">
      <c r="E15" s="120"/>
      <c r="F15" s="120"/>
    </row>
    <row r="16" ht="16.5" customHeight="1">
      <c r="E16" s="120"/>
      <c r="F16" s="120"/>
    </row>
    <row r="17" ht="16.5" customHeight="1">
      <c r="E17" s="120"/>
      <c r="F17" s="120"/>
    </row>
    <row r="18" ht="16.5" customHeight="1">
      <c r="E18" s="120"/>
      <c r="F18" s="120"/>
    </row>
    <row r="19" ht="16.5" customHeight="1">
      <c r="E19" s="120"/>
      <c r="F19" s="120"/>
    </row>
    <row r="20" ht="16.5" customHeight="1">
      <c r="E20" s="120"/>
      <c r="F20" s="120"/>
    </row>
    <row r="21" ht="16.5" customHeight="1">
      <c r="E21" s="120"/>
      <c r="F21" s="120"/>
    </row>
    <row r="22" ht="16.5" customHeight="1">
      <c r="E22" s="120"/>
      <c r="F22" s="120"/>
    </row>
    <row r="23" ht="16.5" customHeight="1">
      <c r="E23" s="120"/>
      <c r="F23" s="120"/>
      <c r="I23" s="122">
        <v>95.0</v>
      </c>
    </row>
    <row r="24" ht="16.5" customHeight="1">
      <c r="E24" s="120"/>
      <c r="F24" s="120"/>
      <c r="I24" s="122">
        <v>20.0</v>
      </c>
      <c r="J24" s="123">
        <f>I24/I23</f>
        <v>0.2105263158</v>
      </c>
    </row>
    <row r="25" ht="16.5" customHeight="1">
      <c r="E25" s="120"/>
      <c r="F25" s="120"/>
    </row>
    <row r="26" ht="16.5" customHeight="1">
      <c r="E26" s="120"/>
      <c r="F26" s="120"/>
    </row>
    <row r="27" ht="16.5" customHeight="1">
      <c r="E27" s="120"/>
      <c r="F27" s="120"/>
    </row>
    <row r="28" ht="16.5" customHeight="1">
      <c r="E28" s="120"/>
      <c r="F28" s="120"/>
    </row>
    <row r="29" ht="16.5" customHeight="1">
      <c r="E29" s="120"/>
      <c r="F29" s="120"/>
    </row>
    <row r="30" ht="16.5" customHeight="1">
      <c r="E30" s="120"/>
      <c r="F30" s="120"/>
    </row>
    <row r="31" ht="16.5" customHeight="1">
      <c r="E31" s="120"/>
      <c r="F31" s="120"/>
    </row>
    <row r="32" ht="16.5" customHeight="1">
      <c r="E32" s="120"/>
      <c r="F32" s="120"/>
    </row>
    <row r="33" ht="16.5" customHeight="1">
      <c r="E33" s="120"/>
      <c r="F33" s="120"/>
    </row>
    <row r="34" ht="16.5" customHeight="1">
      <c r="E34" s="120"/>
      <c r="F34" s="120"/>
    </row>
    <row r="35" ht="16.5" customHeight="1">
      <c r="E35" s="120"/>
      <c r="F35" s="120"/>
    </row>
    <row r="36" ht="16.5" customHeight="1">
      <c r="E36" s="120"/>
      <c r="F36" s="120"/>
    </row>
    <row r="37" ht="16.5" customHeight="1">
      <c r="E37" s="120"/>
      <c r="F37" s="120"/>
    </row>
    <row r="38" ht="16.5" customHeight="1">
      <c r="E38" s="120"/>
      <c r="F38" s="120"/>
    </row>
    <row r="39" ht="16.5" customHeight="1">
      <c r="E39" s="120"/>
      <c r="F39" s="120"/>
    </row>
    <row r="40" ht="16.5" customHeight="1">
      <c r="E40" s="120"/>
      <c r="F40" s="120"/>
    </row>
    <row r="41" ht="16.5" customHeight="1">
      <c r="E41" s="120"/>
      <c r="F41" s="120"/>
    </row>
    <row r="42" ht="16.5" customHeight="1">
      <c r="E42" s="120"/>
      <c r="F42" s="120"/>
    </row>
    <row r="43" ht="16.5" customHeight="1">
      <c r="E43" s="120"/>
      <c r="F43" s="120"/>
    </row>
    <row r="44" ht="16.5" customHeight="1">
      <c r="E44" s="120"/>
      <c r="F44" s="120"/>
    </row>
    <row r="45" ht="16.5" customHeight="1">
      <c r="E45" s="120"/>
      <c r="F45" s="120"/>
    </row>
    <row r="46" ht="16.5" customHeight="1">
      <c r="E46" s="120"/>
      <c r="F46" s="120"/>
    </row>
    <row r="47" ht="16.5" customHeight="1">
      <c r="E47" s="120"/>
      <c r="F47" s="120"/>
    </row>
    <row r="48" ht="16.5" customHeight="1">
      <c r="E48" s="120"/>
      <c r="F48" s="120"/>
    </row>
    <row r="49" ht="16.5" customHeight="1">
      <c r="E49" s="120"/>
      <c r="F49" s="120"/>
    </row>
    <row r="50" ht="16.5" customHeight="1">
      <c r="E50" s="120"/>
      <c r="F50" s="120"/>
    </row>
    <row r="51" ht="16.5" customHeight="1">
      <c r="E51" s="120"/>
      <c r="F51" s="120"/>
    </row>
    <row r="52" ht="16.5" customHeight="1">
      <c r="E52" s="120"/>
      <c r="F52" s="120"/>
    </row>
    <row r="53" ht="16.5" customHeight="1">
      <c r="E53" s="120"/>
      <c r="F53" s="120"/>
    </row>
    <row r="54" ht="16.5" customHeight="1">
      <c r="E54" s="120"/>
      <c r="F54" s="120"/>
    </row>
    <row r="55" ht="16.5" customHeight="1">
      <c r="E55" s="120"/>
      <c r="F55" s="120"/>
    </row>
    <row r="56" ht="16.5" customHeight="1">
      <c r="E56" s="120"/>
      <c r="F56" s="120"/>
    </row>
    <row r="57" ht="16.5" customHeight="1">
      <c r="E57" s="120"/>
      <c r="F57" s="120"/>
    </row>
    <row r="58" ht="16.5" customHeight="1">
      <c r="E58" s="120"/>
      <c r="F58" s="120"/>
    </row>
    <row r="59" ht="16.5" customHeight="1">
      <c r="E59" s="120"/>
      <c r="F59" s="120"/>
    </row>
    <row r="60" ht="16.5" customHeight="1">
      <c r="E60" s="120"/>
      <c r="F60" s="120"/>
    </row>
    <row r="61" ht="16.5" customHeight="1">
      <c r="E61" s="120"/>
      <c r="F61" s="120"/>
    </row>
    <row r="62" ht="16.5" customHeight="1">
      <c r="E62" s="120"/>
      <c r="F62" s="120"/>
    </row>
    <row r="63" ht="16.5" customHeight="1">
      <c r="E63" s="120"/>
      <c r="F63" s="120"/>
    </row>
    <row r="64" ht="16.5" customHeight="1">
      <c r="E64" s="120"/>
      <c r="F64" s="120"/>
    </row>
    <row r="65" ht="16.5" customHeight="1">
      <c r="E65" s="120"/>
      <c r="F65" s="120"/>
    </row>
    <row r="66" ht="16.5" customHeight="1">
      <c r="E66" s="120"/>
      <c r="F66" s="120"/>
    </row>
    <row r="67" ht="16.5" customHeight="1">
      <c r="E67" s="120"/>
      <c r="F67" s="120"/>
    </row>
    <row r="68" ht="16.5" customHeight="1">
      <c r="E68" s="120"/>
      <c r="F68" s="120"/>
    </row>
    <row r="69" ht="16.5" customHeight="1">
      <c r="E69" s="120"/>
      <c r="F69" s="120"/>
    </row>
    <row r="70" ht="16.5" customHeight="1">
      <c r="E70" s="120"/>
      <c r="F70" s="120"/>
    </row>
    <row r="71" ht="16.5" customHeight="1">
      <c r="E71" s="120"/>
      <c r="F71" s="120"/>
    </row>
    <row r="72" ht="16.5" customHeight="1">
      <c r="E72" s="120"/>
      <c r="F72" s="120"/>
    </row>
    <row r="73" ht="16.5" customHeight="1">
      <c r="E73" s="120"/>
      <c r="F73" s="120"/>
    </row>
    <row r="74" ht="16.5" customHeight="1">
      <c r="E74" s="120"/>
      <c r="F74" s="120"/>
    </row>
    <row r="75" ht="16.5" customHeight="1">
      <c r="E75" s="120"/>
      <c r="F75" s="120"/>
    </row>
    <row r="76" ht="16.5" customHeight="1">
      <c r="E76" s="120"/>
      <c r="F76" s="120"/>
    </row>
    <row r="77" ht="16.5" customHeight="1">
      <c r="E77" s="120"/>
      <c r="F77" s="120"/>
    </row>
    <row r="78" ht="16.5" customHeight="1">
      <c r="E78" s="120"/>
      <c r="F78" s="120"/>
    </row>
    <row r="79" ht="16.5" customHeight="1">
      <c r="E79" s="120"/>
      <c r="F79" s="120"/>
    </row>
    <row r="80" ht="16.5" customHeight="1">
      <c r="E80" s="120"/>
      <c r="F80" s="120"/>
    </row>
    <row r="81" ht="16.5" customHeight="1">
      <c r="E81" s="120"/>
      <c r="F81" s="120"/>
    </row>
    <row r="82" ht="16.5" customHeight="1">
      <c r="E82" s="120"/>
      <c r="F82" s="120"/>
    </row>
    <row r="83" ht="16.5" customHeight="1">
      <c r="E83" s="120"/>
      <c r="F83" s="120"/>
    </row>
    <row r="84" ht="16.5" customHeight="1">
      <c r="E84" s="120"/>
      <c r="F84" s="120"/>
    </row>
    <row r="85" ht="16.5" customHeight="1">
      <c r="E85" s="120"/>
      <c r="F85" s="120"/>
    </row>
    <row r="86" ht="16.5" customHeight="1">
      <c r="E86" s="120"/>
      <c r="F86" s="120"/>
    </row>
    <row r="87" ht="16.5" customHeight="1">
      <c r="E87" s="120"/>
      <c r="F87" s="120"/>
    </row>
    <row r="88" ht="16.5" customHeight="1">
      <c r="E88" s="120"/>
      <c r="F88" s="120"/>
    </row>
    <row r="89" ht="16.5" customHeight="1">
      <c r="E89" s="120"/>
      <c r="F89" s="120"/>
    </row>
    <row r="90" ht="16.5" customHeight="1">
      <c r="E90" s="120"/>
      <c r="F90" s="120"/>
    </row>
    <row r="91" ht="16.5" customHeight="1">
      <c r="E91" s="120"/>
      <c r="F91" s="120"/>
    </row>
    <row r="92" ht="16.5" customHeight="1">
      <c r="E92" s="120"/>
      <c r="F92" s="120"/>
    </row>
    <row r="93" ht="16.5" customHeight="1">
      <c r="E93" s="120"/>
      <c r="F93" s="120"/>
    </row>
    <row r="94" ht="16.5" customHeight="1">
      <c r="E94" s="120"/>
      <c r="F94" s="120"/>
    </row>
    <row r="95" ht="16.5" customHeight="1">
      <c r="E95" s="120"/>
      <c r="F95" s="120"/>
    </row>
    <row r="96" ht="16.5" customHeight="1">
      <c r="E96" s="120"/>
      <c r="F96" s="120"/>
    </row>
    <row r="97" ht="16.5" customHeight="1">
      <c r="E97" s="120"/>
      <c r="F97" s="120"/>
    </row>
    <row r="98" ht="16.5" customHeight="1">
      <c r="E98" s="120"/>
      <c r="F98" s="120"/>
    </row>
    <row r="99" ht="16.5" customHeight="1">
      <c r="E99" s="120"/>
      <c r="F99" s="120"/>
    </row>
    <row r="100" ht="16.5" customHeight="1">
      <c r="E100" s="120"/>
      <c r="F100" s="120"/>
    </row>
    <row r="101" ht="16.5" customHeight="1">
      <c r="E101" s="120"/>
      <c r="F101" s="120"/>
    </row>
    <row r="102" ht="16.5" customHeight="1">
      <c r="E102" s="120"/>
      <c r="F102" s="120"/>
    </row>
    <row r="103" ht="16.5" customHeight="1">
      <c r="E103" s="120"/>
      <c r="F103" s="120"/>
    </row>
    <row r="104" ht="16.5" customHeight="1">
      <c r="E104" s="120"/>
      <c r="F104" s="120"/>
    </row>
    <row r="105" ht="16.5" customHeight="1">
      <c r="E105" s="120"/>
      <c r="F105" s="120"/>
    </row>
    <row r="106" ht="16.5" customHeight="1">
      <c r="E106" s="120"/>
      <c r="F106" s="120"/>
    </row>
    <row r="107" ht="16.5" customHeight="1">
      <c r="E107" s="120"/>
      <c r="F107" s="120"/>
    </row>
    <row r="108" ht="16.5" customHeight="1">
      <c r="E108" s="120"/>
      <c r="F108" s="120"/>
    </row>
    <row r="109" ht="16.5" customHeight="1">
      <c r="E109" s="120"/>
      <c r="F109" s="120"/>
    </row>
    <row r="110" ht="16.5" customHeight="1">
      <c r="E110" s="120"/>
      <c r="F110" s="120"/>
    </row>
    <row r="111" ht="16.5" customHeight="1">
      <c r="E111" s="120"/>
      <c r="F111" s="120"/>
    </row>
    <row r="112" ht="16.5" customHeight="1">
      <c r="E112" s="120"/>
      <c r="F112" s="120"/>
    </row>
    <row r="113" ht="16.5" customHeight="1">
      <c r="E113" s="120"/>
      <c r="F113" s="120"/>
    </row>
    <row r="114" ht="16.5" customHeight="1">
      <c r="E114" s="120"/>
      <c r="F114" s="120"/>
    </row>
    <row r="115" ht="16.5" customHeight="1">
      <c r="E115" s="120"/>
      <c r="F115" s="120"/>
    </row>
    <row r="116" ht="16.5" customHeight="1">
      <c r="E116" s="120"/>
      <c r="F116" s="120"/>
    </row>
    <row r="117" ht="16.5" customHeight="1">
      <c r="E117" s="120"/>
      <c r="F117" s="120"/>
    </row>
    <row r="118" ht="16.5" customHeight="1">
      <c r="E118" s="120"/>
      <c r="F118" s="120"/>
    </row>
    <row r="119" ht="16.5" customHeight="1">
      <c r="E119" s="120"/>
      <c r="F119" s="120"/>
    </row>
    <row r="120" ht="16.5" customHeight="1">
      <c r="E120" s="120"/>
      <c r="F120" s="120"/>
    </row>
    <row r="121" ht="16.5" customHeight="1">
      <c r="E121" s="120"/>
      <c r="F121" s="120"/>
    </row>
    <row r="122" ht="16.5" customHeight="1">
      <c r="E122" s="120"/>
      <c r="F122" s="120"/>
    </row>
    <row r="123" ht="16.5" customHeight="1">
      <c r="E123" s="120"/>
      <c r="F123" s="120"/>
    </row>
    <row r="124" ht="16.5" customHeight="1">
      <c r="E124" s="120"/>
      <c r="F124" s="120"/>
    </row>
    <row r="125" ht="16.5" customHeight="1">
      <c r="E125" s="120"/>
      <c r="F125" s="120"/>
    </row>
    <row r="126" ht="16.5" customHeight="1">
      <c r="E126" s="120"/>
      <c r="F126" s="120"/>
    </row>
    <row r="127" ht="16.5" customHeight="1">
      <c r="E127" s="120"/>
      <c r="F127" s="120"/>
    </row>
    <row r="128" ht="16.5" customHeight="1">
      <c r="E128" s="120"/>
      <c r="F128" s="120"/>
    </row>
    <row r="129" ht="16.5" customHeight="1">
      <c r="E129" s="120"/>
      <c r="F129" s="120"/>
    </row>
    <row r="130" ht="16.5" customHeight="1">
      <c r="E130" s="120"/>
      <c r="F130" s="120"/>
    </row>
    <row r="131" ht="16.5" customHeight="1">
      <c r="E131" s="120"/>
      <c r="F131" s="120"/>
    </row>
    <row r="132" ht="16.5" customHeight="1">
      <c r="E132" s="120"/>
      <c r="F132" s="120"/>
    </row>
    <row r="133" ht="16.5" customHeight="1">
      <c r="E133" s="120"/>
      <c r="F133" s="120"/>
    </row>
    <row r="134" ht="16.5" customHeight="1">
      <c r="E134" s="120"/>
      <c r="F134" s="120"/>
    </row>
    <row r="135" ht="16.5" customHeight="1">
      <c r="E135" s="120"/>
      <c r="F135" s="120"/>
    </row>
    <row r="136" ht="16.5" customHeight="1">
      <c r="E136" s="120"/>
      <c r="F136" s="120"/>
    </row>
    <row r="137" ht="16.5" customHeight="1">
      <c r="E137" s="120"/>
      <c r="F137" s="120"/>
    </row>
    <row r="138" ht="16.5" customHeight="1">
      <c r="E138" s="120"/>
      <c r="F138" s="120"/>
    </row>
    <row r="139" ht="16.5" customHeight="1">
      <c r="E139" s="120"/>
      <c r="F139" s="120"/>
    </row>
    <row r="140" ht="16.5" customHeight="1">
      <c r="E140" s="120"/>
      <c r="F140" s="120"/>
    </row>
    <row r="141" ht="16.5" customHeight="1">
      <c r="E141" s="120"/>
      <c r="F141" s="120"/>
    </row>
    <row r="142" ht="16.5" customHeight="1">
      <c r="E142" s="120"/>
      <c r="F142" s="120"/>
    </row>
    <row r="143" ht="16.5" customHeight="1">
      <c r="E143" s="120"/>
      <c r="F143" s="120"/>
    </row>
    <row r="144" ht="16.5" customHeight="1">
      <c r="E144" s="120"/>
      <c r="F144" s="120"/>
    </row>
    <row r="145" ht="16.5" customHeight="1">
      <c r="E145" s="120"/>
      <c r="F145" s="120"/>
    </row>
    <row r="146" ht="16.5" customHeight="1">
      <c r="E146" s="120"/>
      <c r="F146" s="120"/>
    </row>
    <row r="147" ht="16.5" customHeight="1">
      <c r="E147" s="120"/>
      <c r="F147" s="120"/>
    </row>
    <row r="148" ht="16.5" customHeight="1">
      <c r="E148" s="120"/>
      <c r="F148" s="120"/>
    </row>
    <row r="149" ht="16.5" customHeight="1">
      <c r="E149" s="120"/>
      <c r="F149" s="120"/>
    </row>
    <row r="150" ht="16.5" customHeight="1">
      <c r="E150" s="120"/>
      <c r="F150" s="120"/>
    </row>
    <row r="151" ht="16.5" customHeight="1">
      <c r="E151" s="120"/>
      <c r="F151" s="120"/>
    </row>
    <row r="152" ht="16.5" customHeight="1">
      <c r="E152" s="120"/>
      <c r="F152" s="120"/>
    </row>
    <row r="153" ht="16.5" customHeight="1">
      <c r="E153" s="120"/>
      <c r="F153" s="120"/>
    </row>
    <row r="154" ht="16.5" customHeight="1">
      <c r="E154" s="120"/>
      <c r="F154" s="120"/>
    </row>
    <row r="155" ht="16.5" customHeight="1">
      <c r="E155" s="120"/>
      <c r="F155" s="120"/>
    </row>
    <row r="156" ht="16.5" customHeight="1">
      <c r="E156" s="120"/>
      <c r="F156" s="120"/>
    </row>
    <row r="157" ht="16.5" customHeight="1">
      <c r="E157" s="120"/>
      <c r="F157" s="120"/>
    </row>
    <row r="158" ht="16.5" customHeight="1">
      <c r="E158" s="120"/>
      <c r="F158" s="120"/>
    </row>
    <row r="159" ht="16.5" customHeight="1">
      <c r="E159" s="120"/>
      <c r="F159" s="120"/>
    </row>
    <row r="160" ht="16.5" customHeight="1">
      <c r="E160" s="120"/>
      <c r="F160" s="120"/>
    </row>
    <row r="161" ht="16.5" customHeight="1">
      <c r="E161" s="120"/>
      <c r="F161" s="120"/>
    </row>
    <row r="162" ht="16.5" customHeight="1">
      <c r="E162" s="120"/>
      <c r="F162" s="120"/>
    </row>
    <row r="163" ht="16.5" customHeight="1">
      <c r="E163" s="120"/>
      <c r="F163" s="120"/>
    </row>
    <row r="164" ht="16.5" customHeight="1">
      <c r="E164" s="120"/>
      <c r="F164" s="120"/>
    </row>
    <row r="165" ht="16.5" customHeight="1">
      <c r="E165" s="120"/>
      <c r="F165" s="120"/>
    </row>
    <row r="166" ht="16.5" customHeight="1">
      <c r="E166" s="120"/>
      <c r="F166" s="120"/>
    </row>
    <row r="167" ht="16.5" customHeight="1">
      <c r="E167" s="120"/>
      <c r="F167" s="120"/>
    </row>
    <row r="168" ht="16.5" customHeight="1">
      <c r="E168" s="120"/>
      <c r="F168" s="120"/>
    </row>
    <row r="169" ht="16.5" customHeight="1">
      <c r="E169" s="120"/>
      <c r="F169" s="120"/>
    </row>
    <row r="170" ht="16.5" customHeight="1">
      <c r="E170" s="120"/>
      <c r="F170" s="120"/>
    </row>
    <row r="171" ht="16.5" customHeight="1">
      <c r="E171" s="120"/>
      <c r="F171" s="120"/>
    </row>
    <row r="172" ht="16.5" customHeight="1">
      <c r="E172" s="120"/>
      <c r="F172" s="120"/>
    </row>
    <row r="173" ht="16.5" customHeight="1">
      <c r="E173" s="120"/>
      <c r="F173" s="120"/>
    </row>
    <row r="174" ht="16.5" customHeight="1">
      <c r="E174" s="120"/>
      <c r="F174" s="120"/>
    </row>
    <row r="175" ht="16.5" customHeight="1">
      <c r="E175" s="120"/>
      <c r="F175" s="120"/>
    </row>
    <row r="176" ht="16.5" customHeight="1">
      <c r="E176" s="120"/>
      <c r="F176" s="120"/>
    </row>
    <row r="177" ht="16.5" customHeight="1">
      <c r="E177" s="120"/>
      <c r="F177" s="120"/>
    </row>
    <row r="178" ht="16.5" customHeight="1">
      <c r="E178" s="120"/>
      <c r="F178" s="120"/>
    </row>
    <row r="179" ht="16.5" customHeight="1">
      <c r="E179" s="120"/>
      <c r="F179" s="120"/>
    </row>
    <row r="180" ht="16.5" customHeight="1">
      <c r="E180" s="120"/>
      <c r="F180" s="120"/>
    </row>
    <row r="181" ht="16.5" customHeight="1">
      <c r="E181" s="120"/>
      <c r="F181" s="120"/>
    </row>
    <row r="182" ht="16.5" customHeight="1">
      <c r="E182" s="120"/>
      <c r="F182" s="120"/>
    </row>
    <row r="183" ht="16.5" customHeight="1">
      <c r="E183" s="120"/>
      <c r="F183" s="120"/>
    </row>
    <row r="184" ht="16.5" customHeight="1">
      <c r="E184" s="120"/>
      <c r="F184" s="120"/>
    </row>
    <row r="185" ht="16.5" customHeight="1">
      <c r="E185" s="120"/>
      <c r="F185" s="120"/>
    </row>
    <row r="186" ht="16.5" customHeight="1">
      <c r="E186" s="120"/>
      <c r="F186" s="120"/>
    </row>
    <row r="187" ht="16.5" customHeight="1">
      <c r="E187" s="120"/>
      <c r="F187" s="120"/>
    </row>
    <row r="188" ht="16.5" customHeight="1">
      <c r="E188" s="120"/>
      <c r="F188" s="120"/>
    </row>
    <row r="189" ht="16.5" customHeight="1">
      <c r="E189" s="120"/>
      <c r="F189" s="120"/>
    </row>
    <row r="190" ht="16.5" customHeight="1">
      <c r="E190" s="120"/>
      <c r="F190" s="120"/>
    </row>
    <row r="191" ht="16.5" customHeight="1">
      <c r="E191" s="120"/>
      <c r="F191" s="120"/>
    </row>
    <row r="192" ht="16.5" customHeight="1">
      <c r="E192" s="120"/>
      <c r="F192" s="120"/>
    </row>
    <row r="193" ht="16.5" customHeight="1">
      <c r="E193" s="120"/>
      <c r="F193" s="120"/>
    </row>
    <row r="194" ht="16.5" customHeight="1">
      <c r="E194" s="120"/>
      <c r="F194" s="120"/>
    </row>
    <row r="195" ht="16.5" customHeight="1">
      <c r="E195" s="120"/>
      <c r="F195" s="120"/>
    </row>
    <row r="196" ht="16.5" customHeight="1">
      <c r="E196" s="120"/>
      <c r="F196" s="120"/>
    </row>
    <row r="197" ht="16.5" customHeight="1">
      <c r="E197" s="120"/>
      <c r="F197" s="120"/>
    </row>
    <row r="198" ht="16.5" customHeight="1">
      <c r="E198" s="120"/>
      <c r="F198" s="120"/>
    </row>
    <row r="199" ht="16.5" customHeight="1">
      <c r="E199" s="120"/>
      <c r="F199" s="120"/>
    </row>
    <row r="200" ht="16.5" customHeight="1">
      <c r="E200" s="120"/>
      <c r="F200" s="120"/>
    </row>
    <row r="201" ht="16.5" customHeight="1">
      <c r="E201" s="120"/>
      <c r="F201" s="120"/>
    </row>
    <row r="202" ht="16.5" customHeight="1">
      <c r="E202" s="120"/>
      <c r="F202" s="120"/>
    </row>
    <row r="203" ht="16.5" customHeight="1">
      <c r="E203" s="120"/>
      <c r="F203" s="120"/>
    </row>
    <row r="204" ht="16.5" customHeight="1">
      <c r="E204" s="120"/>
      <c r="F204" s="120"/>
    </row>
    <row r="205" ht="16.5" customHeight="1">
      <c r="E205" s="120"/>
      <c r="F205" s="120"/>
    </row>
    <row r="206" ht="16.5" customHeight="1">
      <c r="E206" s="120"/>
      <c r="F206" s="120"/>
    </row>
    <row r="207" ht="16.5" customHeight="1">
      <c r="E207" s="120"/>
      <c r="F207" s="120"/>
    </row>
    <row r="208" ht="16.5" customHeight="1">
      <c r="E208" s="120"/>
      <c r="F208" s="120"/>
    </row>
    <row r="209" ht="16.5" customHeight="1">
      <c r="E209" s="120"/>
      <c r="F209" s="120"/>
    </row>
    <row r="210" ht="16.5" customHeight="1">
      <c r="E210" s="120"/>
      <c r="F210" s="120"/>
    </row>
    <row r="211" ht="16.5" customHeight="1">
      <c r="E211" s="120"/>
      <c r="F211" s="120"/>
    </row>
    <row r="212" ht="16.5" customHeight="1">
      <c r="E212" s="120"/>
      <c r="F212" s="120"/>
    </row>
    <row r="213" ht="16.5" customHeight="1">
      <c r="E213" s="120"/>
      <c r="F213" s="120"/>
    </row>
    <row r="214" ht="16.5" customHeight="1">
      <c r="E214" s="120"/>
      <c r="F214" s="120"/>
    </row>
    <row r="215" ht="16.5" customHeight="1">
      <c r="E215" s="120"/>
      <c r="F215" s="120"/>
    </row>
    <row r="216" ht="16.5" customHeight="1">
      <c r="E216" s="120"/>
      <c r="F216" s="120"/>
    </row>
    <row r="217" ht="16.5" customHeight="1">
      <c r="E217" s="120"/>
      <c r="F217" s="120"/>
    </row>
    <row r="218" ht="16.5" customHeight="1">
      <c r="E218" s="120"/>
      <c r="F218" s="120"/>
    </row>
    <row r="219" ht="16.5" customHeight="1">
      <c r="E219" s="120"/>
      <c r="F219" s="120"/>
    </row>
    <row r="220" ht="16.5" customHeight="1">
      <c r="E220" s="120"/>
      <c r="F220" s="120"/>
    </row>
    <row r="221" ht="16.5" customHeight="1">
      <c r="E221" s="120"/>
      <c r="F221" s="120"/>
    </row>
    <row r="222" ht="16.5" customHeight="1">
      <c r="E222" s="120"/>
      <c r="F222" s="120"/>
    </row>
    <row r="223" ht="16.5" customHeight="1">
      <c r="E223" s="120"/>
      <c r="F223" s="120"/>
    </row>
    <row r="224" ht="16.5" customHeight="1">
      <c r="E224" s="120"/>
      <c r="F224" s="120"/>
    </row>
    <row r="225" ht="16.5" customHeight="1">
      <c r="E225" s="120"/>
      <c r="F225" s="120"/>
    </row>
    <row r="226" ht="16.5" customHeight="1">
      <c r="E226" s="120"/>
      <c r="F226" s="120"/>
    </row>
    <row r="227" ht="16.5" customHeight="1">
      <c r="E227" s="120"/>
      <c r="F227" s="120"/>
    </row>
    <row r="228" ht="16.5" customHeight="1">
      <c r="E228" s="120"/>
      <c r="F228" s="120"/>
    </row>
    <row r="229" ht="16.5" customHeight="1">
      <c r="E229" s="120"/>
      <c r="F229" s="120"/>
    </row>
    <row r="230" ht="16.5" customHeight="1">
      <c r="E230" s="120"/>
      <c r="F230" s="120"/>
    </row>
    <row r="231" ht="16.5" customHeight="1">
      <c r="E231" s="120"/>
      <c r="F231" s="120"/>
    </row>
    <row r="232" ht="16.5" customHeight="1">
      <c r="E232" s="120"/>
      <c r="F232" s="120"/>
    </row>
    <row r="233" ht="16.5" customHeight="1">
      <c r="E233" s="120"/>
      <c r="F233" s="120"/>
    </row>
    <row r="234" ht="16.5" customHeight="1">
      <c r="E234" s="120"/>
      <c r="F234" s="120"/>
    </row>
    <row r="235" ht="16.5" customHeight="1">
      <c r="E235" s="120"/>
      <c r="F235" s="120"/>
    </row>
    <row r="236" ht="16.5" customHeight="1">
      <c r="E236" s="120"/>
      <c r="F236" s="120"/>
    </row>
    <row r="237" ht="16.5" customHeight="1">
      <c r="E237" s="120"/>
      <c r="F237" s="120"/>
    </row>
    <row r="238" ht="16.5" customHeight="1">
      <c r="E238" s="120"/>
      <c r="F238" s="120"/>
    </row>
    <row r="239" ht="16.5" customHeight="1">
      <c r="E239" s="120"/>
      <c r="F239" s="120"/>
    </row>
    <row r="240" ht="16.5" customHeight="1">
      <c r="E240" s="120"/>
      <c r="F240" s="120"/>
    </row>
    <row r="241" ht="16.5" customHeight="1">
      <c r="E241" s="120"/>
      <c r="F241" s="120"/>
    </row>
    <row r="242" ht="16.5" customHeight="1">
      <c r="E242" s="120"/>
      <c r="F242" s="120"/>
    </row>
    <row r="243" ht="16.5" customHeight="1">
      <c r="E243" s="120"/>
      <c r="F243" s="120"/>
    </row>
    <row r="244" ht="16.5" customHeight="1">
      <c r="E244" s="120"/>
      <c r="F244" s="120"/>
    </row>
    <row r="245" ht="16.5" customHeight="1">
      <c r="E245" s="120"/>
      <c r="F245" s="120"/>
    </row>
    <row r="246" ht="16.5" customHeight="1">
      <c r="E246" s="120"/>
      <c r="F246" s="120"/>
    </row>
    <row r="247" ht="16.5" customHeight="1">
      <c r="E247" s="120"/>
      <c r="F247" s="120"/>
    </row>
    <row r="248" ht="16.5" customHeight="1">
      <c r="E248" s="120"/>
      <c r="F248" s="120"/>
    </row>
    <row r="249" ht="16.5" customHeight="1">
      <c r="E249" s="120"/>
      <c r="F249" s="120"/>
    </row>
    <row r="250" ht="16.5" customHeight="1">
      <c r="E250" s="120"/>
      <c r="F250" s="120"/>
    </row>
    <row r="251" ht="16.5" customHeight="1">
      <c r="E251" s="120"/>
      <c r="F251" s="120"/>
    </row>
    <row r="252" ht="16.5" customHeight="1">
      <c r="E252" s="120"/>
      <c r="F252" s="120"/>
    </row>
    <row r="253" ht="16.5" customHeight="1">
      <c r="E253" s="120"/>
      <c r="F253" s="120"/>
    </row>
    <row r="254" ht="16.5" customHeight="1">
      <c r="E254" s="120"/>
      <c r="F254" s="120"/>
    </row>
    <row r="255" ht="16.5" customHeight="1">
      <c r="E255" s="120"/>
      <c r="F255" s="120"/>
    </row>
    <row r="256" ht="16.5" customHeight="1">
      <c r="E256" s="120"/>
      <c r="F256" s="120"/>
    </row>
    <row r="257" ht="16.5" customHeight="1">
      <c r="E257" s="120"/>
      <c r="F257" s="120"/>
    </row>
    <row r="258" ht="16.5" customHeight="1">
      <c r="E258" s="120"/>
      <c r="F258" s="120"/>
    </row>
    <row r="259" ht="16.5" customHeight="1">
      <c r="E259" s="120"/>
      <c r="F259" s="120"/>
    </row>
    <row r="260" ht="16.5" customHeight="1">
      <c r="E260" s="120"/>
      <c r="F260" s="120"/>
    </row>
    <row r="261" ht="16.5" customHeight="1">
      <c r="E261" s="120"/>
      <c r="F261" s="120"/>
    </row>
    <row r="262" ht="16.5" customHeight="1">
      <c r="E262" s="120"/>
      <c r="F262" s="120"/>
    </row>
    <row r="263" ht="16.5" customHeight="1">
      <c r="E263" s="120"/>
      <c r="F263" s="120"/>
    </row>
    <row r="264" ht="16.5" customHeight="1">
      <c r="E264" s="120"/>
      <c r="F264" s="120"/>
    </row>
    <row r="265" ht="16.5" customHeight="1">
      <c r="E265" s="120"/>
      <c r="F265" s="120"/>
    </row>
    <row r="266" ht="16.5" customHeight="1">
      <c r="E266" s="120"/>
      <c r="F266" s="120"/>
    </row>
    <row r="267" ht="16.5" customHeight="1">
      <c r="E267" s="120"/>
      <c r="F267" s="120"/>
    </row>
    <row r="268" ht="16.5" customHeight="1">
      <c r="E268" s="120"/>
      <c r="F268" s="120"/>
    </row>
    <row r="269" ht="16.5" customHeight="1">
      <c r="E269" s="120"/>
      <c r="F269" s="120"/>
    </row>
    <row r="270" ht="16.5" customHeight="1">
      <c r="E270" s="120"/>
      <c r="F270" s="120"/>
    </row>
    <row r="271" ht="16.5" customHeight="1">
      <c r="E271" s="120"/>
      <c r="F271" s="120"/>
    </row>
    <row r="272" ht="16.5" customHeight="1">
      <c r="E272" s="120"/>
      <c r="F272" s="120"/>
    </row>
    <row r="273" ht="16.5" customHeight="1">
      <c r="E273" s="120"/>
      <c r="F273" s="120"/>
    </row>
    <row r="274" ht="16.5" customHeight="1">
      <c r="E274" s="120"/>
      <c r="F274" s="120"/>
    </row>
    <row r="275" ht="16.5" customHeight="1">
      <c r="E275" s="120"/>
      <c r="F275" s="120"/>
    </row>
    <row r="276" ht="16.5" customHeight="1">
      <c r="E276" s="120"/>
      <c r="F276" s="120"/>
    </row>
    <row r="277" ht="16.5" customHeight="1">
      <c r="E277" s="120"/>
      <c r="F277" s="120"/>
    </row>
    <row r="278" ht="16.5" customHeight="1">
      <c r="E278" s="120"/>
      <c r="F278" s="120"/>
    </row>
    <row r="279" ht="16.5" customHeight="1">
      <c r="E279" s="120"/>
      <c r="F279" s="120"/>
    </row>
    <row r="280" ht="16.5" customHeight="1">
      <c r="E280" s="120"/>
      <c r="F280" s="120"/>
    </row>
    <row r="281" ht="16.5" customHeight="1">
      <c r="E281" s="120"/>
      <c r="F281" s="120"/>
    </row>
    <row r="282" ht="16.5" customHeight="1">
      <c r="E282" s="120"/>
      <c r="F282" s="120"/>
    </row>
    <row r="283" ht="16.5" customHeight="1">
      <c r="E283" s="120"/>
      <c r="F283" s="120"/>
    </row>
    <row r="284" ht="16.5" customHeight="1">
      <c r="E284" s="120"/>
      <c r="F284" s="120"/>
    </row>
    <row r="285" ht="16.5" customHeight="1">
      <c r="E285" s="120"/>
      <c r="F285" s="120"/>
    </row>
    <row r="286" ht="16.5" customHeight="1">
      <c r="E286" s="120"/>
      <c r="F286" s="120"/>
    </row>
    <row r="287" ht="16.5" customHeight="1">
      <c r="E287" s="120"/>
      <c r="F287" s="120"/>
    </row>
    <row r="288" ht="16.5" customHeight="1">
      <c r="E288" s="120"/>
      <c r="F288" s="120"/>
    </row>
    <row r="289" ht="16.5" customHeight="1">
      <c r="E289" s="120"/>
      <c r="F289" s="120"/>
    </row>
    <row r="290" ht="16.5" customHeight="1">
      <c r="E290" s="120"/>
      <c r="F290" s="120"/>
    </row>
    <row r="291" ht="16.5" customHeight="1">
      <c r="E291" s="120"/>
      <c r="F291" s="120"/>
    </row>
    <row r="292" ht="16.5" customHeight="1">
      <c r="E292" s="120"/>
      <c r="F292" s="120"/>
    </row>
    <row r="293" ht="16.5" customHeight="1">
      <c r="E293" s="120"/>
      <c r="F293" s="120"/>
    </row>
    <row r="294" ht="16.5" customHeight="1">
      <c r="E294" s="120"/>
      <c r="F294" s="120"/>
    </row>
    <row r="295" ht="16.5" customHeight="1">
      <c r="E295" s="120"/>
      <c r="F295" s="120"/>
    </row>
    <row r="296" ht="16.5" customHeight="1">
      <c r="E296" s="120"/>
      <c r="F296" s="120"/>
    </row>
    <row r="297" ht="16.5" customHeight="1">
      <c r="E297" s="120"/>
      <c r="F297" s="120"/>
    </row>
    <row r="298" ht="16.5" customHeight="1">
      <c r="E298" s="120"/>
      <c r="F298" s="120"/>
    </row>
    <row r="299" ht="16.5" customHeight="1">
      <c r="E299" s="120"/>
      <c r="F299" s="120"/>
    </row>
    <row r="300" ht="16.5" customHeight="1">
      <c r="E300" s="120"/>
      <c r="F300" s="120"/>
    </row>
    <row r="301" ht="16.5" customHeight="1">
      <c r="E301" s="120"/>
      <c r="F301" s="120"/>
    </row>
    <row r="302" ht="16.5" customHeight="1">
      <c r="E302" s="120"/>
      <c r="F302" s="120"/>
    </row>
    <row r="303" ht="16.5" customHeight="1">
      <c r="E303" s="120"/>
      <c r="F303" s="120"/>
    </row>
    <row r="304" ht="16.5" customHeight="1">
      <c r="E304" s="120"/>
      <c r="F304" s="120"/>
    </row>
    <row r="305" ht="16.5" customHeight="1">
      <c r="E305" s="120"/>
      <c r="F305" s="120"/>
    </row>
    <row r="306" ht="16.5" customHeight="1">
      <c r="E306" s="120"/>
      <c r="F306" s="120"/>
    </row>
    <row r="307" ht="16.5" customHeight="1">
      <c r="E307" s="120"/>
      <c r="F307" s="120"/>
    </row>
    <row r="308" ht="16.5" customHeight="1">
      <c r="E308" s="120"/>
      <c r="F308" s="120"/>
    </row>
    <row r="309" ht="16.5" customHeight="1">
      <c r="E309" s="120"/>
      <c r="F309" s="120"/>
    </row>
    <row r="310" ht="16.5" customHeight="1">
      <c r="E310" s="120"/>
      <c r="F310" s="120"/>
    </row>
    <row r="311" ht="16.5" customHeight="1">
      <c r="E311" s="120"/>
      <c r="F311" s="120"/>
    </row>
    <row r="312" ht="16.5" customHeight="1">
      <c r="E312" s="120"/>
      <c r="F312" s="120"/>
    </row>
    <row r="313" ht="16.5" customHeight="1">
      <c r="E313" s="120"/>
      <c r="F313" s="120"/>
    </row>
    <row r="314" ht="16.5" customHeight="1">
      <c r="E314" s="120"/>
      <c r="F314" s="120"/>
    </row>
    <row r="315" ht="16.5" customHeight="1">
      <c r="E315" s="120"/>
      <c r="F315" s="120"/>
    </row>
    <row r="316" ht="16.5" customHeight="1">
      <c r="E316" s="120"/>
      <c r="F316" s="120"/>
    </row>
    <row r="317" ht="16.5" customHeight="1">
      <c r="E317" s="120"/>
      <c r="F317" s="120"/>
    </row>
    <row r="318" ht="16.5" customHeight="1">
      <c r="E318" s="120"/>
      <c r="F318" s="120"/>
    </row>
    <row r="319" ht="16.5" customHeight="1">
      <c r="E319" s="120"/>
      <c r="F319" s="120"/>
    </row>
    <row r="320" ht="16.5" customHeight="1">
      <c r="E320" s="120"/>
      <c r="F320" s="120"/>
    </row>
    <row r="321" ht="16.5" customHeight="1">
      <c r="E321" s="120"/>
      <c r="F321" s="120"/>
    </row>
    <row r="322" ht="16.5" customHeight="1">
      <c r="E322" s="120"/>
      <c r="F322" s="120"/>
    </row>
    <row r="323" ht="16.5" customHeight="1">
      <c r="E323" s="120"/>
      <c r="F323" s="120"/>
    </row>
    <row r="324" ht="16.5" customHeight="1">
      <c r="E324" s="120"/>
      <c r="F324" s="120"/>
    </row>
    <row r="325" ht="16.5" customHeight="1">
      <c r="E325" s="120"/>
      <c r="F325" s="120"/>
    </row>
    <row r="326" ht="16.5" customHeight="1">
      <c r="E326" s="120"/>
      <c r="F326" s="120"/>
    </row>
    <row r="327" ht="16.5" customHeight="1">
      <c r="E327" s="120"/>
      <c r="F327" s="120"/>
    </row>
    <row r="328" ht="16.5" customHeight="1">
      <c r="E328" s="120"/>
      <c r="F328" s="120"/>
    </row>
    <row r="329" ht="16.5" customHeight="1">
      <c r="E329" s="120"/>
      <c r="F329" s="120"/>
    </row>
    <row r="330" ht="16.5" customHeight="1">
      <c r="E330" s="120"/>
      <c r="F330" s="120"/>
    </row>
    <row r="331" ht="16.5" customHeight="1">
      <c r="E331" s="120"/>
      <c r="F331" s="120"/>
    </row>
    <row r="332" ht="16.5" customHeight="1">
      <c r="E332" s="120"/>
      <c r="F332" s="120"/>
    </row>
    <row r="333" ht="16.5" customHeight="1">
      <c r="E333" s="120"/>
      <c r="F333" s="120"/>
    </row>
    <row r="334" ht="16.5" customHeight="1">
      <c r="E334" s="120"/>
      <c r="F334" s="120"/>
    </row>
    <row r="335" ht="16.5" customHeight="1">
      <c r="E335" s="120"/>
      <c r="F335" s="120"/>
    </row>
    <row r="336" ht="16.5" customHeight="1">
      <c r="E336" s="120"/>
      <c r="F336" s="120"/>
    </row>
    <row r="337" ht="16.5" customHeight="1">
      <c r="E337" s="120"/>
      <c r="F337" s="120"/>
    </row>
    <row r="338" ht="16.5" customHeight="1">
      <c r="E338" s="120"/>
      <c r="F338" s="120"/>
    </row>
    <row r="339" ht="16.5" customHeight="1">
      <c r="E339" s="120"/>
      <c r="F339" s="120"/>
    </row>
    <row r="340" ht="16.5" customHeight="1">
      <c r="E340" s="120"/>
      <c r="F340" s="120"/>
    </row>
    <row r="341" ht="16.5" customHeight="1">
      <c r="E341" s="120"/>
      <c r="F341" s="120"/>
    </row>
    <row r="342" ht="16.5" customHeight="1">
      <c r="E342" s="120"/>
      <c r="F342" s="120"/>
    </row>
    <row r="343" ht="16.5" customHeight="1">
      <c r="E343" s="120"/>
      <c r="F343" s="120"/>
    </row>
    <row r="344" ht="16.5" customHeight="1">
      <c r="E344" s="120"/>
      <c r="F344" s="120"/>
    </row>
    <row r="345" ht="16.5" customHeight="1">
      <c r="E345" s="120"/>
      <c r="F345" s="120"/>
    </row>
    <row r="346" ht="16.5" customHeight="1">
      <c r="E346" s="120"/>
      <c r="F346" s="120"/>
    </row>
    <row r="347" ht="16.5" customHeight="1">
      <c r="E347" s="120"/>
      <c r="F347" s="120"/>
    </row>
    <row r="348" ht="16.5" customHeight="1">
      <c r="E348" s="120"/>
      <c r="F348" s="120"/>
    </row>
    <row r="349" ht="16.5" customHeight="1">
      <c r="E349" s="120"/>
      <c r="F349" s="120"/>
    </row>
    <row r="350" ht="16.5" customHeight="1">
      <c r="E350" s="120"/>
      <c r="F350" s="120"/>
    </row>
    <row r="351" ht="16.5" customHeight="1">
      <c r="E351" s="120"/>
      <c r="F351" s="120"/>
    </row>
    <row r="352" ht="16.5" customHeight="1">
      <c r="E352" s="120"/>
      <c r="F352" s="120"/>
    </row>
    <row r="353" ht="16.5" customHeight="1">
      <c r="E353" s="120"/>
      <c r="F353" s="120"/>
    </row>
    <row r="354" ht="16.5" customHeight="1">
      <c r="E354" s="120"/>
      <c r="F354" s="120"/>
    </row>
    <row r="355" ht="16.5" customHeight="1">
      <c r="E355" s="120"/>
      <c r="F355" s="120"/>
    </row>
    <row r="356" ht="16.5" customHeight="1">
      <c r="E356" s="120"/>
      <c r="F356" s="120"/>
    </row>
    <row r="357" ht="16.5" customHeight="1">
      <c r="E357" s="120"/>
      <c r="F357" s="120"/>
    </row>
    <row r="358" ht="16.5" customHeight="1">
      <c r="E358" s="120"/>
      <c r="F358" s="120"/>
    </row>
    <row r="359" ht="16.5" customHeight="1">
      <c r="E359" s="120"/>
      <c r="F359" s="120"/>
    </row>
    <row r="360" ht="16.5" customHeight="1">
      <c r="E360" s="120"/>
      <c r="F360" s="120"/>
    </row>
    <row r="361" ht="16.5" customHeight="1">
      <c r="E361" s="120"/>
      <c r="F361" s="120"/>
    </row>
    <row r="362" ht="16.5" customHeight="1">
      <c r="E362" s="120"/>
      <c r="F362" s="120"/>
    </row>
    <row r="363" ht="16.5" customHeight="1">
      <c r="E363" s="120"/>
      <c r="F363" s="120"/>
    </row>
    <row r="364" ht="16.5" customHeight="1">
      <c r="E364" s="120"/>
      <c r="F364" s="120"/>
    </row>
    <row r="365" ht="16.5" customHeight="1">
      <c r="E365" s="120"/>
      <c r="F365" s="120"/>
    </row>
    <row r="366" ht="16.5" customHeight="1">
      <c r="E366" s="120"/>
      <c r="F366" s="120"/>
    </row>
    <row r="367" ht="16.5" customHeight="1">
      <c r="E367" s="120"/>
      <c r="F367" s="120"/>
    </row>
    <row r="368" ht="16.5" customHeight="1">
      <c r="E368" s="120"/>
      <c r="F368" s="120"/>
    </row>
    <row r="369" ht="16.5" customHeight="1">
      <c r="E369" s="120"/>
      <c r="F369" s="120"/>
    </row>
    <row r="370" ht="16.5" customHeight="1">
      <c r="E370" s="120"/>
      <c r="F370" s="120"/>
    </row>
    <row r="371" ht="16.5" customHeight="1">
      <c r="E371" s="120"/>
      <c r="F371" s="120"/>
    </row>
    <row r="372" ht="16.5" customHeight="1">
      <c r="E372" s="120"/>
      <c r="F372" s="120"/>
    </row>
    <row r="373" ht="16.5" customHeight="1">
      <c r="E373" s="120"/>
      <c r="F373" s="120"/>
    </row>
    <row r="374" ht="16.5" customHeight="1">
      <c r="E374" s="120"/>
      <c r="F374" s="120"/>
    </row>
    <row r="375" ht="16.5" customHeight="1">
      <c r="E375" s="120"/>
      <c r="F375" s="120"/>
    </row>
    <row r="376" ht="16.5" customHeight="1">
      <c r="E376" s="120"/>
      <c r="F376" s="120"/>
    </row>
    <row r="377" ht="16.5" customHeight="1">
      <c r="E377" s="120"/>
      <c r="F377" s="120"/>
    </row>
    <row r="378" ht="16.5" customHeight="1">
      <c r="E378" s="120"/>
      <c r="F378" s="120"/>
    </row>
    <row r="379" ht="16.5" customHeight="1">
      <c r="E379" s="120"/>
      <c r="F379" s="120"/>
    </row>
    <row r="380" ht="16.5" customHeight="1">
      <c r="E380" s="120"/>
      <c r="F380" s="120"/>
    </row>
    <row r="381" ht="16.5" customHeight="1">
      <c r="E381" s="120"/>
      <c r="F381" s="120"/>
    </row>
    <row r="382" ht="16.5" customHeight="1">
      <c r="E382" s="120"/>
      <c r="F382" s="120"/>
    </row>
    <row r="383" ht="16.5" customHeight="1">
      <c r="E383" s="120"/>
      <c r="F383" s="120"/>
    </row>
    <row r="384" ht="16.5" customHeight="1">
      <c r="E384" s="120"/>
      <c r="F384" s="120"/>
    </row>
    <row r="385" ht="16.5" customHeight="1">
      <c r="E385" s="120"/>
      <c r="F385" s="120"/>
    </row>
    <row r="386" ht="16.5" customHeight="1">
      <c r="E386" s="120"/>
      <c r="F386" s="120"/>
    </row>
    <row r="387" ht="16.5" customHeight="1">
      <c r="E387" s="120"/>
      <c r="F387" s="120"/>
    </row>
    <row r="388" ht="16.5" customHeight="1">
      <c r="E388" s="120"/>
      <c r="F388" s="120"/>
    </row>
    <row r="389" ht="16.5" customHeight="1">
      <c r="E389" s="120"/>
      <c r="F389" s="120"/>
    </row>
    <row r="390" ht="16.5" customHeight="1">
      <c r="E390" s="120"/>
      <c r="F390" s="120"/>
    </row>
    <row r="391" ht="16.5" customHeight="1">
      <c r="E391" s="120"/>
      <c r="F391" s="120"/>
    </row>
    <row r="392" ht="16.5" customHeight="1">
      <c r="E392" s="120"/>
      <c r="F392" s="120"/>
    </row>
    <row r="393" ht="16.5" customHeight="1">
      <c r="E393" s="120"/>
      <c r="F393" s="120"/>
    </row>
    <row r="394" ht="16.5" customHeight="1">
      <c r="E394" s="120"/>
      <c r="F394" s="120"/>
    </row>
    <row r="395" ht="16.5" customHeight="1">
      <c r="E395" s="120"/>
      <c r="F395" s="120"/>
    </row>
    <row r="396" ht="16.5" customHeight="1">
      <c r="E396" s="120"/>
      <c r="F396" s="120"/>
    </row>
    <row r="397" ht="16.5" customHeight="1">
      <c r="E397" s="120"/>
      <c r="F397" s="120"/>
    </row>
    <row r="398" ht="16.5" customHeight="1">
      <c r="E398" s="120"/>
      <c r="F398" s="120"/>
    </row>
    <row r="399" ht="16.5" customHeight="1">
      <c r="E399" s="120"/>
      <c r="F399" s="120"/>
    </row>
    <row r="400" ht="16.5" customHeight="1">
      <c r="E400" s="120"/>
      <c r="F400" s="120"/>
    </row>
    <row r="401" ht="16.5" customHeight="1">
      <c r="E401" s="120"/>
      <c r="F401" s="120"/>
    </row>
    <row r="402" ht="16.5" customHeight="1">
      <c r="E402" s="120"/>
      <c r="F402" s="120"/>
    </row>
    <row r="403" ht="16.5" customHeight="1">
      <c r="E403" s="120"/>
      <c r="F403" s="120"/>
    </row>
    <row r="404" ht="16.5" customHeight="1">
      <c r="E404" s="120"/>
      <c r="F404" s="120"/>
    </row>
    <row r="405" ht="16.5" customHeight="1">
      <c r="E405" s="120"/>
      <c r="F405" s="120"/>
    </row>
    <row r="406" ht="16.5" customHeight="1">
      <c r="E406" s="120"/>
      <c r="F406" s="120"/>
    </row>
    <row r="407" ht="16.5" customHeight="1">
      <c r="E407" s="120"/>
      <c r="F407" s="120"/>
    </row>
    <row r="408" ht="16.5" customHeight="1">
      <c r="E408" s="120"/>
      <c r="F408" s="120"/>
    </row>
    <row r="409" ht="16.5" customHeight="1">
      <c r="E409" s="120"/>
      <c r="F409" s="120"/>
    </row>
    <row r="410" ht="16.5" customHeight="1">
      <c r="E410" s="120"/>
      <c r="F410" s="120"/>
    </row>
    <row r="411" ht="16.5" customHeight="1">
      <c r="E411" s="120"/>
      <c r="F411" s="120"/>
    </row>
    <row r="412" ht="16.5" customHeight="1">
      <c r="E412" s="120"/>
      <c r="F412" s="120"/>
    </row>
    <row r="413" ht="16.5" customHeight="1">
      <c r="E413" s="120"/>
      <c r="F413" s="120"/>
    </row>
    <row r="414" ht="16.5" customHeight="1">
      <c r="E414" s="120"/>
      <c r="F414" s="120"/>
    </row>
    <row r="415" ht="16.5" customHeight="1">
      <c r="E415" s="120"/>
      <c r="F415" s="120"/>
    </row>
    <row r="416" ht="16.5" customHeight="1">
      <c r="E416" s="120"/>
      <c r="F416" s="120"/>
    </row>
    <row r="417" ht="16.5" customHeight="1">
      <c r="E417" s="120"/>
      <c r="F417" s="120"/>
    </row>
    <row r="418" ht="16.5" customHeight="1">
      <c r="E418" s="120"/>
      <c r="F418" s="120"/>
    </row>
    <row r="419" ht="16.5" customHeight="1">
      <c r="E419" s="120"/>
      <c r="F419" s="120"/>
    </row>
    <row r="420" ht="16.5" customHeight="1">
      <c r="E420" s="120"/>
      <c r="F420" s="120"/>
    </row>
    <row r="421" ht="16.5" customHeight="1">
      <c r="E421" s="120"/>
      <c r="F421" s="120"/>
    </row>
    <row r="422" ht="16.5" customHeight="1">
      <c r="E422" s="120"/>
      <c r="F422" s="120"/>
    </row>
    <row r="423" ht="16.5" customHeight="1">
      <c r="E423" s="120"/>
      <c r="F423" s="120"/>
    </row>
    <row r="424" ht="16.5" customHeight="1">
      <c r="E424" s="120"/>
      <c r="F424" s="120"/>
    </row>
    <row r="425" ht="16.5" customHeight="1">
      <c r="E425" s="120"/>
      <c r="F425" s="120"/>
    </row>
    <row r="426" ht="16.5" customHeight="1">
      <c r="E426" s="120"/>
      <c r="F426" s="120"/>
    </row>
    <row r="427" ht="16.5" customHeight="1">
      <c r="E427" s="120"/>
      <c r="F427" s="120"/>
    </row>
    <row r="428" ht="16.5" customHeight="1">
      <c r="E428" s="120"/>
      <c r="F428" s="120"/>
    </row>
    <row r="429" ht="16.5" customHeight="1">
      <c r="E429" s="120"/>
      <c r="F429" s="120"/>
    </row>
    <row r="430" ht="16.5" customHeight="1">
      <c r="E430" s="120"/>
      <c r="F430" s="120"/>
    </row>
    <row r="431" ht="16.5" customHeight="1">
      <c r="E431" s="120"/>
      <c r="F431" s="120"/>
    </row>
    <row r="432" ht="16.5" customHeight="1">
      <c r="E432" s="120"/>
      <c r="F432" s="120"/>
    </row>
    <row r="433" ht="16.5" customHeight="1">
      <c r="E433" s="120"/>
      <c r="F433" s="120"/>
    </row>
    <row r="434" ht="16.5" customHeight="1">
      <c r="E434" s="120"/>
      <c r="F434" s="120"/>
    </row>
    <row r="435" ht="16.5" customHeight="1">
      <c r="E435" s="120"/>
      <c r="F435" s="120"/>
    </row>
    <row r="436" ht="16.5" customHeight="1">
      <c r="E436" s="120"/>
      <c r="F436" s="120"/>
    </row>
    <row r="437" ht="16.5" customHeight="1">
      <c r="E437" s="120"/>
      <c r="F437" s="120"/>
    </row>
    <row r="438" ht="16.5" customHeight="1">
      <c r="E438" s="120"/>
      <c r="F438" s="120"/>
    </row>
    <row r="439" ht="16.5" customHeight="1">
      <c r="E439" s="120"/>
      <c r="F439" s="120"/>
    </row>
    <row r="440" ht="16.5" customHeight="1">
      <c r="E440" s="120"/>
      <c r="F440" s="120"/>
    </row>
    <row r="441" ht="16.5" customHeight="1">
      <c r="E441" s="120"/>
      <c r="F441" s="120"/>
    </row>
    <row r="442" ht="16.5" customHeight="1">
      <c r="E442" s="120"/>
      <c r="F442" s="120"/>
    </row>
    <row r="443" ht="16.5" customHeight="1">
      <c r="E443" s="120"/>
      <c r="F443" s="120"/>
    </row>
    <row r="444" ht="16.5" customHeight="1">
      <c r="E444" s="120"/>
      <c r="F444" s="120"/>
    </row>
    <row r="445" ht="16.5" customHeight="1">
      <c r="E445" s="120"/>
      <c r="F445" s="120"/>
    </row>
    <row r="446" ht="16.5" customHeight="1">
      <c r="E446" s="120"/>
      <c r="F446" s="120"/>
    </row>
    <row r="447" ht="16.5" customHeight="1">
      <c r="E447" s="120"/>
      <c r="F447" s="120"/>
    </row>
    <row r="448" ht="16.5" customHeight="1">
      <c r="E448" s="120"/>
      <c r="F448" s="120"/>
    </row>
    <row r="449" ht="16.5" customHeight="1">
      <c r="E449" s="120"/>
      <c r="F449" s="120"/>
    </row>
    <row r="450" ht="16.5" customHeight="1">
      <c r="E450" s="120"/>
      <c r="F450" s="120"/>
    </row>
    <row r="451" ht="16.5" customHeight="1">
      <c r="E451" s="120"/>
      <c r="F451" s="120"/>
    </row>
    <row r="452" ht="16.5" customHeight="1">
      <c r="E452" s="120"/>
      <c r="F452" s="120"/>
    </row>
    <row r="453" ht="16.5" customHeight="1">
      <c r="E453" s="120"/>
      <c r="F453" s="120"/>
    </row>
    <row r="454" ht="16.5" customHeight="1">
      <c r="E454" s="120"/>
      <c r="F454" s="120"/>
    </row>
    <row r="455" ht="16.5" customHeight="1">
      <c r="E455" s="120"/>
      <c r="F455" s="120"/>
    </row>
    <row r="456" ht="16.5" customHeight="1">
      <c r="E456" s="120"/>
      <c r="F456" s="120"/>
    </row>
    <row r="457" ht="16.5" customHeight="1">
      <c r="E457" s="120"/>
      <c r="F457" s="120"/>
    </row>
    <row r="458" ht="16.5" customHeight="1">
      <c r="E458" s="120"/>
      <c r="F458" s="120"/>
    </row>
    <row r="459" ht="16.5" customHeight="1">
      <c r="E459" s="120"/>
      <c r="F459" s="120"/>
    </row>
    <row r="460" ht="16.5" customHeight="1">
      <c r="E460" s="120"/>
      <c r="F460" s="120"/>
    </row>
    <row r="461" ht="16.5" customHeight="1">
      <c r="E461" s="120"/>
      <c r="F461" s="120"/>
    </row>
    <row r="462" ht="16.5" customHeight="1">
      <c r="E462" s="120"/>
      <c r="F462" s="120"/>
    </row>
    <row r="463" ht="16.5" customHeight="1">
      <c r="E463" s="120"/>
      <c r="F463" s="120"/>
    </row>
    <row r="464" ht="16.5" customHeight="1">
      <c r="E464" s="120"/>
      <c r="F464" s="120"/>
    </row>
    <row r="465" ht="16.5" customHeight="1">
      <c r="E465" s="120"/>
      <c r="F465" s="120"/>
    </row>
    <row r="466" ht="16.5" customHeight="1">
      <c r="E466" s="120"/>
      <c r="F466" s="120"/>
    </row>
    <row r="467" ht="16.5" customHeight="1">
      <c r="E467" s="120"/>
      <c r="F467" s="120"/>
    </row>
    <row r="468" ht="16.5" customHeight="1">
      <c r="E468" s="120"/>
      <c r="F468" s="120"/>
    </row>
    <row r="469" ht="16.5" customHeight="1">
      <c r="E469" s="120"/>
      <c r="F469" s="120"/>
    </row>
    <row r="470" ht="16.5" customHeight="1">
      <c r="E470" s="120"/>
      <c r="F470" s="120"/>
    </row>
    <row r="471" ht="16.5" customHeight="1">
      <c r="E471" s="120"/>
      <c r="F471" s="120"/>
    </row>
    <row r="472" ht="16.5" customHeight="1">
      <c r="E472" s="120"/>
      <c r="F472" s="120"/>
    </row>
    <row r="473" ht="16.5" customHeight="1">
      <c r="E473" s="120"/>
      <c r="F473" s="120"/>
    </row>
    <row r="474" ht="16.5" customHeight="1">
      <c r="E474" s="120"/>
      <c r="F474" s="120"/>
    </row>
    <row r="475" ht="16.5" customHeight="1">
      <c r="E475" s="120"/>
      <c r="F475" s="120"/>
    </row>
    <row r="476" ht="16.5" customHeight="1">
      <c r="E476" s="120"/>
      <c r="F476" s="120"/>
    </row>
    <row r="477" ht="16.5" customHeight="1">
      <c r="E477" s="120"/>
      <c r="F477" s="120"/>
    </row>
    <row r="478" ht="16.5" customHeight="1">
      <c r="E478" s="120"/>
      <c r="F478" s="120"/>
    </row>
    <row r="479" ht="16.5" customHeight="1">
      <c r="E479" s="120"/>
      <c r="F479" s="120"/>
    </row>
    <row r="480" ht="16.5" customHeight="1">
      <c r="E480" s="120"/>
      <c r="F480" s="120"/>
    </row>
    <row r="481" ht="16.5" customHeight="1">
      <c r="E481" s="120"/>
      <c r="F481" s="120"/>
    </row>
    <row r="482" ht="16.5" customHeight="1">
      <c r="E482" s="120"/>
      <c r="F482" s="120"/>
    </row>
    <row r="483" ht="16.5" customHeight="1">
      <c r="E483" s="120"/>
      <c r="F483" s="120"/>
    </row>
    <row r="484" ht="16.5" customHeight="1">
      <c r="E484" s="120"/>
      <c r="F484" s="120"/>
    </row>
    <row r="485" ht="16.5" customHeight="1">
      <c r="E485" s="120"/>
      <c r="F485" s="120"/>
    </row>
    <row r="486" ht="16.5" customHeight="1">
      <c r="E486" s="120"/>
      <c r="F486" s="120"/>
    </row>
    <row r="487" ht="16.5" customHeight="1">
      <c r="E487" s="120"/>
      <c r="F487" s="120"/>
    </row>
    <row r="488" ht="16.5" customHeight="1">
      <c r="E488" s="120"/>
      <c r="F488" s="120"/>
    </row>
    <row r="489" ht="16.5" customHeight="1">
      <c r="E489" s="120"/>
      <c r="F489" s="120"/>
    </row>
    <row r="490" ht="16.5" customHeight="1">
      <c r="E490" s="120"/>
      <c r="F490" s="120"/>
    </row>
    <row r="491" ht="16.5" customHeight="1">
      <c r="E491" s="120"/>
      <c r="F491" s="120"/>
    </row>
    <row r="492" ht="16.5" customHeight="1">
      <c r="E492" s="120"/>
      <c r="F492" s="120"/>
    </row>
    <row r="493" ht="16.5" customHeight="1">
      <c r="E493" s="120"/>
      <c r="F493" s="120"/>
    </row>
    <row r="494" ht="16.5" customHeight="1">
      <c r="E494" s="120"/>
      <c r="F494" s="120"/>
    </row>
    <row r="495" ht="16.5" customHeight="1">
      <c r="E495" s="120"/>
      <c r="F495" s="120"/>
    </row>
    <row r="496" ht="16.5" customHeight="1">
      <c r="E496" s="120"/>
      <c r="F496" s="120"/>
    </row>
    <row r="497" ht="16.5" customHeight="1">
      <c r="E497" s="120"/>
      <c r="F497" s="120"/>
    </row>
    <row r="498" ht="16.5" customHeight="1">
      <c r="E498" s="120"/>
      <c r="F498" s="120"/>
    </row>
    <row r="499" ht="16.5" customHeight="1">
      <c r="E499" s="120"/>
      <c r="F499" s="120"/>
    </row>
    <row r="500" ht="16.5" customHeight="1">
      <c r="E500" s="120"/>
      <c r="F500" s="120"/>
    </row>
    <row r="501" ht="16.5" customHeight="1">
      <c r="E501" s="120"/>
      <c r="F501" s="120"/>
    </row>
    <row r="502" ht="16.5" customHeight="1">
      <c r="E502" s="120"/>
      <c r="F502" s="120"/>
    </row>
    <row r="503" ht="16.5" customHeight="1">
      <c r="E503" s="120"/>
      <c r="F503" s="120"/>
    </row>
    <row r="504" ht="16.5" customHeight="1">
      <c r="E504" s="120"/>
      <c r="F504" s="120"/>
    </row>
    <row r="505" ht="16.5" customHeight="1">
      <c r="E505" s="120"/>
      <c r="F505" s="120"/>
    </row>
    <row r="506" ht="16.5" customHeight="1">
      <c r="E506" s="120"/>
      <c r="F506" s="120"/>
    </row>
    <row r="507" ht="16.5" customHeight="1">
      <c r="E507" s="120"/>
      <c r="F507" s="120"/>
    </row>
    <row r="508" ht="16.5" customHeight="1">
      <c r="E508" s="120"/>
      <c r="F508" s="120"/>
    </row>
    <row r="509" ht="16.5" customHeight="1">
      <c r="E509" s="120"/>
      <c r="F509" s="120"/>
    </row>
    <row r="510" ht="16.5" customHeight="1">
      <c r="E510" s="120"/>
      <c r="F510" s="120"/>
    </row>
    <row r="511" ht="16.5" customHeight="1">
      <c r="E511" s="120"/>
      <c r="F511" s="120"/>
    </row>
    <row r="512" ht="16.5" customHeight="1">
      <c r="E512" s="120"/>
      <c r="F512" s="120"/>
    </row>
    <row r="513" ht="16.5" customHeight="1">
      <c r="E513" s="120"/>
      <c r="F513" s="120"/>
    </row>
    <row r="514" ht="16.5" customHeight="1">
      <c r="E514" s="120"/>
      <c r="F514" s="120"/>
    </row>
    <row r="515" ht="16.5" customHeight="1">
      <c r="E515" s="120"/>
      <c r="F515" s="120"/>
    </row>
    <row r="516" ht="16.5" customHeight="1">
      <c r="E516" s="120"/>
      <c r="F516" s="120"/>
    </row>
    <row r="517" ht="16.5" customHeight="1">
      <c r="E517" s="120"/>
      <c r="F517" s="120"/>
    </row>
    <row r="518" ht="16.5" customHeight="1">
      <c r="E518" s="120"/>
      <c r="F518" s="120"/>
    </row>
    <row r="519" ht="16.5" customHeight="1">
      <c r="E519" s="120"/>
      <c r="F519" s="120"/>
    </row>
    <row r="520" ht="16.5" customHeight="1">
      <c r="E520" s="120"/>
      <c r="F520" s="120"/>
    </row>
    <row r="521" ht="16.5" customHeight="1">
      <c r="E521" s="120"/>
      <c r="F521" s="120"/>
    </row>
    <row r="522" ht="16.5" customHeight="1">
      <c r="E522" s="120"/>
      <c r="F522" s="120"/>
    </row>
    <row r="523" ht="16.5" customHeight="1">
      <c r="E523" s="120"/>
      <c r="F523" s="120"/>
    </row>
    <row r="524" ht="16.5" customHeight="1">
      <c r="E524" s="120"/>
      <c r="F524" s="120"/>
    </row>
    <row r="525" ht="16.5" customHeight="1">
      <c r="E525" s="120"/>
      <c r="F525" s="120"/>
    </row>
    <row r="526" ht="16.5" customHeight="1">
      <c r="E526" s="120"/>
      <c r="F526" s="120"/>
    </row>
    <row r="527" ht="16.5" customHeight="1">
      <c r="E527" s="120"/>
      <c r="F527" s="120"/>
    </row>
    <row r="528" ht="16.5" customHeight="1">
      <c r="E528" s="120"/>
      <c r="F528" s="120"/>
    </row>
    <row r="529" ht="16.5" customHeight="1">
      <c r="E529" s="120"/>
      <c r="F529" s="120"/>
    </row>
    <row r="530" ht="16.5" customHeight="1">
      <c r="E530" s="120"/>
      <c r="F530" s="120"/>
    </row>
    <row r="531" ht="16.5" customHeight="1">
      <c r="E531" s="120"/>
      <c r="F531" s="120"/>
    </row>
    <row r="532" ht="16.5" customHeight="1">
      <c r="E532" s="120"/>
      <c r="F532" s="120"/>
    </row>
    <row r="533" ht="16.5" customHeight="1">
      <c r="E533" s="120"/>
      <c r="F533" s="120"/>
    </row>
    <row r="534" ht="16.5" customHeight="1">
      <c r="E534" s="120"/>
      <c r="F534" s="120"/>
    </row>
    <row r="535" ht="16.5" customHeight="1">
      <c r="E535" s="120"/>
      <c r="F535" s="120"/>
    </row>
    <row r="536" ht="16.5" customHeight="1">
      <c r="E536" s="120"/>
      <c r="F536" s="120"/>
    </row>
    <row r="537" ht="16.5" customHeight="1">
      <c r="E537" s="120"/>
      <c r="F537" s="120"/>
    </row>
    <row r="538" ht="16.5" customHeight="1">
      <c r="E538" s="120"/>
      <c r="F538" s="120"/>
    </row>
    <row r="539" ht="16.5" customHeight="1">
      <c r="E539" s="120"/>
      <c r="F539" s="120"/>
    </row>
    <row r="540" ht="16.5" customHeight="1">
      <c r="E540" s="120"/>
      <c r="F540" s="120"/>
    </row>
    <row r="541" ht="16.5" customHeight="1">
      <c r="E541" s="120"/>
      <c r="F541" s="120"/>
    </row>
    <row r="542" ht="16.5" customHeight="1">
      <c r="E542" s="120"/>
      <c r="F542" s="120"/>
    </row>
    <row r="543" ht="16.5" customHeight="1">
      <c r="E543" s="120"/>
      <c r="F543" s="120"/>
    </row>
    <row r="544" ht="16.5" customHeight="1">
      <c r="E544" s="120"/>
      <c r="F544" s="120"/>
    </row>
    <row r="545" ht="16.5" customHeight="1">
      <c r="E545" s="120"/>
      <c r="F545" s="120"/>
    </row>
    <row r="546" ht="16.5" customHeight="1">
      <c r="E546" s="120"/>
      <c r="F546" s="120"/>
    </row>
    <row r="547" ht="16.5" customHeight="1">
      <c r="E547" s="120"/>
      <c r="F547" s="120"/>
    </row>
    <row r="548" ht="16.5" customHeight="1">
      <c r="E548" s="120"/>
      <c r="F548" s="120"/>
    </row>
    <row r="549" ht="16.5" customHeight="1">
      <c r="E549" s="120"/>
      <c r="F549" s="120"/>
    </row>
    <row r="550" ht="16.5" customHeight="1">
      <c r="E550" s="120"/>
      <c r="F550" s="120"/>
    </row>
    <row r="551" ht="16.5" customHeight="1">
      <c r="E551" s="120"/>
      <c r="F551" s="120"/>
    </row>
    <row r="552" ht="16.5" customHeight="1">
      <c r="E552" s="120"/>
      <c r="F552" s="120"/>
    </row>
    <row r="553" ht="16.5" customHeight="1">
      <c r="E553" s="120"/>
      <c r="F553" s="120"/>
    </row>
    <row r="554" ht="16.5" customHeight="1">
      <c r="E554" s="120"/>
      <c r="F554" s="120"/>
    </row>
    <row r="555" ht="16.5" customHeight="1">
      <c r="E555" s="120"/>
      <c r="F555" s="120"/>
    </row>
    <row r="556" ht="16.5" customHeight="1">
      <c r="E556" s="120"/>
      <c r="F556" s="120"/>
    </row>
    <row r="557" ht="16.5" customHeight="1">
      <c r="E557" s="120"/>
      <c r="F557" s="120"/>
    </row>
    <row r="558" ht="16.5" customHeight="1">
      <c r="E558" s="120"/>
      <c r="F558" s="120"/>
    </row>
    <row r="559" ht="16.5" customHeight="1">
      <c r="E559" s="120"/>
      <c r="F559" s="120"/>
    </row>
    <row r="560" ht="16.5" customHeight="1">
      <c r="E560" s="120"/>
      <c r="F560" s="120"/>
    </row>
    <row r="561" ht="16.5" customHeight="1">
      <c r="E561" s="120"/>
      <c r="F561" s="120"/>
    </row>
    <row r="562" ht="16.5" customHeight="1">
      <c r="E562" s="120"/>
      <c r="F562" s="120"/>
    </row>
    <row r="563" ht="16.5" customHeight="1">
      <c r="E563" s="120"/>
      <c r="F563" s="120"/>
    </row>
    <row r="564" ht="16.5" customHeight="1">
      <c r="E564" s="120"/>
      <c r="F564" s="120"/>
    </row>
    <row r="565" ht="16.5" customHeight="1">
      <c r="E565" s="120"/>
      <c r="F565" s="120"/>
    </row>
    <row r="566" ht="16.5" customHeight="1">
      <c r="E566" s="120"/>
      <c r="F566" s="120"/>
    </row>
    <row r="567" ht="16.5" customHeight="1">
      <c r="E567" s="120"/>
      <c r="F567" s="120"/>
    </row>
    <row r="568" ht="16.5" customHeight="1">
      <c r="E568" s="120"/>
      <c r="F568" s="120"/>
    </row>
    <row r="569" ht="16.5" customHeight="1">
      <c r="E569" s="120"/>
      <c r="F569" s="120"/>
    </row>
    <row r="570" ht="16.5" customHeight="1">
      <c r="E570" s="120"/>
      <c r="F570" s="120"/>
    </row>
    <row r="571" ht="16.5" customHeight="1">
      <c r="E571" s="120"/>
      <c r="F571" s="120"/>
    </row>
    <row r="572" ht="16.5" customHeight="1">
      <c r="E572" s="120"/>
      <c r="F572" s="120"/>
    </row>
    <row r="573" ht="16.5" customHeight="1">
      <c r="E573" s="120"/>
      <c r="F573" s="120"/>
    </row>
    <row r="574" ht="16.5" customHeight="1">
      <c r="E574" s="120"/>
      <c r="F574" s="120"/>
    </row>
    <row r="575" ht="16.5" customHeight="1">
      <c r="E575" s="120"/>
      <c r="F575" s="120"/>
    </row>
    <row r="576" ht="16.5" customHeight="1">
      <c r="E576" s="120"/>
      <c r="F576" s="120"/>
    </row>
    <row r="577" ht="16.5" customHeight="1">
      <c r="E577" s="120"/>
      <c r="F577" s="120"/>
    </row>
    <row r="578" ht="16.5" customHeight="1">
      <c r="E578" s="120"/>
      <c r="F578" s="120"/>
    </row>
    <row r="579" ht="16.5" customHeight="1">
      <c r="E579" s="120"/>
      <c r="F579" s="120"/>
    </row>
    <row r="580" ht="16.5" customHeight="1">
      <c r="E580" s="120"/>
      <c r="F580" s="120"/>
    </row>
    <row r="581" ht="16.5" customHeight="1">
      <c r="E581" s="120"/>
      <c r="F581" s="120"/>
    </row>
    <row r="582" ht="16.5" customHeight="1">
      <c r="E582" s="120"/>
      <c r="F582" s="120"/>
    </row>
    <row r="583" ht="16.5" customHeight="1">
      <c r="E583" s="120"/>
      <c r="F583" s="120"/>
    </row>
    <row r="584" ht="16.5" customHeight="1">
      <c r="E584" s="120"/>
      <c r="F584" s="120"/>
    </row>
    <row r="585" ht="16.5" customHeight="1">
      <c r="E585" s="120"/>
      <c r="F585" s="120"/>
    </row>
    <row r="586" ht="16.5" customHeight="1">
      <c r="E586" s="120"/>
      <c r="F586" s="120"/>
    </row>
    <row r="587" ht="16.5" customHeight="1">
      <c r="E587" s="120"/>
      <c r="F587" s="120"/>
    </row>
    <row r="588" ht="16.5" customHeight="1">
      <c r="E588" s="120"/>
      <c r="F588" s="120"/>
    </row>
    <row r="589" ht="16.5" customHeight="1">
      <c r="E589" s="120"/>
      <c r="F589" s="120"/>
    </row>
    <row r="590" ht="16.5" customHeight="1">
      <c r="E590" s="120"/>
      <c r="F590" s="120"/>
    </row>
    <row r="591" ht="16.5" customHeight="1">
      <c r="E591" s="120"/>
      <c r="F591" s="120"/>
    </row>
    <row r="592" ht="16.5" customHeight="1">
      <c r="E592" s="120"/>
      <c r="F592" s="120"/>
    </row>
    <row r="593" ht="16.5" customHeight="1">
      <c r="E593" s="120"/>
      <c r="F593" s="120"/>
    </row>
    <row r="594" ht="16.5" customHeight="1">
      <c r="E594" s="120"/>
      <c r="F594" s="120"/>
    </row>
    <row r="595" ht="16.5" customHeight="1">
      <c r="E595" s="120"/>
      <c r="F595" s="120"/>
    </row>
    <row r="596" ht="16.5" customHeight="1">
      <c r="E596" s="120"/>
      <c r="F596" s="120"/>
    </row>
    <row r="597" ht="16.5" customHeight="1">
      <c r="E597" s="120"/>
      <c r="F597" s="120"/>
    </row>
    <row r="598" ht="16.5" customHeight="1">
      <c r="E598" s="120"/>
      <c r="F598" s="120"/>
    </row>
    <row r="599" ht="16.5" customHeight="1">
      <c r="E599" s="120"/>
      <c r="F599" s="120"/>
    </row>
    <row r="600" ht="16.5" customHeight="1">
      <c r="E600" s="120"/>
      <c r="F600" s="120"/>
    </row>
    <row r="601" ht="16.5" customHeight="1">
      <c r="E601" s="120"/>
      <c r="F601" s="120"/>
    </row>
    <row r="602" ht="16.5" customHeight="1">
      <c r="E602" s="120"/>
      <c r="F602" s="120"/>
    </row>
    <row r="603" ht="16.5" customHeight="1">
      <c r="E603" s="120"/>
      <c r="F603" s="120"/>
    </row>
    <row r="604" ht="16.5" customHeight="1">
      <c r="E604" s="120"/>
      <c r="F604" s="120"/>
    </row>
    <row r="605" ht="16.5" customHeight="1">
      <c r="E605" s="120"/>
      <c r="F605" s="120"/>
    </row>
    <row r="606" ht="16.5" customHeight="1">
      <c r="E606" s="120"/>
      <c r="F606" s="120"/>
    </row>
    <row r="607" ht="16.5" customHeight="1">
      <c r="E607" s="120"/>
      <c r="F607" s="120"/>
    </row>
    <row r="608" ht="16.5" customHeight="1">
      <c r="E608" s="120"/>
      <c r="F608" s="120"/>
    </row>
    <row r="609" ht="16.5" customHeight="1">
      <c r="E609" s="120"/>
      <c r="F609" s="120"/>
    </row>
    <row r="610" ht="16.5" customHeight="1">
      <c r="E610" s="120"/>
      <c r="F610" s="120"/>
    </row>
    <row r="611" ht="16.5" customHeight="1">
      <c r="E611" s="120"/>
      <c r="F611" s="120"/>
    </row>
    <row r="612" ht="16.5" customHeight="1">
      <c r="E612" s="120"/>
      <c r="F612" s="120"/>
    </row>
    <row r="613" ht="16.5" customHeight="1">
      <c r="E613" s="120"/>
      <c r="F613" s="120"/>
    </row>
    <row r="614" ht="16.5" customHeight="1">
      <c r="E614" s="120"/>
      <c r="F614" s="120"/>
    </row>
    <row r="615" ht="16.5" customHeight="1">
      <c r="E615" s="120"/>
      <c r="F615" s="120"/>
    </row>
    <row r="616" ht="16.5" customHeight="1">
      <c r="E616" s="120"/>
      <c r="F616" s="120"/>
    </row>
    <row r="617" ht="16.5" customHeight="1">
      <c r="E617" s="120"/>
      <c r="F617" s="120"/>
    </row>
    <row r="618" ht="16.5" customHeight="1">
      <c r="E618" s="120"/>
      <c r="F618" s="120"/>
    </row>
    <row r="619" ht="16.5" customHeight="1">
      <c r="E619" s="120"/>
      <c r="F619" s="120"/>
    </row>
    <row r="620" ht="16.5" customHeight="1">
      <c r="E620" s="120"/>
      <c r="F620" s="120"/>
    </row>
    <row r="621" ht="16.5" customHeight="1">
      <c r="E621" s="120"/>
      <c r="F621" s="120"/>
    </row>
    <row r="622" ht="16.5" customHeight="1">
      <c r="E622" s="120"/>
      <c r="F622" s="120"/>
    </row>
    <row r="623" ht="16.5" customHeight="1">
      <c r="E623" s="120"/>
      <c r="F623" s="120"/>
    </row>
    <row r="624" ht="16.5" customHeight="1">
      <c r="E624" s="120"/>
      <c r="F624" s="120"/>
    </row>
    <row r="625" ht="16.5" customHeight="1">
      <c r="E625" s="120"/>
      <c r="F625" s="120"/>
    </row>
    <row r="626" ht="16.5" customHeight="1">
      <c r="E626" s="120"/>
      <c r="F626" s="120"/>
    </row>
    <row r="627" ht="16.5" customHeight="1">
      <c r="E627" s="120"/>
      <c r="F627" s="120"/>
    </row>
    <row r="628" ht="16.5" customHeight="1">
      <c r="E628" s="120"/>
      <c r="F628" s="120"/>
    </row>
    <row r="629" ht="16.5" customHeight="1">
      <c r="E629" s="120"/>
      <c r="F629" s="120"/>
    </row>
    <row r="630" ht="16.5" customHeight="1">
      <c r="E630" s="120"/>
      <c r="F630" s="120"/>
    </row>
    <row r="631" ht="16.5" customHeight="1">
      <c r="E631" s="120"/>
      <c r="F631" s="120"/>
    </row>
    <row r="632" ht="16.5" customHeight="1">
      <c r="E632" s="120"/>
      <c r="F632" s="120"/>
    </row>
    <row r="633" ht="16.5" customHeight="1">
      <c r="E633" s="120"/>
      <c r="F633" s="120"/>
    </row>
    <row r="634" ht="16.5" customHeight="1">
      <c r="E634" s="120"/>
      <c r="F634" s="120"/>
    </row>
    <row r="635" ht="16.5" customHeight="1">
      <c r="E635" s="120"/>
      <c r="F635" s="120"/>
    </row>
    <row r="636" ht="16.5" customHeight="1">
      <c r="E636" s="120"/>
      <c r="F636" s="120"/>
    </row>
    <row r="637" ht="16.5" customHeight="1">
      <c r="E637" s="120"/>
      <c r="F637" s="120"/>
    </row>
    <row r="638" ht="16.5" customHeight="1">
      <c r="E638" s="120"/>
      <c r="F638" s="120"/>
    </row>
    <row r="639" ht="16.5" customHeight="1">
      <c r="E639" s="120"/>
      <c r="F639" s="120"/>
    </row>
    <row r="640" ht="16.5" customHeight="1">
      <c r="E640" s="120"/>
      <c r="F640" s="120"/>
    </row>
    <row r="641" ht="16.5" customHeight="1">
      <c r="E641" s="120"/>
      <c r="F641" s="120"/>
    </row>
    <row r="642" ht="16.5" customHeight="1">
      <c r="E642" s="120"/>
      <c r="F642" s="120"/>
    </row>
    <row r="643" ht="16.5" customHeight="1">
      <c r="E643" s="120"/>
      <c r="F643" s="120"/>
    </row>
    <row r="644" ht="16.5" customHeight="1">
      <c r="E644" s="120"/>
      <c r="F644" s="120"/>
    </row>
    <row r="645" ht="16.5" customHeight="1">
      <c r="E645" s="120"/>
      <c r="F645" s="120"/>
    </row>
    <row r="646" ht="16.5" customHeight="1">
      <c r="E646" s="120"/>
      <c r="F646" s="120"/>
    </row>
    <row r="647" ht="16.5" customHeight="1">
      <c r="E647" s="120"/>
      <c r="F647" s="120"/>
    </row>
    <row r="648" ht="16.5" customHeight="1">
      <c r="E648" s="120"/>
      <c r="F648" s="120"/>
    </row>
    <row r="649" ht="16.5" customHeight="1">
      <c r="E649" s="120"/>
      <c r="F649" s="120"/>
    </row>
    <row r="650" ht="16.5" customHeight="1">
      <c r="E650" s="120"/>
      <c r="F650" s="120"/>
    </row>
    <row r="651" ht="16.5" customHeight="1">
      <c r="E651" s="120"/>
      <c r="F651" s="120"/>
    </row>
    <row r="652" ht="16.5" customHeight="1">
      <c r="E652" s="120"/>
      <c r="F652" s="120"/>
    </row>
    <row r="653" ht="16.5" customHeight="1">
      <c r="E653" s="120"/>
      <c r="F653" s="120"/>
    </row>
    <row r="654" ht="16.5" customHeight="1">
      <c r="E654" s="120"/>
      <c r="F654" s="120"/>
    </row>
    <row r="655" ht="16.5" customHeight="1">
      <c r="E655" s="120"/>
      <c r="F655" s="120"/>
    </row>
    <row r="656" ht="16.5" customHeight="1">
      <c r="E656" s="120"/>
      <c r="F656" s="120"/>
    </row>
    <row r="657" ht="16.5" customHeight="1">
      <c r="E657" s="120"/>
      <c r="F657" s="120"/>
    </row>
    <row r="658" ht="16.5" customHeight="1">
      <c r="E658" s="120"/>
      <c r="F658" s="120"/>
    </row>
    <row r="659" ht="16.5" customHeight="1">
      <c r="E659" s="120"/>
      <c r="F659" s="120"/>
    </row>
    <row r="660" ht="16.5" customHeight="1">
      <c r="E660" s="120"/>
      <c r="F660" s="120"/>
    </row>
    <row r="661" ht="16.5" customHeight="1">
      <c r="E661" s="120"/>
      <c r="F661" s="120"/>
    </row>
    <row r="662" ht="16.5" customHeight="1">
      <c r="E662" s="120"/>
      <c r="F662" s="120"/>
    </row>
    <row r="663" ht="16.5" customHeight="1">
      <c r="E663" s="120"/>
      <c r="F663" s="120"/>
    </row>
    <row r="664" ht="16.5" customHeight="1">
      <c r="E664" s="120"/>
      <c r="F664" s="120"/>
    </row>
    <row r="665" ht="16.5" customHeight="1">
      <c r="E665" s="120"/>
      <c r="F665" s="120"/>
    </row>
    <row r="666" ht="16.5" customHeight="1">
      <c r="E666" s="120"/>
      <c r="F666" s="120"/>
    </row>
    <row r="667" ht="16.5" customHeight="1">
      <c r="E667" s="120"/>
      <c r="F667" s="120"/>
    </row>
    <row r="668" ht="16.5" customHeight="1">
      <c r="E668" s="120"/>
      <c r="F668" s="120"/>
    </row>
    <row r="669" ht="16.5" customHeight="1">
      <c r="E669" s="120"/>
      <c r="F669" s="120"/>
    </row>
    <row r="670" ht="16.5" customHeight="1">
      <c r="E670" s="120"/>
      <c r="F670" s="120"/>
    </row>
    <row r="671" ht="16.5" customHeight="1">
      <c r="E671" s="120"/>
      <c r="F671" s="120"/>
    </row>
    <row r="672" ht="16.5" customHeight="1">
      <c r="E672" s="120"/>
      <c r="F672" s="120"/>
    </row>
    <row r="673" ht="16.5" customHeight="1">
      <c r="E673" s="120"/>
      <c r="F673" s="120"/>
    </row>
    <row r="674" ht="16.5" customHeight="1">
      <c r="E674" s="120"/>
      <c r="F674" s="120"/>
    </row>
    <row r="675" ht="16.5" customHeight="1">
      <c r="E675" s="120"/>
      <c r="F675" s="120"/>
    </row>
    <row r="676" ht="16.5" customHeight="1">
      <c r="E676" s="120"/>
      <c r="F676" s="120"/>
    </row>
    <row r="677" ht="16.5" customHeight="1">
      <c r="E677" s="120"/>
      <c r="F677" s="120"/>
    </row>
    <row r="678" ht="16.5" customHeight="1">
      <c r="E678" s="120"/>
      <c r="F678" s="120"/>
    </row>
    <row r="679" ht="16.5" customHeight="1">
      <c r="E679" s="120"/>
      <c r="F679" s="120"/>
    </row>
    <row r="680" ht="16.5" customHeight="1">
      <c r="E680" s="120"/>
      <c r="F680" s="120"/>
    </row>
    <row r="681" ht="16.5" customHeight="1">
      <c r="E681" s="120"/>
      <c r="F681" s="120"/>
    </row>
    <row r="682" ht="16.5" customHeight="1">
      <c r="E682" s="120"/>
      <c r="F682" s="120"/>
    </row>
    <row r="683" ht="16.5" customHeight="1">
      <c r="E683" s="120"/>
      <c r="F683" s="120"/>
    </row>
    <row r="684" ht="16.5" customHeight="1">
      <c r="E684" s="120"/>
      <c r="F684" s="120"/>
    </row>
    <row r="685" ht="16.5" customHeight="1">
      <c r="E685" s="120"/>
      <c r="F685" s="120"/>
    </row>
    <row r="686" ht="16.5" customHeight="1">
      <c r="E686" s="120"/>
      <c r="F686" s="120"/>
    </row>
    <row r="687" ht="16.5" customHeight="1">
      <c r="E687" s="120"/>
      <c r="F687" s="120"/>
    </row>
    <row r="688" ht="16.5" customHeight="1">
      <c r="E688" s="120"/>
      <c r="F688" s="120"/>
    </row>
    <row r="689" ht="16.5" customHeight="1">
      <c r="E689" s="120"/>
      <c r="F689" s="120"/>
    </row>
    <row r="690" ht="16.5" customHeight="1">
      <c r="E690" s="120"/>
      <c r="F690" s="120"/>
    </row>
    <row r="691" ht="16.5" customHeight="1">
      <c r="E691" s="120"/>
      <c r="F691" s="120"/>
    </row>
    <row r="692" ht="16.5" customHeight="1">
      <c r="E692" s="120"/>
      <c r="F692" s="120"/>
    </row>
    <row r="693" ht="16.5" customHeight="1">
      <c r="E693" s="120"/>
      <c r="F693" s="120"/>
    </row>
    <row r="694" ht="16.5" customHeight="1">
      <c r="E694" s="120"/>
      <c r="F694" s="120"/>
    </row>
    <row r="695" ht="16.5" customHeight="1">
      <c r="E695" s="120"/>
      <c r="F695" s="120"/>
    </row>
    <row r="696" ht="16.5" customHeight="1">
      <c r="E696" s="120"/>
      <c r="F696" s="120"/>
    </row>
    <row r="697" ht="16.5" customHeight="1">
      <c r="E697" s="120"/>
      <c r="F697" s="120"/>
    </row>
    <row r="698" ht="16.5" customHeight="1">
      <c r="E698" s="120"/>
      <c r="F698" s="120"/>
    </row>
    <row r="699" ht="16.5" customHeight="1">
      <c r="E699" s="120"/>
      <c r="F699" s="120"/>
    </row>
    <row r="700" ht="16.5" customHeight="1">
      <c r="E700" s="120"/>
      <c r="F700" s="120"/>
    </row>
    <row r="701" ht="16.5" customHeight="1">
      <c r="E701" s="120"/>
      <c r="F701" s="120"/>
    </row>
    <row r="702" ht="16.5" customHeight="1">
      <c r="E702" s="120"/>
      <c r="F702" s="120"/>
    </row>
    <row r="703" ht="16.5" customHeight="1">
      <c r="E703" s="120"/>
      <c r="F703" s="120"/>
    </row>
    <row r="704" ht="16.5" customHeight="1">
      <c r="E704" s="120"/>
      <c r="F704" s="120"/>
    </row>
    <row r="705" ht="16.5" customHeight="1">
      <c r="E705" s="120"/>
      <c r="F705" s="120"/>
    </row>
    <row r="706" ht="16.5" customHeight="1">
      <c r="E706" s="120"/>
      <c r="F706" s="120"/>
    </row>
    <row r="707" ht="16.5" customHeight="1">
      <c r="E707" s="120"/>
      <c r="F707" s="120"/>
    </row>
    <row r="708" ht="16.5" customHeight="1">
      <c r="E708" s="120"/>
      <c r="F708" s="120"/>
    </row>
    <row r="709" ht="16.5" customHeight="1">
      <c r="E709" s="120"/>
      <c r="F709" s="120"/>
    </row>
    <row r="710" ht="16.5" customHeight="1">
      <c r="E710" s="120"/>
      <c r="F710" s="120"/>
    </row>
    <row r="711" ht="16.5" customHeight="1">
      <c r="E711" s="120"/>
      <c r="F711" s="120"/>
    </row>
    <row r="712" ht="16.5" customHeight="1">
      <c r="E712" s="120"/>
      <c r="F712" s="120"/>
    </row>
    <row r="713" ht="16.5" customHeight="1">
      <c r="E713" s="120"/>
      <c r="F713" s="120"/>
    </row>
    <row r="714" ht="16.5" customHeight="1">
      <c r="E714" s="120"/>
      <c r="F714" s="120"/>
    </row>
    <row r="715" ht="16.5" customHeight="1">
      <c r="E715" s="120"/>
      <c r="F715" s="120"/>
    </row>
    <row r="716" ht="16.5" customHeight="1">
      <c r="E716" s="120"/>
      <c r="F716" s="120"/>
    </row>
    <row r="717" ht="16.5" customHeight="1">
      <c r="E717" s="120"/>
      <c r="F717" s="120"/>
    </row>
    <row r="718" ht="16.5" customHeight="1">
      <c r="E718" s="120"/>
      <c r="F718" s="120"/>
    </row>
    <row r="719" ht="16.5" customHeight="1">
      <c r="E719" s="120"/>
      <c r="F719" s="120"/>
    </row>
    <row r="720" ht="16.5" customHeight="1">
      <c r="E720" s="120"/>
      <c r="F720" s="120"/>
    </row>
    <row r="721" ht="16.5" customHeight="1">
      <c r="E721" s="120"/>
      <c r="F721" s="120"/>
    </row>
    <row r="722" ht="16.5" customHeight="1">
      <c r="E722" s="120"/>
      <c r="F722" s="120"/>
    </row>
    <row r="723" ht="16.5" customHeight="1">
      <c r="E723" s="120"/>
      <c r="F723" s="120"/>
    </row>
    <row r="724" ht="16.5" customHeight="1">
      <c r="E724" s="120"/>
      <c r="F724" s="120"/>
    </row>
    <row r="725" ht="16.5" customHeight="1">
      <c r="E725" s="120"/>
      <c r="F725" s="120"/>
    </row>
    <row r="726" ht="16.5" customHeight="1">
      <c r="E726" s="120"/>
      <c r="F726" s="120"/>
    </row>
    <row r="727" ht="16.5" customHeight="1">
      <c r="E727" s="120"/>
      <c r="F727" s="120"/>
    </row>
    <row r="728" ht="16.5" customHeight="1">
      <c r="E728" s="120"/>
      <c r="F728" s="120"/>
    </row>
    <row r="729" ht="16.5" customHeight="1">
      <c r="E729" s="120"/>
      <c r="F729" s="120"/>
    </row>
    <row r="730" ht="16.5" customHeight="1">
      <c r="E730" s="120"/>
      <c r="F730" s="120"/>
    </row>
    <row r="731" ht="16.5" customHeight="1">
      <c r="E731" s="120"/>
      <c r="F731" s="120"/>
    </row>
    <row r="732" ht="16.5" customHeight="1">
      <c r="E732" s="120"/>
      <c r="F732" s="120"/>
    </row>
    <row r="733" ht="16.5" customHeight="1">
      <c r="E733" s="120"/>
      <c r="F733" s="120"/>
    </row>
    <row r="734" ht="16.5" customHeight="1">
      <c r="E734" s="120"/>
      <c r="F734" s="120"/>
    </row>
    <row r="735" ht="16.5" customHeight="1">
      <c r="E735" s="120"/>
      <c r="F735" s="120"/>
    </row>
    <row r="736" ht="16.5" customHeight="1">
      <c r="E736" s="120"/>
      <c r="F736" s="120"/>
    </row>
    <row r="737" ht="16.5" customHeight="1">
      <c r="E737" s="120"/>
      <c r="F737" s="120"/>
    </row>
    <row r="738" ht="16.5" customHeight="1">
      <c r="E738" s="120"/>
      <c r="F738" s="120"/>
    </row>
    <row r="739" ht="16.5" customHeight="1">
      <c r="E739" s="120"/>
      <c r="F739" s="120"/>
    </row>
    <row r="740" ht="16.5" customHeight="1">
      <c r="E740" s="120"/>
      <c r="F740" s="120"/>
    </row>
    <row r="741" ht="16.5" customHeight="1">
      <c r="E741" s="120"/>
      <c r="F741" s="120"/>
    </row>
    <row r="742" ht="16.5" customHeight="1">
      <c r="E742" s="120"/>
      <c r="F742" s="120"/>
    </row>
    <row r="743" ht="16.5" customHeight="1">
      <c r="E743" s="120"/>
      <c r="F743" s="120"/>
    </row>
    <row r="744" ht="16.5" customHeight="1">
      <c r="E744" s="120"/>
      <c r="F744" s="120"/>
    </row>
    <row r="745" ht="16.5" customHeight="1">
      <c r="E745" s="120"/>
      <c r="F745" s="120"/>
    </row>
    <row r="746" ht="16.5" customHeight="1">
      <c r="E746" s="120"/>
      <c r="F746" s="120"/>
    </row>
    <row r="747" ht="16.5" customHeight="1">
      <c r="E747" s="120"/>
      <c r="F747" s="120"/>
    </row>
    <row r="748" ht="16.5" customHeight="1">
      <c r="E748" s="120"/>
      <c r="F748" s="120"/>
    </row>
    <row r="749" ht="16.5" customHeight="1">
      <c r="E749" s="120"/>
      <c r="F749" s="120"/>
    </row>
    <row r="750" ht="16.5" customHeight="1">
      <c r="E750" s="120"/>
      <c r="F750" s="120"/>
    </row>
    <row r="751" ht="16.5" customHeight="1">
      <c r="E751" s="120"/>
      <c r="F751" s="120"/>
    </row>
    <row r="752" ht="16.5" customHeight="1">
      <c r="E752" s="120"/>
      <c r="F752" s="120"/>
    </row>
    <row r="753" ht="16.5" customHeight="1">
      <c r="E753" s="120"/>
      <c r="F753" s="120"/>
    </row>
    <row r="754" ht="16.5" customHeight="1">
      <c r="E754" s="120"/>
      <c r="F754" s="120"/>
    </row>
    <row r="755" ht="16.5" customHeight="1">
      <c r="E755" s="120"/>
      <c r="F755" s="120"/>
    </row>
    <row r="756" ht="16.5" customHeight="1">
      <c r="E756" s="120"/>
      <c r="F756" s="120"/>
    </row>
    <row r="757" ht="16.5" customHeight="1">
      <c r="E757" s="120"/>
      <c r="F757" s="120"/>
    </row>
    <row r="758" ht="16.5" customHeight="1">
      <c r="E758" s="120"/>
      <c r="F758" s="120"/>
    </row>
    <row r="759" ht="16.5" customHeight="1">
      <c r="E759" s="120"/>
      <c r="F759" s="120"/>
    </row>
    <row r="760" ht="16.5" customHeight="1">
      <c r="E760" s="120"/>
      <c r="F760" s="120"/>
    </row>
    <row r="761" ht="16.5" customHeight="1">
      <c r="E761" s="120"/>
      <c r="F761" s="120"/>
    </row>
    <row r="762" ht="16.5" customHeight="1">
      <c r="E762" s="120"/>
      <c r="F762" s="120"/>
    </row>
    <row r="763" ht="16.5" customHeight="1">
      <c r="E763" s="120"/>
      <c r="F763" s="120"/>
    </row>
    <row r="764" ht="16.5" customHeight="1">
      <c r="E764" s="120"/>
      <c r="F764" s="120"/>
    </row>
    <row r="765" ht="16.5" customHeight="1">
      <c r="E765" s="120"/>
      <c r="F765" s="120"/>
    </row>
    <row r="766" ht="16.5" customHeight="1">
      <c r="E766" s="120"/>
      <c r="F766" s="120"/>
    </row>
    <row r="767" ht="16.5" customHeight="1">
      <c r="E767" s="120"/>
      <c r="F767" s="120"/>
    </row>
    <row r="768" ht="16.5" customHeight="1">
      <c r="E768" s="120"/>
      <c r="F768" s="120"/>
    </row>
    <row r="769" ht="16.5" customHeight="1">
      <c r="E769" s="120"/>
      <c r="F769" s="120"/>
    </row>
    <row r="770" ht="16.5" customHeight="1">
      <c r="E770" s="120"/>
      <c r="F770" s="120"/>
    </row>
    <row r="771" ht="16.5" customHeight="1">
      <c r="E771" s="120"/>
      <c r="F771" s="120"/>
    </row>
    <row r="772" ht="16.5" customHeight="1">
      <c r="E772" s="120"/>
      <c r="F772" s="120"/>
    </row>
    <row r="773" ht="16.5" customHeight="1">
      <c r="E773" s="120"/>
      <c r="F773" s="120"/>
    </row>
    <row r="774" ht="16.5" customHeight="1">
      <c r="E774" s="120"/>
      <c r="F774" s="120"/>
    </row>
    <row r="775" ht="16.5" customHeight="1">
      <c r="E775" s="120"/>
      <c r="F775" s="120"/>
    </row>
    <row r="776" ht="16.5" customHeight="1">
      <c r="E776" s="120"/>
      <c r="F776" s="120"/>
    </row>
    <row r="777" ht="16.5" customHeight="1">
      <c r="E777" s="120"/>
      <c r="F777" s="120"/>
    </row>
    <row r="778" ht="16.5" customHeight="1">
      <c r="E778" s="120"/>
      <c r="F778" s="120"/>
    </row>
    <row r="779" ht="16.5" customHeight="1">
      <c r="E779" s="120"/>
      <c r="F779" s="120"/>
    </row>
    <row r="780" ht="16.5" customHeight="1">
      <c r="E780" s="120"/>
      <c r="F780" s="120"/>
    </row>
    <row r="781" ht="16.5" customHeight="1">
      <c r="E781" s="120"/>
      <c r="F781" s="120"/>
    </row>
    <row r="782" ht="16.5" customHeight="1">
      <c r="E782" s="120"/>
      <c r="F782" s="120"/>
    </row>
    <row r="783" ht="16.5" customHeight="1">
      <c r="E783" s="120"/>
      <c r="F783" s="120"/>
    </row>
    <row r="784" ht="16.5" customHeight="1">
      <c r="E784" s="120"/>
      <c r="F784" s="120"/>
    </row>
    <row r="785" ht="16.5" customHeight="1">
      <c r="E785" s="120"/>
      <c r="F785" s="120"/>
    </row>
    <row r="786" ht="16.5" customHeight="1">
      <c r="E786" s="120"/>
      <c r="F786" s="120"/>
    </row>
    <row r="787" ht="16.5" customHeight="1">
      <c r="E787" s="120"/>
      <c r="F787" s="120"/>
    </row>
    <row r="788" ht="16.5" customHeight="1">
      <c r="E788" s="120"/>
      <c r="F788" s="120"/>
    </row>
    <row r="789" ht="16.5" customHeight="1">
      <c r="E789" s="120"/>
      <c r="F789" s="120"/>
    </row>
    <row r="790" ht="16.5" customHeight="1">
      <c r="E790" s="120"/>
      <c r="F790" s="120"/>
    </row>
    <row r="791" ht="16.5" customHeight="1">
      <c r="E791" s="120"/>
      <c r="F791" s="120"/>
    </row>
    <row r="792" ht="16.5" customHeight="1">
      <c r="E792" s="120"/>
      <c r="F792" s="120"/>
    </row>
    <row r="793" ht="16.5" customHeight="1">
      <c r="E793" s="120"/>
      <c r="F793" s="120"/>
    </row>
    <row r="794" ht="16.5" customHeight="1">
      <c r="E794" s="120"/>
      <c r="F794" s="120"/>
    </row>
    <row r="795" ht="16.5" customHeight="1">
      <c r="E795" s="120"/>
      <c r="F795" s="120"/>
    </row>
    <row r="796" ht="16.5" customHeight="1">
      <c r="E796" s="120"/>
      <c r="F796" s="120"/>
    </row>
    <row r="797" ht="16.5" customHeight="1">
      <c r="E797" s="120"/>
      <c r="F797" s="120"/>
    </row>
    <row r="798" ht="16.5" customHeight="1">
      <c r="E798" s="120"/>
      <c r="F798" s="120"/>
    </row>
    <row r="799" ht="16.5" customHeight="1">
      <c r="E799" s="120"/>
      <c r="F799" s="120"/>
    </row>
    <row r="800" ht="16.5" customHeight="1">
      <c r="E800" s="120"/>
      <c r="F800" s="120"/>
    </row>
    <row r="801" ht="16.5" customHeight="1">
      <c r="E801" s="120"/>
      <c r="F801" s="120"/>
    </row>
    <row r="802" ht="16.5" customHeight="1">
      <c r="E802" s="120"/>
      <c r="F802" s="120"/>
    </row>
    <row r="803" ht="16.5" customHeight="1">
      <c r="E803" s="120"/>
      <c r="F803" s="120"/>
    </row>
    <row r="804" ht="16.5" customHeight="1">
      <c r="E804" s="120"/>
      <c r="F804" s="120"/>
    </row>
    <row r="805" ht="16.5" customHeight="1">
      <c r="E805" s="120"/>
      <c r="F805" s="120"/>
    </row>
    <row r="806" ht="16.5" customHeight="1">
      <c r="E806" s="120"/>
      <c r="F806" s="120"/>
    </row>
    <row r="807" ht="16.5" customHeight="1">
      <c r="E807" s="120"/>
      <c r="F807" s="120"/>
    </row>
    <row r="808" ht="16.5" customHeight="1">
      <c r="E808" s="120"/>
      <c r="F808" s="120"/>
    </row>
    <row r="809" ht="16.5" customHeight="1">
      <c r="E809" s="120"/>
      <c r="F809" s="120"/>
    </row>
    <row r="810" ht="16.5" customHeight="1">
      <c r="E810" s="120"/>
      <c r="F810" s="120"/>
    </row>
    <row r="811" ht="16.5" customHeight="1">
      <c r="E811" s="120"/>
      <c r="F811" s="120"/>
    </row>
    <row r="812" ht="16.5" customHeight="1">
      <c r="E812" s="120"/>
      <c r="F812" s="120"/>
    </row>
    <row r="813" ht="16.5" customHeight="1">
      <c r="E813" s="120"/>
      <c r="F813" s="120"/>
    </row>
    <row r="814" ht="16.5" customHeight="1">
      <c r="E814" s="120"/>
      <c r="F814" s="120"/>
    </row>
    <row r="815" ht="16.5" customHeight="1">
      <c r="E815" s="120"/>
      <c r="F815" s="120"/>
    </row>
    <row r="816" ht="16.5" customHeight="1">
      <c r="E816" s="120"/>
      <c r="F816" s="120"/>
    </row>
    <row r="817" ht="16.5" customHeight="1">
      <c r="E817" s="120"/>
      <c r="F817" s="120"/>
    </row>
    <row r="818" ht="16.5" customHeight="1">
      <c r="E818" s="120"/>
      <c r="F818" s="120"/>
    </row>
    <row r="819" ht="16.5" customHeight="1">
      <c r="E819" s="120"/>
      <c r="F819" s="120"/>
    </row>
    <row r="820" ht="16.5" customHeight="1">
      <c r="E820" s="120"/>
      <c r="F820" s="120"/>
    </row>
    <row r="821" ht="16.5" customHeight="1">
      <c r="E821" s="120"/>
      <c r="F821" s="120"/>
    </row>
    <row r="822" ht="16.5" customHeight="1">
      <c r="E822" s="120"/>
      <c r="F822" s="120"/>
    </row>
    <row r="823" ht="16.5" customHeight="1">
      <c r="E823" s="120"/>
      <c r="F823" s="120"/>
    </row>
    <row r="824" ht="16.5" customHeight="1">
      <c r="E824" s="120"/>
      <c r="F824" s="120"/>
    </row>
    <row r="825" ht="16.5" customHeight="1">
      <c r="E825" s="120"/>
      <c r="F825" s="120"/>
    </row>
    <row r="826" ht="16.5" customHeight="1">
      <c r="E826" s="120"/>
      <c r="F826" s="120"/>
    </row>
    <row r="827" ht="16.5" customHeight="1">
      <c r="E827" s="120"/>
      <c r="F827" s="120"/>
    </row>
    <row r="828" ht="16.5" customHeight="1">
      <c r="E828" s="120"/>
      <c r="F828" s="120"/>
    </row>
    <row r="829" ht="16.5" customHeight="1">
      <c r="E829" s="120"/>
      <c r="F829" s="120"/>
    </row>
    <row r="830" ht="16.5" customHeight="1">
      <c r="E830" s="120"/>
      <c r="F830" s="120"/>
    </row>
    <row r="831" ht="16.5" customHeight="1">
      <c r="E831" s="120"/>
      <c r="F831" s="120"/>
    </row>
    <row r="832" ht="16.5" customHeight="1">
      <c r="E832" s="120"/>
      <c r="F832" s="120"/>
    </row>
    <row r="833" ht="16.5" customHeight="1">
      <c r="E833" s="120"/>
      <c r="F833" s="120"/>
    </row>
    <row r="834" ht="16.5" customHeight="1">
      <c r="E834" s="120"/>
      <c r="F834" s="120"/>
    </row>
    <row r="835" ht="16.5" customHeight="1">
      <c r="E835" s="120"/>
      <c r="F835" s="120"/>
    </row>
    <row r="836" ht="16.5" customHeight="1">
      <c r="E836" s="120"/>
      <c r="F836" s="120"/>
    </row>
    <row r="837" ht="16.5" customHeight="1">
      <c r="E837" s="120"/>
      <c r="F837" s="120"/>
    </row>
    <row r="838" ht="16.5" customHeight="1">
      <c r="E838" s="120"/>
      <c r="F838" s="120"/>
    </row>
    <row r="839" ht="16.5" customHeight="1">
      <c r="E839" s="120"/>
      <c r="F839" s="120"/>
    </row>
    <row r="840" ht="16.5" customHeight="1">
      <c r="E840" s="120"/>
      <c r="F840" s="120"/>
    </row>
    <row r="841" ht="16.5" customHeight="1">
      <c r="E841" s="120"/>
      <c r="F841" s="120"/>
    </row>
    <row r="842" ht="16.5" customHeight="1">
      <c r="E842" s="120"/>
      <c r="F842" s="120"/>
    </row>
    <row r="843" ht="16.5" customHeight="1">
      <c r="E843" s="120"/>
      <c r="F843" s="120"/>
    </row>
    <row r="844" ht="16.5" customHeight="1">
      <c r="E844" s="120"/>
      <c r="F844" s="120"/>
    </row>
    <row r="845" ht="16.5" customHeight="1">
      <c r="E845" s="120"/>
      <c r="F845" s="120"/>
    </row>
    <row r="846" ht="16.5" customHeight="1">
      <c r="E846" s="120"/>
      <c r="F846" s="120"/>
    </row>
    <row r="847" ht="16.5" customHeight="1">
      <c r="E847" s="120"/>
      <c r="F847" s="120"/>
    </row>
    <row r="848" ht="16.5" customHeight="1">
      <c r="E848" s="120"/>
      <c r="F848" s="120"/>
    </row>
    <row r="849" ht="16.5" customHeight="1">
      <c r="E849" s="120"/>
      <c r="F849" s="120"/>
    </row>
    <row r="850" ht="16.5" customHeight="1">
      <c r="E850" s="120"/>
      <c r="F850" s="120"/>
    </row>
    <row r="851" ht="16.5" customHeight="1">
      <c r="E851" s="120"/>
      <c r="F851" s="120"/>
    </row>
    <row r="852" ht="16.5" customHeight="1">
      <c r="E852" s="120"/>
      <c r="F852" s="120"/>
    </row>
    <row r="853" ht="16.5" customHeight="1">
      <c r="E853" s="120"/>
      <c r="F853" s="120"/>
    </row>
    <row r="854" ht="16.5" customHeight="1">
      <c r="E854" s="120"/>
      <c r="F854" s="120"/>
    </row>
    <row r="855" ht="16.5" customHeight="1">
      <c r="E855" s="120"/>
      <c r="F855" s="120"/>
    </row>
    <row r="856" ht="16.5" customHeight="1">
      <c r="E856" s="120"/>
      <c r="F856" s="120"/>
    </row>
    <row r="857" ht="16.5" customHeight="1">
      <c r="E857" s="120"/>
      <c r="F857" s="120"/>
    </row>
    <row r="858" ht="16.5" customHeight="1">
      <c r="E858" s="120"/>
      <c r="F858" s="120"/>
    </row>
    <row r="859" ht="16.5" customHeight="1">
      <c r="E859" s="120"/>
      <c r="F859" s="120"/>
    </row>
    <row r="860" ht="16.5" customHeight="1">
      <c r="E860" s="120"/>
      <c r="F860" s="120"/>
    </row>
    <row r="861" ht="16.5" customHeight="1">
      <c r="E861" s="120"/>
      <c r="F861" s="120"/>
    </row>
    <row r="862" ht="16.5" customHeight="1">
      <c r="E862" s="120"/>
      <c r="F862" s="120"/>
    </row>
    <row r="863" ht="16.5" customHeight="1">
      <c r="E863" s="120"/>
      <c r="F863" s="120"/>
    </row>
    <row r="864" ht="16.5" customHeight="1">
      <c r="E864" s="120"/>
      <c r="F864" s="120"/>
    </row>
    <row r="865" ht="16.5" customHeight="1">
      <c r="E865" s="120"/>
      <c r="F865" s="120"/>
    </row>
    <row r="866" ht="16.5" customHeight="1">
      <c r="E866" s="120"/>
      <c r="F866" s="120"/>
    </row>
    <row r="867" ht="16.5" customHeight="1">
      <c r="E867" s="120"/>
      <c r="F867" s="120"/>
    </row>
    <row r="868" ht="16.5" customHeight="1">
      <c r="E868" s="120"/>
      <c r="F868" s="120"/>
    </row>
    <row r="869" ht="16.5" customHeight="1">
      <c r="E869" s="120"/>
      <c r="F869" s="120"/>
    </row>
    <row r="870" ht="16.5" customHeight="1">
      <c r="E870" s="120"/>
      <c r="F870" s="120"/>
    </row>
    <row r="871" ht="16.5" customHeight="1">
      <c r="E871" s="120"/>
      <c r="F871" s="120"/>
    </row>
    <row r="872" ht="16.5" customHeight="1">
      <c r="E872" s="120"/>
      <c r="F872" s="120"/>
    </row>
    <row r="873" ht="16.5" customHeight="1">
      <c r="E873" s="120"/>
      <c r="F873" s="120"/>
    </row>
    <row r="874" ht="16.5" customHeight="1">
      <c r="E874" s="120"/>
      <c r="F874" s="120"/>
    </row>
    <row r="875" ht="16.5" customHeight="1">
      <c r="E875" s="120"/>
      <c r="F875" s="120"/>
    </row>
    <row r="876" ht="16.5" customHeight="1">
      <c r="E876" s="120"/>
      <c r="F876" s="120"/>
    </row>
    <row r="877" ht="16.5" customHeight="1">
      <c r="E877" s="120"/>
      <c r="F877" s="120"/>
    </row>
    <row r="878" ht="16.5" customHeight="1">
      <c r="E878" s="120"/>
      <c r="F878" s="120"/>
    </row>
    <row r="879" ht="16.5" customHeight="1">
      <c r="E879" s="120"/>
      <c r="F879" s="120"/>
    </row>
    <row r="880" ht="16.5" customHeight="1">
      <c r="E880" s="120"/>
      <c r="F880" s="120"/>
    </row>
    <row r="881" ht="16.5" customHeight="1">
      <c r="E881" s="120"/>
      <c r="F881" s="120"/>
    </row>
    <row r="882" ht="16.5" customHeight="1">
      <c r="E882" s="120"/>
      <c r="F882" s="120"/>
    </row>
    <row r="883" ht="16.5" customHeight="1">
      <c r="E883" s="120"/>
      <c r="F883" s="120"/>
    </row>
    <row r="884" ht="16.5" customHeight="1">
      <c r="E884" s="120"/>
      <c r="F884" s="120"/>
    </row>
    <row r="885" ht="16.5" customHeight="1">
      <c r="E885" s="120"/>
      <c r="F885" s="120"/>
    </row>
    <row r="886" ht="16.5" customHeight="1">
      <c r="E886" s="120"/>
      <c r="F886" s="120"/>
    </row>
    <row r="887" ht="16.5" customHeight="1">
      <c r="E887" s="120"/>
      <c r="F887" s="120"/>
    </row>
    <row r="888" ht="16.5" customHeight="1">
      <c r="E888" s="120"/>
      <c r="F888" s="120"/>
    </row>
    <row r="889" ht="16.5" customHeight="1">
      <c r="E889" s="120"/>
      <c r="F889" s="120"/>
    </row>
    <row r="890" ht="16.5" customHeight="1">
      <c r="E890" s="120"/>
      <c r="F890" s="120"/>
    </row>
    <row r="891" ht="16.5" customHeight="1">
      <c r="E891" s="120"/>
      <c r="F891" s="120"/>
    </row>
    <row r="892" ht="16.5" customHeight="1">
      <c r="E892" s="120"/>
      <c r="F892" s="120"/>
    </row>
    <row r="893" ht="16.5" customHeight="1">
      <c r="E893" s="120"/>
      <c r="F893" s="120"/>
    </row>
    <row r="894" ht="16.5" customHeight="1">
      <c r="E894" s="120"/>
      <c r="F894" s="120"/>
    </row>
    <row r="895" ht="16.5" customHeight="1">
      <c r="E895" s="120"/>
      <c r="F895" s="120"/>
    </row>
    <row r="896" ht="16.5" customHeight="1">
      <c r="E896" s="120"/>
      <c r="F896" s="120"/>
    </row>
    <row r="897" ht="16.5" customHeight="1">
      <c r="E897" s="120"/>
      <c r="F897" s="120"/>
    </row>
    <row r="898" ht="16.5" customHeight="1">
      <c r="E898" s="120"/>
      <c r="F898" s="120"/>
    </row>
    <row r="899" ht="16.5" customHeight="1">
      <c r="E899" s="120"/>
      <c r="F899" s="120"/>
    </row>
    <row r="900" ht="16.5" customHeight="1">
      <c r="E900" s="120"/>
      <c r="F900" s="120"/>
    </row>
    <row r="901" ht="16.5" customHeight="1">
      <c r="E901" s="120"/>
      <c r="F901" s="120"/>
    </row>
    <row r="902" ht="16.5" customHeight="1">
      <c r="E902" s="120"/>
      <c r="F902" s="120"/>
    </row>
    <row r="903" ht="16.5" customHeight="1">
      <c r="E903" s="120"/>
      <c r="F903" s="120"/>
    </row>
    <row r="904" ht="16.5" customHeight="1">
      <c r="E904" s="120"/>
      <c r="F904" s="120"/>
    </row>
    <row r="905" ht="16.5" customHeight="1">
      <c r="E905" s="120"/>
      <c r="F905" s="120"/>
    </row>
    <row r="906" ht="16.5" customHeight="1">
      <c r="E906" s="120"/>
      <c r="F906" s="120"/>
    </row>
    <row r="907" ht="16.5" customHeight="1">
      <c r="E907" s="120"/>
      <c r="F907" s="120"/>
    </row>
    <row r="908" ht="16.5" customHeight="1">
      <c r="E908" s="120"/>
      <c r="F908" s="120"/>
    </row>
    <row r="909" ht="16.5" customHeight="1">
      <c r="E909" s="120"/>
      <c r="F909" s="120"/>
    </row>
    <row r="910" ht="16.5" customHeight="1">
      <c r="E910" s="120"/>
      <c r="F910" s="120"/>
    </row>
    <row r="911" ht="16.5" customHeight="1">
      <c r="E911" s="120"/>
      <c r="F911" s="120"/>
    </row>
    <row r="912" ht="16.5" customHeight="1">
      <c r="E912" s="120"/>
      <c r="F912" s="120"/>
    </row>
    <row r="913" ht="16.5" customHeight="1">
      <c r="E913" s="120"/>
      <c r="F913" s="120"/>
    </row>
    <row r="914" ht="16.5" customHeight="1">
      <c r="E914" s="120"/>
      <c r="F914" s="120"/>
    </row>
    <row r="915" ht="16.5" customHeight="1">
      <c r="E915" s="120"/>
      <c r="F915" s="120"/>
    </row>
    <row r="916" ht="16.5" customHeight="1">
      <c r="E916" s="120"/>
      <c r="F916" s="120"/>
    </row>
    <row r="917" ht="16.5" customHeight="1">
      <c r="E917" s="120"/>
      <c r="F917" s="120"/>
    </row>
    <row r="918" ht="16.5" customHeight="1">
      <c r="E918" s="120"/>
      <c r="F918" s="120"/>
    </row>
    <row r="919" ht="16.5" customHeight="1">
      <c r="E919" s="120"/>
      <c r="F919" s="120"/>
    </row>
    <row r="920" ht="16.5" customHeight="1">
      <c r="E920" s="120"/>
      <c r="F920" s="120"/>
    </row>
    <row r="921" ht="16.5" customHeight="1">
      <c r="E921" s="120"/>
      <c r="F921" s="120"/>
    </row>
    <row r="922" ht="16.5" customHeight="1">
      <c r="E922" s="120"/>
      <c r="F922" s="120"/>
    </row>
    <row r="923" ht="16.5" customHeight="1">
      <c r="E923" s="120"/>
      <c r="F923" s="120"/>
    </row>
    <row r="924" ht="16.5" customHeight="1">
      <c r="E924" s="120"/>
      <c r="F924" s="120"/>
    </row>
    <row r="925" ht="16.5" customHeight="1">
      <c r="E925" s="120"/>
      <c r="F925" s="120"/>
    </row>
    <row r="926" ht="16.5" customHeight="1">
      <c r="E926" s="120"/>
      <c r="F926" s="120"/>
    </row>
    <row r="927" ht="16.5" customHeight="1">
      <c r="E927" s="120"/>
      <c r="F927" s="120"/>
    </row>
    <row r="928" ht="16.5" customHeight="1">
      <c r="E928" s="120"/>
      <c r="F928" s="120"/>
    </row>
    <row r="929" ht="16.5" customHeight="1">
      <c r="E929" s="120"/>
      <c r="F929" s="120"/>
    </row>
    <row r="930" ht="16.5" customHeight="1">
      <c r="E930" s="120"/>
      <c r="F930" s="120"/>
    </row>
    <row r="931" ht="16.5" customHeight="1">
      <c r="E931" s="120"/>
      <c r="F931" s="120"/>
    </row>
    <row r="932" ht="16.5" customHeight="1">
      <c r="E932" s="120"/>
      <c r="F932" s="120"/>
    </row>
    <row r="933" ht="16.5" customHeight="1">
      <c r="E933" s="120"/>
      <c r="F933" s="120"/>
    </row>
    <row r="934" ht="16.5" customHeight="1">
      <c r="E934" s="120"/>
      <c r="F934" s="120"/>
    </row>
    <row r="935" ht="16.5" customHeight="1">
      <c r="E935" s="120"/>
      <c r="F935" s="120"/>
    </row>
    <row r="936" ht="16.5" customHeight="1">
      <c r="E936" s="120"/>
      <c r="F936" s="120"/>
    </row>
    <row r="937" ht="16.5" customHeight="1">
      <c r="E937" s="120"/>
      <c r="F937" s="120"/>
    </row>
    <row r="938" ht="16.5" customHeight="1">
      <c r="E938" s="120"/>
      <c r="F938" s="120"/>
    </row>
    <row r="939" ht="16.5" customHeight="1">
      <c r="E939" s="120"/>
      <c r="F939" s="120"/>
    </row>
    <row r="940" ht="16.5" customHeight="1">
      <c r="E940" s="120"/>
      <c r="F940" s="120"/>
    </row>
    <row r="941" ht="16.5" customHeight="1">
      <c r="E941" s="120"/>
      <c r="F941" s="120"/>
    </row>
    <row r="942" ht="16.5" customHeight="1">
      <c r="E942" s="120"/>
      <c r="F942" s="120"/>
    </row>
    <row r="943" ht="16.5" customHeight="1">
      <c r="E943" s="120"/>
      <c r="F943" s="120"/>
    </row>
    <row r="944" ht="16.5" customHeight="1">
      <c r="E944" s="120"/>
      <c r="F944" s="120"/>
    </row>
    <row r="945" ht="16.5" customHeight="1">
      <c r="E945" s="120"/>
      <c r="F945" s="120"/>
    </row>
    <row r="946" ht="16.5" customHeight="1">
      <c r="E946" s="120"/>
      <c r="F946" s="120"/>
    </row>
    <row r="947" ht="16.5" customHeight="1">
      <c r="E947" s="120"/>
      <c r="F947" s="120"/>
    </row>
    <row r="948" ht="16.5" customHeight="1">
      <c r="E948" s="120"/>
      <c r="F948" s="120"/>
    </row>
    <row r="949" ht="16.5" customHeight="1">
      <c r="E949" s="120"/>
      <c r="F949" s="120"/>
    </row>
    <row r="950" ht="16.5" customHeight="1">
      <c r="E950" s="120"/>
      <c r="F950" s="120"/>
    </row>
    <row r="951" ht="16.5" customHeight="1">
      <c r="E951" s="120"/>
      <c r="F951" s="120"/>
    </row>
    <row r="952" ht="16.5" customHeight="1">
      <c r="E952" s="120"/>
      <c r="F952" s="120"/>
    </row>
    <row r="953" ht="16.5" customHeight="1">
      <c r="E953" s="120"/>
      <c r="F953" s="120"/>
    </row>
    <row r="954" ht="16.5" customHeight="1">
      <c r="E954" s="120"/>
      <c r="F954" s="120"/>
    </row>
    <row r="955" ht="16.5" customHeight="1">
      <c r="E955" s="120"/>
      <c r="F955" s="120"/>
    </row>
    <row r="956" ht="16.5" customHeight="1">
      <c r="E956" s="120"/>
      <c r="F956" s="120"/>
    </row>
    <row r="957" ht="16.5" customHeight="1">
      <c r="E957" s="120"/>
      <c r="F957" s="120"/>
    </row>
    <row r="958" ht="16.5" customHeight="1">
      <c r="E958" s="120"/>
      <c r="F958" s="120"/>
    </row>
    <row r="959" ht="16.5" customHeight="1">
      <c r="E959" s="120"/>
      <c r="F959" s="120"/>
    </row>
    <row r="960" ht="16.5" customHeight="1">
      <c r="E960" s="120"/>
      <c r="F960" s="120"/>
    </row>
    <row r="961" ht="16.5" customHeight="1">
      <c r="E961" s="120"/>
      <c r="F961" s="120"/>
    </row>
    <row r="962" ht="16.5" customHeight="1">
      <c r="E962" s="120"/>
      <c r="F962" s="120"/>
    </row>
    <row r="963" ht="16.5" customHeight="1">
      <c r="E963" s="120"/>
      <c r="F963" s="120"/>
    </row>
    <row r="964" ht="16.5" customHeight="1">
      <c r="E964" s="120"/>
      <c r="F964" s="120"/>
    </row>
    <row r="965" ht="16.5" customHeight="1">
      <c r="E965" s="120"/>
      <c r="F965" s="120"/>
    </row>
    <row r="966" ht="16.5" customHeight="1">
      <c r="E966" s="120"/>
      <c r="F966" s="120"/>
    </row>
    <row r="967" ht="16.5" customHeight="1">
      <c r="E967" s="120"/>
      <c r="F967" s="120"/>
    </row>
    <row r="968" ht="16.5" customHeight="1">
      <c r="E968" s="120"/>
      <c r="F968" s="120"/>
    </row>
    <row r="969" ht="16.5" customHeight="1">
      <c r="E969" s="120"/>
      <c r="F969" s="120"/>
    </row>
    <row r="970" ht="16.5" customHeight="1">
      <c r="E970" s="120"/>
      <c r="F970" s="120"/>
    </row>
    <row r="971" ht="16.5" customHeight="1">
      <c r="E971" s="120"/>
      <c r="F971" s="120"/>
    </row>
    <row r="972" ht="16.5" customHeight="1">
      <c r="E972" s="120"/>
      <c r="F972" s="120"/>
    </row>
    <row r="973" ht="16.5" customHeight="1">
      <c r="E973" s="120"/>
      <c r="F973" s="120"/>
    </row>
    <row r="974" ht="16.5" customHeight="1">
      <c r="E974" s="120"/>
      <c r="F974" s="120"/>
    </row>
    <row r="975" ht="16.5" customHeight="1">
      <c r="E975" s="120"/>
      <c r="F975" s="120"/>
    </row>
    <row r="976" ht="16.5" customHeight="1">
      <c r="E976" s="120"/>
      <c r="F976" s="120"/>
    </row>
    <row r="977" ht="16.5" customHeight="1">
      <c r="E977" s="120"/>
      <c r="F977" s="120"/>
    </row>
    <row r="978" ht="16.5" customHeight="1">
      <c r="E978" s="120"/>
      <c r="F978" s="120"/>
    </row>
    <row r="979" ht="16.5" customHeight="1">
      <c r="E979" s="120"/>
      <c r="F979" s="120"/>
    </row>
    <row r="980" ht="16.5" customHeight="1">
      <c r="E980" s="120"/>
      <c r="F980" s="120"/>
    </row>
    <row r="981" ht="16.5" customHeight="1">
      <c r="E981" s="120"/>
      <c r="F981" s="120"/>
    </row>
    <row r="982" ht="16.5" customHeight="1">
      <c r="E982" s="120"/>
      <c r="F982" s="120"/>
    </row>
    <row r="983" ht="16.5" customHeight="1">
      <c r="E983" s="120"/>
      <c r="F983" s="120"/>
    </row>
    <row r="984" ht="16.5" customHeight="1">
      <c r="E984" s="120"/>
      <c r="F984" s="120"/>
    </row>
    <row r="985" ht="16.5" customHeight="1">
      <c r="E985" s="120"/>
      <c r="F985" s="120"/>
    </row>
    <row r="986" ht="16.5" customHeight="1">
      <c r="E986" s="120"/>
      <c r="F986" s="120"/>
    </row>
    <row r="987" ht="16.5" customHeight="1">
      <c r="E987" s="120"/>
      <c r="F987" s="120"/>
    </row>
    <row r="988" ht="16.5" customHeight="1">
      <c r="E988" s="120"/>
      <c r="F988" s="120"/>
    </row>
    <row r="989" ht="16.5" customHeight="1">
      <c r="E989" s="120"/>
      <c r="F989" s="120"/>
    </row>
    <row r="990" ht="16.5" customHeight="1">
      <c r="E990" s="120"/>
      <c r="F990" s="120"/>
    </row>
    <row r="991" ht="16.5" customHeight="1">
      <c r="E991" s="120"/>
      <c r="F991" s="120"/>
    </row>
    <row r="992" ht="16.5" customHeight="1">
      <c r="E992" s="120"/>
      <c r="F992" s="120"/>
    </row>
    <row r="993" ht="16.5" customHeight="1">
      <c r="E993" s="120"/>
      <c r="F993" s="120"/>
    </row>
    <row r="994" ht="16.5" customHeight="1">
      <c r="E994" s="120"/>
      <c r="F994" s="120"/>
    </row>
    <row r="995" ht="16.5" customHeight="1">
      <c r="E995" s="120"/>
      <c r="F995" s="120"/>
    </row>
    <row r="996" ht="16.5" customHeight="1">
      <c r="E996" s="120"/>
      <c r="F996" s="120"/>
    </row>
    <row r="997" ht="16.5" customHeight="1">
      <c r="E997" s="120"/>
      <c r="F997" s="120"/>
    </row>
    <row r="998" ht="16.5" customHeight="1">
      <c r="E998" s="120"/>
      <c r="F998" s="120"/>
    </row>
    <row r="999" ht="16.5" customHeight="1">
      <c r="E999" s="120"/>
      <c r="F999" s="120"/>
    </row>
    <row r="1000" ht="16.5" customHeight="1">
      <c r="E1000" s="120"/>
      <c r="F1000" s="120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.71"/>
    <col customWidth="1" min="2" max="2" width="5.43"/>
    <col customWidth="1" min="3" max="3" width="13.0"/>
    <col customWidth="1" min="4" max="4" width="9.0"/>
    <col customWidth="1" min="5" max="5" width="13.43"/>
    <col customWidth="1" min="6" max="6" width="16.71"/>
    <col customWidth="1" min="7" max="7" width="21.14"/>
    <col customWidth="1" min="8" max="9" width="6.86"/>
    <col customWidth="1" min="10" max="10" width="10.71"/>
    <col customWidth="1" min="11" max="11" width="8.71"/>
    <col customWidth="1" min="12" max="12" width="11.43"/>
    <col customWidth="1" min="13" max="15" width="12.43"/>
    <col customWidth="1" min="16" max="16" width="16.14"/>
    <col customWidth="1" min="17" max="17" width="12.43"/>
    <col customWidth="1" min="18" max="18" width="49.86"/>
    <col customWidth="1" min="19" max="19" width="43.0"/>
    <col customWidth="1" min="20" max="20" width="13.43"/>
    <col customWidth="1" min="21" max="22" width="9.0"/>
    <col customWidth="1" min="23" max="24" width="8.71"/>
  </cols>
  <sheetData>
    <row r="1" ht="85.5" hidden="1" customHeight="1">
      <c r="A1" s="1"/>
      <c r="B1" s="2" t="s">
        <v>983</v>
      </c>
      <c r="U1" s="1"/>
      <c r="V1" s="3"/>
      <c r="W1" s="1"/>
      <c r="X1" s="1"/>
    </row>
    <row r="2" ht="33.75" customHeight="1">
      <c r="A2" s="1"/>
      <c r="B2" s="1"/>
      <c r="C2" s="5" t="s">
        <v>42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1"/>
      <c r="U2" s="1"/>
      <c r="V2" s="3"/>
      <c r="W2" s="1"/>
      <c r="X2" s="1"/>
    </row>
    <row r="3" ht="16.5" customHeight="1">
      <c r="A3" s="1"/>
      <c r="B3" s="1"/>
      <c r="C3" s="1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8"/>
      <c r="S3" s="1"/>
      <c r="T3" s="1"/>
      <c r="U3" s="1"/>
      <c r="V3" s="3"/>
      <c r="W3" s="1"/>
      <c r="X3" s="1"/>
    </row>
    <row r="4" ht="21.0" customHeight="1">
      <c r="A4" s="1"/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12" t="s">
        <v>2</v>
      </c>
      <c r="N4" s="13"/>
      <c r="O4" s="13"/>
      <c r="P4" s="13"/>
      <c r="Q4" s="13"/>
      <c r="R4" s="13"/>
      <c r="S4" s="14"/>
      <c r="T4" s="15" t="s">
        <v>3</v>
      </c>
      <c r="U4" s="1"/>
      <c r="V4" s="3"/>
      <c r="W4" s="1"/>
      <c r="X4" s="1"/>
    </row>
    <row r="5">
      <c r="A5" s="1"/>
      <c r="B5" s="16" t="s">
        <v>4</v>
      </c>
      <c r="C5" s="16" t="s">
        <v>5</v>
      </c>
      <c r="D5" s="17" t="s">
        <v>6</v>
      </c>
      <c r="E5" s="18" t="s">
        <v>7</v>
      </c>
      <c r="F5" s="17" t="s">
        <v>8</v>
      </c>
      <c r="G5" s="19" t="s">
        <v>9</v>
      </c>
      <c r="H5" s="18" t="s">
        <v>10</v>
      </c>
      <c r="I5" s="17" t="s">
        <v>11</v>
      </c>
      <c r="J5" s="17" t="s">
        <v>12</v>
      </c>
      <c r="K5" s="17" t="s">
        <v>13</v>
      </c>
      <c r="L5" s="20" t="s">
        <v>14</v>
      </c>
      <c r="M5" s="21" t="s">
        <v>15</v>
      </c>
      <c r="N5" s="22"/>
      <c r="O5" s="22"/>
      <c r="P5" s="22"/>
      <c r="Q5" s="23"/>
      <c r="R5" s="24" t="s">
        <v>16</v>
      </c>
      <c r="S5" s="25" t="s">
        <v>17</v>
      </c>
      <c r="T5" s="26"/>
      <c r="U5" s="1"/>
      <c r="V5" s="3"/>
      <c r="W5" s="1"/>
      <c r="X5" s="1"/>
    </row>
    <row r="6">
      <c r="A6" s="1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28" t="s">
        <v>18</v>
      </c>
      <c r="N6" s="29" t="s">
        <v>19</v>
      </c>
      <c r="O6" s="29" t="s">
        <v>20</v>
      </c>
      <c r="P6" s="29" t="s">
        <v>21</v>
      </c>
      <c r="Q6" s="30" t="s">
        <v>22</v>
      </c>
      <c r="R6" s="31"/>
      <c r="S6" s="26"/>
      <c r="T6" s="26"/>
      <c r="U6" s="1"/>
      <c r="V6" s="3"/>
      <c r="W6" s="1"/>
      <c r="X6" s="1"/>
    </row>
    <row r="7">
      <c r="A7" s="1"/>
      <c r="B7" s="32"/>
      <c r="C7" s="32"/>
      <c r="D7" s="32"/>
      <c r="E7" s="32"/>
      <c r="F7" s="32"/>
      <c r="G7" s="32"/>
      <c r="H7" s="32"/>
      <c r="I7" s="32"/>
      <c r="J7" s="32"/>
      <c r="K7" s="32"/>
      <c r="L7" s="33"/>
      <c r="M7" s="34">
        <f t="shared" ref="M7:Q7" si="1">COUNTA(M9:M283)</f>
        <v>60</v>
      </c>
      <c r="N7" s="35">
        <f t="shared" si="1"/>
        <v>8</v>
      </c>
      <c r="O7" s="35">
        <f t="shared" si="1"/>
        <v>66</v>
      </c>
      <c r="P7" s="35">
        <f t="shared" si="1"/>
        <v>0</v>
      </c>
      <c r="Q7" s="36">
        <f t="shared" si="1"/>
        <v>17</v>
      </c>
      <c r="R7" s="7"/>
      <c r="S7" s="32"/>
      <c r="T7" s="32"/>
      <c r="U7" s="1"/>
      <c r="V7" s="3"/>
      <c r="W7" s="1"/>
      <c r="X7" s="1"/>
    </row>
    <row r="8" ht="16.5" customHeight="1">
      <c r="A8" s="1"/>
      <c r="B8" s="37">
        <f t="shared" ref="B8:C8" si="2">COUNTA(B9:B283)</f>
        <v>185</v>
      </c>
      <c r="C8" s="37">
        <f t="shared" si="2"/>
        <v>160</v>
      </c>
      <c r="D8" s="38"/>
      <c r="E8" s="39"/>
      <c r="F8" s="38"/>
      <c r="G8" s="37">
        <f>COUNTA(G9:G283)</f>
        <v>157</v>
      </c>
      <c r="H8" s="37"/>
      <c r="I8" s="38"/>
      <c r="J8" s="38"/>
      <c r="K8" s="38"/>
      <c r="L8" s="40"/>
      <c r="M8" s="41">
        <f>SUM(M7:Q7)</f>
        <v>151</v>
      </c>
      <c r="N8" s="10"/>
      <c r="O8" s="10"/>
      <c r="P8" s="10"/>
      <c r="Q8" s="42"/>
      <c r="R8" s="43"/>
      <c r="S8" s="44"/>
      <c r="T8" s="38"/>
      <c r="U8" s="1"/>
      <c r="V8" s="3"/>
      <c r="W8" s="1"/>
      <c r="X8" s="1"/>
    </row>
    <row r="9" ht="30.0" customHeight="1">
      <c r="A9" s="1"/>
      <c r="B9" s="45">
        <f t="shared" ref="B9:B193" si="3">ROW()-8</f>
        <v>1</v>
      </c>
      <c r="C9" s="112">
        <v>45296.0</v>
      </c>
      <c r="D9" s="124"/>
      <c r="E9" s="113" t="s">
        <v>984</v>
      </c>
      <c r="F9" s="124"/>
      <c r="G9" s="113" t="s">
        <v>70</v>
      </c>
      <c r="H9" s="124"/>
      <c r="I9" s="124"/>
      <c r="J9" s="124"/>
      <c r="K9" s="124"/>
      <c r="L9" s="125"/>
      <c r="M9" s="51" t="s">
        <v>203</v>
      </c>
      <c r="N9" s="124"/>
      <c r="O9" s="49"/>
      <c r="P9" s="124"/>
      <c r="Q9" s="126"/>
      <c r="R9" s="114" t="s">
        <v>985</v>
      </c>
      <c r="S9" s="114" t="s">
        <v>986</v>
      </c>
      <c r="T9" s="115" t="s">
        <v>987</v>
      </c>
      <c r="U9" s="1"/>
      <c r="V9" s="3"/>
      <c r="W9" s="1"/>
      <c r="X9" s="1"/>
    </row>
    <row r="10" ht="40.5" customHeight="1">
      <c r="A10" s="1"/>
      <c r="B10" s="45">
        <f t="shared" si="3"/>
        <v>2</v>
      </c>
      <c r="C10" s="93">
        <v>45296.0</v>
      </c>
      <c r="D10" s="57" t="s">
        <v>988</v>
      </c>
      <c r="E10" s="57" t="s">
        <v>24</v>
      </c>
      <c r="F10" s="57" t="s">
        <v>989</v>
      </c>
      <c r="G10" s="57" t="s">
        <v>26</v>
      </c>
      <c r="H10" s="57" t="s">
        <v>988</v>
      </c>
      <c r="I10" s="57" t="s">
        <v>60</v>
      </c>
      <c r="J10" s="57" t="s">
        <v>61</v>
      </c>
      <c r="K10" s="57" t="s">
        <v>55</v>
      </c>
      <c r="L10" s="5" t="s">
        <v>85</v>
      </c>
      <c r="M10" s="59" t="s">
        <v>203</v>
      </c>
      <c r="N10" s="80"/>
      <c r="O10" s="60"/>
      <c r="P10" s="80"/>
      <c r="Q10" s="127"/>
      <c r="R10" s="81" t="s">
        <v>990</v>
      </c>
      <c r="S10" s="81" t="s">
        <v>991</v>
      </c>
      <c r="T10" s="82" t="s">
        <v>358</v>
      </c>
      <c r="U10" s="1"/>
      <c r="V10" s="3"/>
      <c r="W10" s="1"/>
      <c r="X10" s="1"/>
    </row>
    <row r="11" ht="30.0" customHeight="1">
      <c r="A11" s="1"/>
      <c r="B11" s="45">
        <f t="shared" si="3"/>
        <v>3</v>
      </c>
      <c r="C11" s="93">
        <v>45301.0</v>
      </c>
      <c r="D11" s="80"/>
      <c r="E11" s="80"/>
      <c r="F11" s="57" t="s">
        <v>992</v>
      </c>
      <c r="G11" s="57" t="s">
        <v>42</v>
      </c>
      <c r="H11" s="80"/>
      <c r="I11" s="80"/>
      <c r="J11" s="80"/>
      <c r="K11" s="80"/>
      <c r="L11" s="128"/>
      <c r="M11" s="129"/>
      <c r="N11" s="80"/>
      <c r="O11" s="60"/>
      <c r="P11" s="80"/>
      <c r="Q11" s="66">
        <v>0.0</v>
      </c>
      <c r="R11" s="81" t="s">
        <v>993</v>
      </c>
      <c r="S11" s="81" t="s">
        <v>994</v>
      </c>
      <c r="T11" s="82" t="s">
        <v>987</v>
      </c>
      <c r="U11" s="1"/>
      <c r="V11" s="3"/>
      <c r="W11" s="1"/>
      <c r="X11" s="1"/>
    </row>
    <row r="12" ht="30.0" customHeight="1">
      <c r="A12" s="1"/>
      <c r="B12" s="45">
        <f t="shared" si="3"/>
        <v>4</v>
      </c>
      <c r="C12" s="93">
        <v>45306.0</v>
      </c>
      <c r="D12" s="80"/>
      <c r="E12" s="57" t="s">
        <v>47</v>
      </c>
      <c r="F12" s="80"/>
      <c r="G12" s="57" t="s">
        <v>26</v>
      </c>
      <c r="H12" s="80"/>
      <c r="I12" s="57" t="s">
        <v>53</v>
      </c>
      <c r="J12" s="57" t="s">
        <v>61</v>
      </c>
      <c r="K12" s="57" t="s">
        <v>55</v>
      </c>
      <c r="L12" s="5" t="s">
        <v>85</v>
      </c>
      <c r="M12" s="59" t="s">
        <v>120</v>
      </c>
      <c r="N12" s="80"/>
      <c r="O12" s="60"/>
      <c r="P12" s="80"/>
      <c r="Q12" s="127"/>
      <c r="R12" s="81" t="s">
        <v>995</v>
      </c>
      <c r="S12" s="81" t="s">
        <v>996</v>
      </c>
      <c r="T12" s="82" t="s">
        <v>987</v>
      </c>
      <c r="U12" s="1"/>
      <c r="V12" s="3"/>
      <c r="W12" s="1"/>
      <c r="X12" s="1"/>
    </row>
    <row r="13" ht="30.0" customHeight="1">
      <c r="A13" s="1"/>
      <c r="B13" s="45">
        <f t="shared" si="3"/>
        <v>5</v>
      </c>
      <c r="C13" s="93">
        <v>45313.0</v>
      </c>
      <c r="D13" s="80"/>
      <c r="E13" s="57" t="s">
        <v>997</v>
      </c>
      <c r="F13" s="80"/>
      <c r="G13" s="57" t="s">
        <v>42</v>
      </c>
      <c r="H13" s="80"/>
      <c r="I13" s="57" t="s">
        <v>53</v>
      </c>
      <c r="J13" s="57" t="s">
        <v>99</v>
      </c>
      <c r="K13" s="80"/>
      <c r="L13" s="5" t="s">
        <v>85</v>
      </c>
      <c r="M13" s="59" t="s">
        <v>120</v>
      </c>
      <c r="N13" s="80"/>
      <c r="O13" s="60"/>
      <c r="P13" s="80"/>
      <c r="Q13" s="127"/>
      <c r="R13" s="81" t="s">
        <v>998</v>
      </c>
      <c r="S13" s="81" t="s">
        <v>999</v>
      </c>
      <c r="T13" s="82" t="s">
        <v>987</v>
      </c>
      <c r="U13" s="1"/>
      <c r="V13" s="3"/>
      <c r="W13" s="1"/>
      <c r="X13" s="1"/>
    </row>
    <row r="14" ht="30.0" customHeight="1">
      <c r="A14" s="1"/>
      <c r="B14" s="45">
        <f t="shared" si="3"/>
        <v>6</v>
      </c>
      <c r="C14" s="93">
        <v>45316.0</v>
      </c>
      <c r="D14" s="80"/>
      <c r="E14" s="57" t="s">
        <v>24</v>
      </c>
      <c r="F14" s="57" t="s">
        <v>1000</v>
      </c>
      <c r="G14" s="57" t="s">
        <v>42</v>
      </c>
      <c r="H14" s="80"/>
      <c r="I14" s="57" t="s">
        <v>53</v>
      </c>
      <c r="J14" s="57" t="s">
        <v>61</v>
      </c>
      <c r="K14" s="57" t="s">
        <v>55</v>
      </c>
      <c r="L14" s="5" t="s">
        <v>202</v>
      </c>
      <c r="M14" s="59" t="s">
        <v>120</v>
      </c>
      <c r="N14" s="80"/>
      <c r="O14" s="60"/>
      <c r="P14" s="80"/>
      <c r="Q14" s="127"/>
      <c r="R14" s="81" t="s">
        <v>1001</v>
      </c>
      <c r="S14" s="81" t="s">
        <v>999</v>
      </c>
      <c r="T14" s="82" t="s">
        <v>102</v>
      </c>
      <c r="U14" s="1"/>
      <c r="V14" s="3"/>
      <c r="W14" s="1"/>
      <c r="X14" s="1"/>
    </row>
    <row r="15" ht="30.0" customHeight="1">
      <c r="A15" s="1"/>
      <c r="B15" s="45">
        <f t="shared" si="3"/>
        <v>7</v>
      </c>
      <c r="C15" s="93">
        <v>45322.0</v>
      </c>
      <c r="D15" s="57" t="s">
        <v>1002</v>
      </c>
      <c r="E15" s="57" t="s">
        <v>1003</v>
      </c>
      <c r="F15" s="57" t="s">
        <v>1004</v>
      </c>
      <c r="G15" s="57" t="s">
        <v>26</v>
      </c>
      <c r="H15" s="80"/>
      <c r="I15" s="57" t="s">
        <v>60</v>
      </c>
      <c r="J15" s="57" t="s">
        <v>61</v>
      </c>
      <c r="K15" s="57" t="s">
        <v>55</v>
      </c>
      <c r="L15" s="128"/>
      <c r="M15" s="129"/>
      <c r="N15" s="80"/>
      <c r="O15" s="57" t="s">
        <v>22</v>
      </c>
      <c r="P15" s="80"/>
      <c r="Q15" s="127"/>
      <c r="R15" s="81" t="s">
        <v>1005</v>
      </c>
      <c r="S15" s="81" t="s">
        <v>1006</v>
      </c>
      <c r="T15" s="82" t="s">
        <v>987</v>
      </c>
      <c r="U15" s="1"/>
      <c r="V15" s="3"/>
      <c r="W15" s="1"/>
      <c r="X15" s="1"/>
    </row>
    <row r="16" ht="30.0" customHeight="1">
      <c r="A16" s="1"/>
      <c r="B16" s="45">
        <f t="shared" si="3"/>
        <v>8</v>
      </c>
      <c r="C16" s="93">
        <v>45324.0</v>
      </c>
      <c r="D16" s="80"/>
      <c r="E16" s="80"/>
      <c r="F16" s="57" t="s">
        <v>1007</v>
      </c>
      <c r="G16" s="57" t="s">
        <v>42</v>
      </c>
      <c r="H16" s="80"/>
      <c r="I16" s="80"/>
      <c r="J16" s="80"/>
      <c r="K16" s="80"/>
      <c r="L16" s="5" t="s">
        <v>85</v>
      </c>
      <c r="M16" s="59" t="s">
        <v>71</v>
      </c>
      <c r="N16" s="80"/>
      <c r="O16" s="60"/>
      <c r="P16" s="80"/>
      <c r="Q16" s="127"/>
      <c r="R16" s="81" t="s">
        <v>1008</v>
      </c>
      <c r="S16" s="81" t="s">
        <v>1009</v>
      </c>
      <c r="T16" s="82" t="s">
        <v>987</v>
      </c>
      <c r="U16" s="1"/>
      <c r="V16" s="3"/>
      <c r="W16" s="1"/>
      <c r="X16" s="1"/>
    </row>
    <row r="17" ht="30.0" customHeight="1">
      <c r="A17" s="1"/>
      <c r="B17" s="45">
        <f t="shared" si="3"/>
        <v>9</v>
      </c>
      <c r="C17" s="93">
        <v>45328.0</v>
      </c>
      <c r="D17" s="80"/>
      <c r="E17" s="57" t="s">
        <v>1010</v>
      </c>
      <c r="F17" s="80"/>
      <c r="G17" s="57" t="s">
        <v>70</v>
      </c>
      <c r="H17" s="80"/>
      <c r="I17" s="80"/>
      <c r="J17" s="80"/>
      <c r="K17" s="80"/>
      <c r="L17" s="5" t="s">
        <v>85</v>
      </c>
      <c r="M17" s="59" t="s">
        <v>203</v>
      </c>
      <c r="N17" s="80"/>
      <c r="O17" s="60"/>
      <c r="P17" s="80"/>
      <c r="Q17" s="127"/>
      <c r="R17" s="81" t="s">
        <v>1011</v>
      </c>
      <c r="S17" s="81" t="s">
        <v>1012</v>
      </c>
      <c r="T17" s="82" t="s">
        <v>987</v>
      </c>
      <c r="U17" s="1"/>
      <c r="V17" s="3"/>
      <c r="W17" s="1"/>
      <c r="X17" s="1"/>
    </row>
    <row r="18" ht="30.0" customHeight="1">
      <c r="A18" s="1"/>
      <c r="B18" s="45">
        <f t="shared" si="3"/>
        <v>10</v>
      </c>
      <c r="C18" s="93">
        <v>45336.0</v>
      </c>
      <c r="D18" s="57" t="s">
        <v>1013</v>
      </c>
      <c r="E18" s="57" t="s">
        <v>40</v>
      </c>
      <c r="F18" s="57" t="s">
        <v>1014</v>
      </c>
      <c r="G18" s="57" t="s">
        <v>42</v>
      </c>
      <c r="H18" s="80"/>
      <c r="I18" s="80"/>
      <c r="J18" s="80"/>
      <c r="K18" s="80"/>
      <c r="L18" s="128"/>
      <c r="M18" s="129"/>
      <c r="N18" s="80"/>
      <c r="O18" s="57" t="s">
        <v>27</v>
      </c>
      <c r="P18" s="80"/>
      <c r="Q18" s="127"/>
      <c r="R18" s="81" t="s">
        <v>1015</v>
      </c>
      <c r="S18" s="81" t="s">
        <v>1016</v>
      </c>
      <c r="T18" s="82" t="s">
        <v>309</v>
      </c>
      <c r="U18" s="1"/>
      <c r="V18" s="3"/>
      <c r="W18" s="1"/>
      <c r="X18" s="1"/>
    </row>
    <row r="19" ht="30.0" customHeight="1">
      <c r="A19" s="1"/>
      <c r="B19" s="45">
        <f t="shared" si="3"/>
        <v>11</v>
      </c>
      <c r="C19" s="93">
        <v>45337.0</v>
      </c>
      <c r="D19" s="80"/>
      <c r="E19" s="80"/>
      <c r="F19" s="80"/>
      <c r="G19" s="57" t="s">
        <v>42</v>
      </c>
      <c r="H19" s="80"/>
      <c r="I19" s="80"/>
      <c r="J19" s="57" t="s">
        <v>1017</v>
      </c>
      <c r="K19" s="80"/>
      <c r="L19" s="128"/>
      <c r="M19" s="59" t="s">
        <v>120</v>
      </c>
      <c r="N19" s="80"/>
      <c r="O19" s="60"/>
      <c r="P19" s="80"/>
      <c r="Q19" s="127"/>
      <c r="R19" s="81" t="s">
        <v>1018</v>
      </c>
      <c r="S19" s="81" t="s">
        <v>1019</v>
      </c>
      <c r="T19" s="82" t="s">
        <v>987</v>
      </c>
      <c r="U19" s="1"/>
      <c r="V19" s="3"/>
      <c r="W19" s="1"/>
      <c r="X19" s="1"/>
    </row>
    <row r="20" ht="30.0" customHeight="1">
      <c r="A20" s="1"/>
      <c r="B20" s="45">
        <f t="shared" si="3"/>
        <v>12</v>
      </c>
      <c r="C20" s="93">
        <v>45337.0</v>
      </c>
      <c r="D20" s="80"/>
      <c r="E20" s="57" t="s">
        <v>47</v>
      </c>
      <c r="F20" s="80"/>
      <c r="G20" s="57" t="s">
        <v>42</v>
      </c>
      <c r="H20" s="80"/>
      <c r="I20" s="80"/>
      <c r="J20" s="57" t="s">
        <v>61</v>
      </c>
      <c r="K20" s="57" t="s">
        <v>55</v>
      </c>
      <c r="L20" s="128"/>
      <c r="M20" s="59" t="s">
        <v>120</v>
      </c>
      <c r="N20" s="80"/>
      <c r="O20" s="60"/>
      <c r="P20" s="80"/>
      <c r="Q20" s="127"/>
      <c r="R20" s="81" t="s">
        <v>1020</v>
      </c>
      <c r="S20" s="81" t="s">
        <v>1021</v>
      </c>
      <c r="T20" s="82" t="s">
        <v>987</v>
      </c>
      <c r="U20" s="1"/>
      <c r="V20" s="3"/>
      <c r="W20" s="1"/>
      <c r="X20" s="1"/>
    </row>
    <row r="21" ht="30.0" customHeight="1">
      <c r="A21" s="1"/>
      <c r="B21" s="45">
        <f t="shared" si="3"/>
        <v>13</v>
      </c>
      <c r="C21" s="93">
        <v>45341.0</v>
      </c>
      <c r="D21" s="57" t="s">
        <v>1022</v>
      </c>
      <c r="E21" s="57" t="s">
        <v>140</v>
      </c>
      <c r="F21" s="57" t="s">
        <v>1023</v>
      </c>
      <c r="G21" s="57" t="s">
        <v>26</v>
      </c>
      <c r="H21" s="80"/>
      <c r="I21" s="80"/>
      <c r="J21" s="57" t="s">
        <v>99</v>
      </c>
      <c r="K21" s="80"/>
      <c r="L21" s="5" t="s">
        <v>85</v>
      </c>
      <c r="M21" s="59" t="s">
        <v>120</v>
      </c>
      <c r="N21" s="80"/>
      <c r="O21" s="60"/>
      <c r="P21" s="80"/>
      <c r="Q21" s="127"/>
      <c r="R21" s="81" t="s">
        <v>1024</v>
      </c>
      <c r="S21" s="81" t="s">
        <v>999</v>
      </c>
      <c r="T21" s="82" t="s">
        <v>987</v>
      </c>
      <c r="U21" s="1"/>
      <c r="V21" s="3"/>
      <c r="W21" s="1"/>
      <c r="X21" s="1"/>
    </row>
    <row r="22" ht="30.0" customHeight="1">
      <c r="A22" s="1"/>
      <c r="B22" s="45">
        <f t="shared" si="3"/>
        <v>14</v>
      </c>
      <c r="C22" s="93">
        <v>45348.0</v>
      </c>
      <c r="D22" s="80"/>
      <c r="E22" s="80"/>
      <c r="F22" s="57" t="s">
        <v>1025</v>
      </c>
      <c r="G22" s="57" t="s">
        <v>26</v>
      </c>
      <c r="H22" s="80"/>
      <c r="I22" s="80"/>
      <c r="J22" s="57" t="s">
        <v>61</v>
      </c>
      <c r="K22" s="80"/>
      <c r="L22" s="5" t="s">
        <v>160</v>
      </c>
      <c r="M22" s="59" t="s">
        <v>71</v>
      </c>
      <c r="N22" s="80"/>
      <c r="O22" s="60"/>
      <c r="P22" s="80"/>
      <c r="Q22" s="127"/>
      <c r="R22" s="81" t="s">
        <v>1026</v>
      </c>
      <c r="S22" s="81" t="s">
        <v>1027</v>
      </c>
      <c r="T22" s="82" t="s">
        <v>987</v>
      </c>
      <c r="U22" s="1"/>
      <c r="V22" s="3"/>
      <c r="W22" s="1"/>
      <c r="X22" s="1"/>
    </row>
    <row r="23" ht="30.0" customHeight="1">
      <c r="A23" s="1"/>
      <c r="B23" s="45">
        <f t="shared" si="3"/>
        <v>15</v>
      </c>
      <c r="C23" s="93">
        <v>45348.0</v>
      </c>
      <c r="D23" s="80"/>
      <c r="E23" s="80"/>
      <c r="F23" s="80"/>
      <c r="G23" s="57" t="s">
        <v>42</v>
      </c>
      <c r="H23" s="80"/>
      <c r="I23" s="80"/>
      <c r="J23" s="57" t="s">
        <v>887</v>
      </c>
      <c r="K23" s="80"/>
      <c r="L23" s="5" t="s">
        <v>160</v>
      </c>
      <c r="M23" s="59" t="s">
        <v>71</v>
      </c>
      <c r="N23" s="80"/>
      <c r="O23" s="60"/>
      <c r="P23" s="80"/>
      <c r="Q23" s="127"/>
      <c r="R23" s="81" t="s">
        <v>1028</v>
      </c>
      <c r="S23" s="81" t="s">
        <v>1029</v>
      </c>
      <c r="T23" s="82" t="s">
        <v>987</v>
      </c>
      <c r="U23" s="1"/>
      <c r="V23" s="3"/>
      <c r="W23" s="1"/>
      <c r="X23" s="1"/>
    </row>
    <row r="24" ht="30.0" customHeight="1">
      <c r="A24" s="1"/>
      <c r="B24" s="45">
        <f t="shared" si="3"/>
        <v>16</v>
      </c>
      <c r="C24" s="93">
        <v>45351.0</v>
      </c>
      <c r="D24" s="57" t="s">
        <v>1030</v>
      </c>
      <c r="E24" s="57" t="s">
        <v>47</v>
      </c>
      <c r="F24" s="57" t="s">
        <v>1031</v>
      </c>
      <c r="G24" s="57" t="s">
        <v>33</v>
      </c>
      <c r="H24" s="57" t="s">
        <v>236</v>
      </c>
      <c r="I24" s="57" t="s">
        <v>60</v>
      </c>
      <c r="J24" s="57" t="s">
        <v>61</v>
      </c>
      <c r="K24" s="80"/>
      <c r="L24" s="128"/>
      <c r="M24" s="129"/>
      <c r="N24" s="80"/>
      <c r="O24" s="57" t="s">
        <v>27</v>
      </c>
      <c r="P24" s="80"/>
      <c r="Q24" s="127"/>
      <c r="R24" s="81" t="s">
        <v>1032</v>
      </c>
      <c r="S24" s="81" t="s">
        <v>1033</v>
      </c>
      <c r="T24" s="82" t="s">
        <v>358</v>
      </c>
      <c r="U24" s="1"/>
      <c r="V24" s="3"/>
      <c r="W24" s="1"/>
      <c r="X24" s="1"/>
    </row>
    <row r="25" ht="30.0" customHeight="1">
      <c r="A25" s="1"/>
      <c r="B25" s="45">
        <f t="shared" si="3"/>
        <v>17</v>
      </c>
      <c r="C25" s="93">
        <v>45355.0</v>
      </c>
      <c r="D25" s="57" t="s">
        <v>1034</v>
      </c>
      <c r="E25" s="57" t="s">
        <v>47</v>
      </c>
      <c r="F25" s="57" t="s">
        <v>1035</v>
      </c>
      <c r="G25" s="57" t="s">
        <v>70</v>
      </c>
      <c r="H25" s="57" t="s">
        <v>1036</v>
      </c>
      <c r="I25" s="57" t="s">
        <v>60</v>
      </c>
      <c r="J25" s="57" t="s">
        <v>61</v>
      </c>
      <c r="K25" s="80"/>
      <c r="L25" s="5" t="s">
        <v>202</v>
      </c>
      <c r="M25" s="59" t="s">
        <v>203</v>
      </c>
      <c r="N25" s="80"/>
      <c r="O25" s="60"/>
      <c r="P25" s="80"/>
      <c r="Q25" s="127"/>
      <c r="R25" s="81" t="s">
        <v>1037</v>
      </c>
      <c r="S25" s="81" t="s">
        <v>1038</v>
      </c>
      <c r="T25" s="82" t="s">
        <v>1039</v>
      </c>
      <c r="U25" s="1"/>
      <c r="V25" s="3"/>
      <c r="W25" s="1"/>
      <c r="X25" s="1"/>
    </row>
    <row r="26" ht="30.0" customHeight="1">
      <c r="A26" s="1"/>
      <c r="B26" s="45">
        <f t="shared" si="3"/>
        <v>18</v>
      </c>
      <c r="C26" s="93">
        <v>45356.0</v>
      </c>
      <c r="D26" s="57" t="s">
        <v>1040</v>
      </c>
      <c r="E26" s="80"/>
      <c r="F26" s="57" t="s">
        <v>1041</v>
      </c>
      <c r="G26" s="57" t="s">
        <v>42</v>
      </c>
      <c r="H26" s="57" t="s">
        <v>1042</v>
      </c>
      <c r="I26" s="57" t="s">
        <v>53</v>
      </c>
      <c r="J26" s="57" t="s">
        <v>61</v>
      </c>
      <c r="K26" s="57" t="s">
        <v>55</v>
      </c>
      <c r="L26" s="128"/>
      <c r="M26" s="129"/>
      <c r="N26" s="80"/>
      <c r="O26" s="57" t="s">
        <v>27</v>
      </c>
      <c r="P26" s="80"/>
      <c r="Q26" s="127"/>
      <c r="R26" s="81" t="s">
        <v>1043</v>
      </c>
      <c r="S26" s="81" t="s">
        <v>1044</v>
      </c>
      <c r="T26" s="82" t="s">
        <v>1039</v>
      </c>
      <c r="U26" s="1"/>
      <c r="V26" s="3"/>
      <c r="W26" s="1"/>
      <c r="X26" s="1"/>
    </row>
    <row r="27" ht="30.0" customHeight="1">
      <c r="A27" s="1"/>
      <c r="B27" s="45">
        <f t="shared" si="3"/>
        <v>19</v>
      </c>
      <c r="C27" s="93">
        <v>45358.0</v>
      </c>
      <c r="D27" s="80"/>
      <c r="E27" s="57" t="s">
        <v>1045</v>
      </c>
      <c r="F27" s="80"/>
      <c r="G27" s="57" t="s">
        <v>215</v>
      </c>
      <c r="H27" s="80"/>
      <c r="I27" s="80"/>
      <c r="J27" s="80"/>
      <c r="K27" s="80"/>
      <c r="L27" s="128"/>
      <c r="M27" s="129"/>
      <c r="N27" s="57" t="s">
        <v>968</v>
      </c>
      <c r="O27" s="60"/>
      <c r="P27" s="80"/>
      <c r="Q27" s="127"/>
      <c r="R27" s="81" t="s">
        <v>1046</v>
      </c>
      <c r="S27" s="81" t="s">
        <v>1047</v>
      </c>
      <c r="T27" s="82" t="s">
        <v>358</v>
      </c>
      <c r="U27" s="1"/>
      <c r="V27" s="3"/>
      <c r="W27" s="1"/>
      <c r="X27" s="1"/>
    </row>
    <row r="28" ht="30.0" customHeight="1">
      <c r="A28" s="1"/>
      <c r="B28" s="45">
        <f t="shared" si="3"/>
        <v>20</v>
      </c>
      <c r="C28" s="93">
        <v>45359.0</v>
      </c>
      <c r="D28" s="80"/>
      <c r="E28" s="57" t="s">
        <v>1048</v>
      </c>
      <c r="F28" s="57" t="s">
        <v>1049</v>
      </c>
      <c r="G28" s="57" t="s">
        <v>70</v>
      </c>
      <c r="H28" s="80"/>
      <c r="I28" s="80"/>
      <c r="J28" s="80"/>
      <c r="K28" s="80"/>
      <c r="L28" s="128"/>
      <c r="M28" s="59" t="s">
        <v>22</v>
      </c>
      <c r="N28" s="80"/>
      <c r="O28" s="60"/>
      <c r="P28" s="80"/>
      <c r="Q28" s="127"/>
      <c r="R28" s="81" t="s">
        <v>1050</v>
      </c>
      <c r="S28" s="81" t="s">
        <v>1051</v>
      </c>
      <c r="T28" s="82" t="s">
        <v>987</v>
      </c>
      <c r="U28" s="1"/>
      <c r="V28" s="3"/>
      <c r="W28" s="1"/>
      <c r="X28" s="1"/>
    </row>
    <row r="29" ht="30.0" customHeight="1">
      <c r="A29" s="1"/>
      <c r="B29" s="45">
        <f t="shared" si="3"/>
        <v>21</v>
      </c>
      <c r="C29" s="93">
        <v>45365.0</v>
      </c>
      <c r="D29" s="80"/>
      <c r="E29" s="57" t="s">
        <v>1052</v>
      </c>
      <c r="F29" s="80"/>
      <c r="G29" s="57" t="s">
        <v>70</v>
      </c>
      <c r="H29" s="80"/>
      <c r="I29" s="80"/>
      <c r="J29" s="57" t="s">
        <v>61</v>
      </c>
      <c r="K29" s="80"/>
      <c r="L29" s="5" t="s">
        <v>85</v>
      </c>
      <c r="M29" s="59" t="s">
        <v>203</v>
      </c>
      <c r="N29" s="80"/>
      <c r="O29" s="60"/>
      <c r="P29" s="80"/>
      <c r="Q29" s="127"/>
      <c r="R29" s="81" t="s">
        <v>1053</v>
      </c>
      <c r="S29" s="81" t="s">
        <v>1054</v>
      </c>
      <c r="T29" s="82" t="s">
        <v>987</v>
      </c>
      <c r="U29" s="1"/>
      <c r="V29" s="3"/>
      <c r="W29" s="1"/>
      <c r="X29" s="1"/>
    </row>
    <row r="30" ht="30.0" customHeight="1">
      <c r="A30" s="1"/>
      <c r="B30" s="45">
        <f t="shared" si="3"/>
        <v>22</v>
      </c>
      <c r="C30" s="93">
        <v>45366.0</v>
      </c>
      <c r="D30" s="80"/>
      <c r="E30" s="57" t="s">
        <v>1055</v>
      </c>
      <c r="F30" s="57" t="s">
        <v>808</v>
      </c>
      <c r="G30" s="57" t="s">
        <v>33</v>
      </c>
      <c r="H30" s="80"/>
      <c r="I30" s="80"/>
      <c r="J30" s="57" t="s">
        <v>61</v>
      </c>
      <c r="K30" s="80"/>
      <c r="L30" s="128"/>
      <c r="M30" s="129"/>
      <c r="N30" s="80"/>
      <c r="O30" s="60"/>
      <c r="P30" s="80"/>
      <c r="Q30" s="66" t="s">
        <v>1056</v>
      </c>
      <c r="R30" s="81" t="s">
        <v>1057</v>
      </c>
      <c r="S30" s="81" t="s">
        <v>1058</v>
      </c>
      <c r="T30" s="82" t="s">
        <v>987</v>
      </c>
      <c r="U30" s="1"/>
      <c r="V30" s="3"/>
      <c r="W30" s="1"/>
      <c r="X30" s="1"/>
    </row>
    <row r="31" ht="30.0" customHeight="1">
      <c r="A31" s="1"/>
      <c r="B31" s="45">
        <f t="shared" si="3"/>
        <v>23</v>
      </c>
      <c r="C31" s="93">
        <v>45370.0</v>
      </c>
      <c r="D31" s="80"/>
      <c r="E31" s="80"/>
      <c r="F31" s="57" t="s">
        <v>836</v>
      </c>
      <c r="H31" s="80"/>
      <c r="I31" s="80"/>
      <c r="J31" s="80"/>
      <c r="K31" s="80"/>
      <c r="L31" s="128"/>
      <c r="M31" s="129"/>
      <c r="N31" s="80"/>
      <c r="O31" s="57" t="s">
        <v>27</v>
      </c>
      <c r="P31" s="80"/>
      <c r="Q31" s="127"/>
      <c r="R31" s="81" t="s">
        <v>1059</v>
      </c>
      <c r="S31" s="81" t="s">
        <v>1060</v>
      </c>
      <c r="T31" s="82" t="s">
        <v>987</v>
      </c>
      <c r="U31" s="1"/>
      <c r="V31" s="3"/>
      <c r="W31" s="1"/>
      <c r="X31" s="1"/>
    </row>
    <row r="32" ht="30.0" customHeight="1">
      <c r="A32" s="1"/>
      <c r="B32" s="45">
        <f t="shared" si="3"/>
        <v>24</v>
      </c>
      <c r="C32" s="93">
        <v>45370.0</v>
      </c>
      <c r="D32" s="80"/>
      <c r="E32" s="57" t="s">
        <v>1048</v>
      </c>
      <c r="F32" s="80"/>
      <c r="G32" s="57" t="s">
        <v>70</v>
      </c>
      <c r="H32" s="80"/>
      <c r="I32" s="80"/>
      <c r="J32" s="80"/>
      <c r="K32" s="80"/>
      <c r="L32" s="128"/>
      <c r="M32" s="59" t="s">
        <v>642</v>
      </c>
      <c r="N32" s="80"/>
      <c r="O32" s="60"/>
      <c r="P32" s="80"/>
      <c r="Q32" s="127"/>
      <c r="R32" s="81" t="s">
        <v>1061</v>
      </c>
      <c r="S32" s="81" t="s">
        <v>1062</v>
      </c>
      <c r="T32" s="82" t="s">
        <v>987</v>
      </c>
      <c r="U32" s="1"/>
      <c r="V32" s="3"/>
      <c r="W32" s="1"/>
      <c r="X32" s="1"/>
    </row>
    <row r="33" ht="30.0" customHeight="1">
      <c r="A33" s="1"/>
      <c r="B33" s="45">
        <f t="shared" si="3"/>
        <v>25</v>
      </c>
      <c r="C33" s="93">
        <v>45371.0</v>
      </c>
      <c r="D33" s="80"/>
      <c r="E33" s="57" t="s">
        <v>1063</v>
      </c>
      <c r="F33" s="57" t="s">
        <v>1064</v>
      </c>
      <c r="G33" s="57" t="s">
        <v>70</v>
      </c>
      <c r="H33" s="80"/>
      <c r="I33" s="80"/>
      <c r="J33" s="80"/>
      <c r="K33" s="80"/>
      <c r="L33" s="128"/>
      <c r="M33" s="129"/>
      <c r="N33" s="80"/>
      <c r="O33" s="60"/>
      <c r="P33" s="80"/>
      <c r="Q33" s="66" t="s">
        <v>1065</v>
      </c>
      <c r="R33" s="81" t="s">
        <v>1066</v>
      </c>
      <c r="S33" s="81" t="s">
        <v>1067</v>
      </c>
      <c r="T33" s="82" t="s">
        <v>987</v>
      </c>
      <c r="U33" s="1"/>
      <c r="V33" s="3"/>
      <c r="W33" s="1"/>
      <c r="X33" s="1"/>
    </row>
    <row r="34" ht="30.0" customHeight="1">
      <c r="A34" s="1"/>
      <c r="B34" s="45">
        <f t="shared" si="3"/>
        <v>26</v>
      </c>
      <c r="C34" s="93">
        <v>45379.0</v>
      </c>
      <c r="D34" s="57" t="s">
        <v>278</v>
      </c>
      <c r="E34" s="57" t="s">
        <v>1068</v>
      </c>
      <c r="F34" s="57" t="s">
        <v>279</v>
      </c>
      <c r="G34" s="57" t="s">
        <v>215</v>
      </c>
      <c r="H34" s="80"/>
      <c r="I34" s="80"/>
      <c r="J34" s="80"/>
      <c r="K34" s="80"/>
      <c r="L34" s="128"/>
      <c r="M34" s="129"/>
      <c r="N34" s="57" t="s">
        <v>642</v>
      </c>
      <c r="O34" s="60"/>
      <c r="P34" s="80"/>
      <c r="Q34" s="127"/>
      <c r="R34" s="81" t="s">
        <v>1069</v>
      </c>
      <c r="S34" s="81" t="s">
        <v>1070</v>
      </c>
      <c r="T34" s="82" t="s">
        <v>358</v>
      </c>
      <c r="U34" s="1"/>
      <c r="V34" s="3"/>
      <c r="W34" s="1"/>
      <c r="X34" s="1"/>
    </row>
    <row r="35" ht="30.0" customHeight="1">
      <c r="A35" s="1"/>
      <c r="B35" s="45">
        <f t="shared" si="3"/>
        <v>27</v>
      </c>
      <c r="C35" s="93">
        <v>45380.0</v>
      </c>
      <c r="D35" s="57" t="s">
        <v>1071</v>
      </c>
      <c r="E35" s="57" t="s">
        <v>1072</v>
      </c>
      <c r="F35" s="80"/>
      <c r="G35" s="57" t="s">
        <v>215</v>
      </c>
      <c r="H35" s="80"/>
      <c r="I35" s="80"/>
      <c r="J35" s="80"/>
      <c r="K35" s="80"/>
      <c r="L35" s="128"/>
      <c r="M35" s="129"/>
      <c r="N35" s="80"/>
      <c r="O35" s="57" t="s">
        <v>27</v>
      </c>
      <c r="P35" s="80"/>
      <c r="Q35" s="127"/>
      <c r="R35" s="81" t="s">
        <v>1073</v>
      </c>
      <c r="S35" s="81" t="s">
        <v>1074</v>
      </c>
      <c r="T35" s="82" t="s">
        <v>987</v>
      </c>
      <c r="U35" s="1"/>
      <c r="V35" s="3"/>
      <c r="W35" s="1"/>
      <c r="X35" s="1"/>
    </row>
    <row r="36" ht="30.0" customHeight="1">
      <c r="A36" s="1"/>
      <c r="B36" s="45">
        <f t="shared" si="3"/>
        <v>28</v>
      </c>
      <c r="C36" s="93">
        <v>45380.0</v>
      </c>
      <c r="D36" s="80"/>
      <c r="E36" s="80"/>
      <c r="F36" s="80"/>
      <c r="G36" s="57" t="s">
        <v>42</v>
      </c>
      <c r="H36" s="80"/>
      <c r="I36" s="80"/>
      <c r="J36" s="80"/>
      <c r="K36" s="80"/>
      <c r="L36" s="128"/>
      <c r="M36" s="129"/>
      <c r="N36" s="80"/>
      <c r="O36" s="57" t="s">
        <v>27</v>
      </c>
      <c r="P36" s="80"/>
      <c r="Q36" s="127"/>
      <c r="R36" s="81" t="s">
        <v>1075</v>
      </c>
      <c r="S36" s="81" t="s">
        <v>1076</v>
      </c>
      <c r="T36" s="82" t="s">
        <v>987</v>
      </c>
      <c r="U36" s="1"/>
      <c r="V36" s="3"/>
      <c r="W36" s="1"/>
      <c r="X36" s="1"/>
    </row>
    <row r="37" ht="30.0" customHeight="1">
      <c r="A37" s="1"/>
      <c r="B37" s="45">
        <f t="shared" si="3"/>
        <v>29</v>
      </c>
      <c r="C37" s="93">
        <v>45383.0</v>
      </c>
      <c r="D37" s="80"/>
      <c r="E37" s="57" t="s">
        <v>1077</v>
      </c>
      <c r="F37" s="80"/>
      <c r="G37" s="57" t="s">
        <v>70</v>
      </c>
      <c r="H37" s="80"/>
      <c r="I37" s="80"/>
      <c r="J37" s="80"/>
      <c r="K37" s="80"/>
      <c r="L37" s="128"/>
      <c r="M37" s="129"/>
      <c r="N37" s="80"/>
      <c r="O37" s="60"/>
      <c r="P37" s="80"/>
      <c r="Q37" s="66">
        <v>0.0</v>
      </c>
      <c r="R37" s="81" t="s">
        <v>1078</v>
      </c>
      <c r="S37" s="81" t="s">
        <v>1079</v>
      </c>
      <c r="T37" s="82" t="s">
        <v>987</v>
      </c>
      <c r="U37" s="1"/>
      <c r="V37" s="3"/>
      <c r="W37" s="1"/>
      <c r="X37" s="1"/>
    </row>
    <row r="38" ht="30.0" customHeight="1">
      <c r="A38" s="1"/>
      <c r="B38" s="45">
        <f t="shared" si="3"/>
        <v>30</v>
      </c>
      <c r="C38" s="93">
        <v>45384.0</v>
      </c>
      <c r="D38" s="80"/>
      <c r="E38" s="57" t="s">
        <v>1080</v>
      </c>
      <c r="F38" s="57" t="s">
        <v>1081</v>
      </c>
      <c r="G38" s="57" t="s">
        <v>33</v>
      </c>
      <c r="H38" s="80"/>
      <c r="I38" s="80"/>
      <c r="J38" s="57" t="s">
        <v>1082</v>
      </c>
      <c r="K38" s="57" t="s">
        <v>55</v>
      </c>
      <c r="L38" s="5" t="s">
        <v>160</v>
      </c>
      <c r="M38" s="129"/>
      <c r="N38" s="80"/>
      <c r="O38" s="57" t="s">
        <v>152</v>
      </c>
      <c r="P38" s="80"/>
      <c r="Q38" s="127"/>
      <c r="R38" s="81" t="s">
        <v>1083</v>
      </c>
      <c r="S38" s="81" t="s">
        <v>1084</v>
      </c>
      <c r="T38" s="82" t="s">
        <v>987</v>
      </c>
      <c r="U38" s="1"/>
      <c r="V38" s="3"/>
      <c r="W38" s="1"/>
      <c r="X38" s="1"/>
    </row>
    <row r="39" ht="30.0" customHeight="1">
      <c r="A39" s="1"/>
      <c r="B39" s="45">
        <f t="shared" si="3"/>
        <v>31</v>
      </c>
      <c r="C39" s="93">
        <v>45386.0</v>
      </c>
      <c r="D39" s="80"/>
      <c r="E39" s="57" t="s">
        <v>1085</v>
      </c>
      <c r="F39" s="57" t="s">
        <v>1086</v>
      </c>
      <c r="G39" s="57" t="s">
        <v>33</v>
      </c>
      <c r="H39" s="80"/>
      <c r="I39" s="80"/>
      <c r="J39" s="57" t="s">
        <v>99</v>
      </c>
      <c r="K39" s="80"/>
      <c r="L39" s="5" t="s">
        <v>85</v>
      </c>
      <c r="M39" s="59" t="s">
        <v>120</v>
      </c>
      <c r="N39" s="80"/>
      <c r="O39" s="60"/>
      <c r="P39" s="80"/>
      <c r="Q39" s="127"/>
      <c r="R39" s="81" t="s">
        <v>1087</v>
      </c>
      <c r="S39" s="81" t="s">
        <v>1088</v>
      </c>
      <c r="T39" s="82" t="s">
        <v>987</v>
      </c>
      <c r="U39" s="1"/>
      <c r="V39" s="3"/>
      <c r="W39" s="1"/>
      <c r="X39" s="1"/>
    </row>
    <row r="40" ht="16.5" customHeight="1">
      <c r="A40" s="1"/>
      <c r="B40" s="45">
        <f t="shared" si="3"/>
        <v>32</v>
      </c>
      <c r="C40" s="93">
        <v>45398.0</v>
      </c>
      <c r="D40" s="57" t="s">
        <v>64</v>
      </c>
      <c r="E40" s="80"/>
      <c r="F40" s="80"/>
      <c r="G40" s="57" t="s">
        <v>26</v>
      </c>
      <c r="H40" s="80"/>
      <c r="I40" s="80"/>
      <c r="J40" s="57" t="s">
        <v>83</v>
      </c>
      <c r="K40" s="57" t="s">
        <v>55</v>
      </c>
      <c r="L40" s="5" t="s">
        <v>85</v>
      </c>
      <c r="M40" s="129"/>
      <c r="N40" s="80"/>
      <c r="O40" s="57" t="s">
        <v>27</v>
      </c>
      <c r="P40" s="80"/>
      <c r="Q40" s="127"/>
      <c r="R40" s="81" t="s">
        <v>1089</v>
      </c>
      <c r="S40" s="81" t="s">
        <v>1090</v>
      </c>
      <c r="T40" s="82" t="s">
        <v>987</v>
      </c>
      <c r="U40" s="1"/>
      <c r="V40" s="3"/>
      <c r="W40" s="1"/>
      <c r="X40" s="1"/>
    </row>
    <row r="41" ht="30.0" customHeight="1">
      <c r="A41" s="1"/>
      <c r="B41" s="45">
        <f t="shared" si="3"/>
        <v>33</v>
      </c>
      <c r="C41" s="93">
        <v>45398.0</v>
      </c>
      <c r="D41" s="57" t="s">
        <v>1091</v>
      </c>
      <c r="E41" s="80"/>
      <c r="F41" s="80"/>
      <c r="G41" s="57" t="s">
        <v>26</v>
      </c>
      <c r="H41" s="80"/>
      <c r="I41" s="80"/>
      <c r="J41" s="57" t="s">
        <v>83</v>
      </c>
      <c r="K41" s="57" t="s">
        <v>55</v>
      </c>
      <c r="L41" s="128"/>
      <c r="M41" s="129"/>
      <c r="N41" s="80"/>
      <c r="O41" s="57" t="s">
        <v>27</v>
      </c>
      <c r="P41" s="80"/>
      <c r="Q41" s="127"/>
      <c r="R41" s="81" t="s">
        <v>1092</v>
      </c>
      <c r="S41" s="81" t="s">
        <v>1090</v>
      </c>
      <c r="T41" s="82" t="s">
        <v>987</v>
      </c>
      <c r="U41" s="1"/>
      <c r="V41" s="3"/>
      <c r="W41" s="1"/>
      <c r="X41" s="1"/>
    </row>
    <row r="42" ht="30.0" customHeight="1">
      <c r="A42" s="1"/>
      <c r="B42" s="45">
        <f t="shared" si="3"/>
        <v>34</v>
      </c>
      <c r="C42" s="93">
        <v>45398.0</v>
      </c>
      <c r="D42" s="80"/>
      <c r="E42" s="57" t="s">
        <v>1093</v>
      </c>
      <c r="F42" s="80"/>
      <c r="G42" s="57" t="s">
        <v>70</v>
      </c>
      <c r="H42" s="80"/>
      <c r="I42" s="80"/>
      <c r="J42" s="80"/>
      <c r="K42" s="80"/>
      <c r="L42" s="128"/>
      <c r="M42" s="59" t="s">
        <v>203</v>
      </c>
      <c r="N42" s="80"/>
      <c r="O42" s="60"/>
      <c r="P42" s="80"/>
      <c r="Q42" s="127"/>
      <c r="R42" s="81" t="s">
        <v>1094</v>
      </c>
      <c r="S42" s="81" t="s">
        <v>1095</v>
      </c>
      <c r="T42" s="82" t="s">
        <v>987</v>
      </c>
      <c r="U42" s="1"/>
      <c r="V42" s="3"/>
      <c r="W42" s="1"/>
      <c r="X42" s="1"/>
    </row>
    <row r="43" ht="30.0" customHeight="1">
      <c r="A43" s="1"/>
      <c r="B43" s="45">
        <f t="shared" si="3"/>
        <v>35</v>
      </c>
      <c r="C43" s="93">
        <v>45398.0</v>
      </c>
      <c r="D43" s="80"/>
      <c r="E43" s="80"/>
      <c r="F43" s="80"/>
      <c r="G43" s="57" t="s">
        <v>26</v>
      </c>
      <c r="H43" s="80"/>
      <c r="I43" s="80"/>
      <c r="J43" s="57" t="s">
        <v>1096</v>
      </c>
      <c r="K43" s="80"/>
      <c r="L43" s="128"/>
      <c r="M43" s="129"/>
      <c r="N43" s="80"/>
      <c r="O43" s="60"/>
      <c r="P43" s="80"/>
      <c r="Q43" s="66" t="s">
        <v>1097</v>
      </c>
      <c r="R43" s="81" t="s">
        <v>1098</v>
      </c>
      <c r="S43" s="81" t="s">
        <v>1099</v>
      </c>
      <c r="T43" s="82" t="s">
        <v>987</v>
      </c>
      <c r="U43" s="1"/>
      <c r="V43" s="3"/>
      <c r="W43" s="1"/>
      <c r="X43" s="1"/>
    </row>
    <row r="44" ht="16.5" customHeight="1">
      <c r="A44" s="1"/>
      <c r="B44" s="45">
        <f t="shared" si="3"/>
        <v>36</v>
      </c>
      <c r="C44" s="93">
        <v>45406.0</v>
      </c>
      <c r="D44" s="80"/>
      <c r="E44" s="57" t="s">
        <v>1100</v>
      </c>
      <c r="F44" s="80"/>
      <c r="G44" s="57" t="s">
        <v>70</v>
      </c>
      <c r="H44" s="80"/>
      <c r="I44" s="80"/>
      <c r="J44" s="80"/>
      <c r="K44" s="80"/>
      <c r="L44" s="128"/>
      <c r="M44" s="59" t="s">
        <v>120</v>
      </c>
      <c r="N44" s="80"/>
      <c r="O44" s="60"/>
      <c r="P44" s="80"/>
      <c r="Q44" s="127"/>
      <c r="R44" s="81" t="s">
        <v>1101</v>
      </c>
      <c r="S44" s="81" t="s">
        <v>1102</v>
      </c>
      <c r="T44" s="82" t="s">
        <v>987</v>
      </c>
      <c r="U44" s="1"/>
      <c r="V44" s="3"/>
      <c r="W44" s="1"/>
      <c r="X44" s="1"/>
    </row>
    <row r="45" ht="30.0" customHeight="1">
      <c r="A45" s="1"/>
      <c r="B45" s="45">
        <f t="shared" si="3"/>
        <v>37</v>
      </c>
      <c r="C45" s="93">
        <v>45406.0</v>
      </c>
      <c r="D45" s="57" t="s">
        <v>1103</v>
      </c>
      <c r="E45" s="57" t="s">
        <v>1104</v>
      </c>
      <c r="F45" s="57" t="s">
        <v>1105</v>
      </c>
      <c r="G45" s="57" t="s">
        <v>22</v>
      </c>
      <c r="H45" s="80"/>
      <c r="I45" s="80"/>
      <c r="J45" s="80"/>
      <c r="K45" s="80"/>
      <c r="L45" s="128"/>
      <c r="M45" s="129"/>
      <c r="N45" s="80"/>
      <c r="O45" s="60"/>
      <c r="P45" s="80"/>
      <c r="Q45" s="66" t="s">
        <v>1106</v>
      </c>
      <c r="R45" s="81" t="s">
        <v>1107</v>
      </c>
      <c r="S45" s="81" t="s">
        <v>1108</v>
      </c>
      <c r="T45" s="82" t="s">
        <v>358</v>
      </c>
      <c r="U45" s="1"/>
      <c r="V45" s="3"/>
      <c r="W45" s="1"/>
      <c r="X45" s="1"/>
    </row>
    <row r="46" ht="30.0" customHeight="1">
      <c r="A46" s="1"/>
      <c r="B46" s="45">
        <f t="shared" si="3"/>
        <v>38</v>
      </c>
      <c r="C46" s="93">
        <v>45406.0</v>
      </c>
      <c r="D46" s="80"/>
      <c r="E46" s="57" t="s">
        <v>1109</v>
      </c>
      <c r="F46" s="80"/>
      <c r="G46" s="57" t="s">
        <v>42</v>
      </c>
      <c r="H46" s="80"/>
      <c r="I46" s="80"/>
      <c r="J46" s="57" t="s">
        <v>61</v>
      </c>
      <c r="K46" s="80"/>
      <c r="L46" s="5" t="s">
        <v>160</v>
      </c>
      <c r="M46" s="59" t="s">
        <v>120</v>
      </c>
      <c r="N46" s="80"/>
      <c r="O46" s="60"/>
      <c r="P46" s="80"/>
      <c r="Q46" s="127"/>
      <c r="R46" s="81" t="s">
        <v>1110</v>
      </c>
      <c r="S46" s="80"/>
      <c r="T46" s="82" t="s">
        <v>987</v>
      </c>
      <c r="U46" s="1"/>
      <c r="V46" s="3"/>
      <c r="W46" s="1"/>
      <c r="X46" s="1"/>
    </row>
    <row r="47" ht="30.0" customHeight="1">
      <c r="A47" s="1"/>
      <c r="B47" s="45">
        <f t="shared" si="3"/>
        <v>39</v>
      </c>
      <c r="C47" s="93">
        <v>45407.0</v>
      </c>
      <c r="D47" s="80"/>
      <c r="E47" s="57" t="s">
        <v>1100</v>
      </c>
      <c r="F47" s="57" t="s">
        <v>957</v>
      </c>
      <c r="G47" s="57" t="s">
        <v>42</v>
      </c>
      <c r="H47" s="57" t="s">
        <v>958</v>
      </c>
      <c r="I47" s="80"/>
      <c r="J47" s="80"/>
      <c r="K47" s="80"/>
      <c r="L47" s="128"/>
      <c r="M47" s="59" t="s">
        <v>120</v>
      </c>
      <c r="N47" s="80"/>
      <c r="O47" s="60"/>
      <c r="P47" s="80"/>
      <c r="Q47" s="127"/>
      <c r="R47" s="81" t="s">
        <v>1111</v>
      </c>
      <c r="S47" s="81" t="s">
        <v>999</v>
      </c>
      <c r="T47" s="82" t="s">
        <v>987</v>
      </c>
      <c r="U47" s="1"/>
      <c r="V47" s="3"/>
      <c r="W47" s="1"/>
      <c r="X47" s="1"/>
    </row>
    <row r="48" ht="30.0" customHeight="1">
      <c r="A48" s="1"/>
      <c r="B48" s="45">
        <f t="shared" si="3"/>
        <v>40</v>
      </c>
      <c r="C48" s="93">
        <v>45407.0</v>
      </c>
      <c r="D48" s="57" t="s">
        <v>1112</v>
      </c>
      <c r="E48" s="80"/>
      <c r="F48" s="57" t="s">
        <v>1113</v>
      </c>
      <c r="G48" s="57" t="s">
        <v>26</v>
      </c>
      <c r="H48" s="80"/>
      <c r="I48" s="80"/>
      <c r="J48" s="57" t="s">
        <v>83</v>
      </c>
      <c r="K48" s="57" t="s">
        <v>181</v>
      </c>
      <c r="L48" s="128"/>
      <c r="M48" s="129"/>
      <c r="N48" s="80"/>
      <c r="O48" s="57" t="s">
        <v>22</v>
      </c>
      <c r="P48" s="80"/>
      <c r="Q48" s="127"/>
      <c r="R48" s="81" t="s">
        <v>1114</v>
      </c>
      <c r="S48" s="80"/>
      <c r="T48" s="82" t="s">
        <v>987</v>
      </c>
      <c r="U48" s="1"/>
      <c r="V48" s="3"/>
      <c r="W48" s="1"/>
      <c r="X48" s="1"/>
    </row>
    <row r="49" ht="30.0" customHeight="1">
      <c r="A49" s="1"/>
      <c r="B49" s="45">
        <f t="shared" si="3"/>
        <v>41</v>
      </c>
      <c r="C49" s="93">
        <v>45407.0</v>
      </c>
      <c r="D49" s="57" t="s">
        <v>64</v>
      </c>
      <c r="E49" s="57" t="s">
        <v>169</v>
      </c>
      <c r="F49" s="57" t="s">
        <v>66</v>
      </c>
      <c r="G49" s="57" t="s">
        <v>26</v>
      </c>
      <c r="H49" s="57" t="s">
        <v>64</v>
      </c>
      <c r="I49" s="57" t="s">
        <v>60</v>
      </c>
      <c r="J49" s="80"/>
      <c r="K49" s="80"/>
      <c r="L49" s="128"/>
      <c r="M49" s="129"/>
      <c r="N49" s="80"/>
      <c r="O49" s="57" t="s">
        <v>128</v>
      </c>
      <c r="P49" s="80"/>
      <c r="Q49" s="127"/>
      <c r="R49" s="81" t="s">
        <v>1115</v>
      </c>
      <c r="S49" s="81" t="s">
        <v>1116</v>
      </c>
      <c r="T49" s="82" t="s">
        <v>102</v>
      </c>
      <c r="U49" s="1"/>
      <c r="V49" s="3"/>
      <c r="W49" s="1"/>
      <c r="X49" s="1"/>
    </row>
    <row r="50" ht="30.0" customHeight="1">
      <c r="A50" s="1"/>
      <c r="B50" s="45">
        <f t="shared" si="3"/>
        <v>42</v>
      </c>
      <c r="C50" s="93">
        <v>45407.0</v>
      </c>
      <c r="D50" s="57" t="s">
        <v>1117</v>
      </c>
      <c r="E50" s="80"/>
      <c r="F50" s="57" t="s">
        <v>1118</v>
      </c>
      <c r="G50" s="57" t="s">
        <v>42</v>
      </c>
      <c r="H50" s="80"/>
      <c r="I50" s="80"/>
      <c r="J50" s="80"/>
      <c r="K50" s="80"/>
      <c r="L50" s="128"/>
      <c r="M50" s="129"/>
      <c r="N50" s="57" t="s">
        <v>968</v>
      </c>
      <c r="O50" s="60"/>
      <c r="P50" s="80"/>
      <c r="Q50" s="127"/>
      <c r="R50" s="81" t="s">
        <v>1119</v>
      </c>
      <c r="S50" s="81" t="s">
        <v>1120</v>
      </c>
      <c r="T50" s="82" t="s">
        <v>102</v>
      </c>
      <c r="U50" s="1"/>
      <c r="V50" s="3"/>
      <c r="W50" s="1"/>
      <c r="X50" s="1"/>
    </row>
    <row r="51" ht="30.0" customHeight="1">
      <c r="A51" s="1"/>
      <c r="B51" s="45">
        <f t="shared" si="3"/>
        <v>43</v>
      </c>
      <c r="C51" s="93">
        <v>45408.0</v>
      </c>
      <c r="D51" s="80"/>
      <c r="E51" s="57" t="s">
        <v>1109</v>
      </c>
      <c r="F51" s="80"/>
      <c r="G51" s="57" t="s">
        <v>70</v>
      </c>
      <c r="H51" s="80"/>
      <c r="I51" s="80"/>
      <c r="J51" s="80"/>
      <c r="K51" s="80"/>
      <c r="L51" s="128"/>
      <c r="M51" s="59" t="s">
        <v>22</v>
      </c>
      <c r="N51" s="80"/>
      <c r="O51" s="60"/>
      <c r="P51" s="80"/>
      <c r="Q51" s="127"/>
      <c r="R51" s="81" t="s">
        <v>1121</v>
      </c>
      <c r="S51" s="81" t="s">
        <v>1122</v>
      </c>
      <c r="T51" s="82" t="s">
        <v>987</v>
      </c>
      <c r="U51" s="1"/>
      <c r="V51" s="3"/>
      <c r="W51" s="1"/>
      <c r="X51" s="1"/>
    </row>
    <row r="52" ht="30.0" customHeight="1">
      <c r="A52" s="1"/>
      <c r="B52" s="45">
        <f t="shared" si="3"/>
        <v>44</v>
      </c>
      <c r="C52" s="93">
        <v>45411.0</v>
      </c>
      <c r="D52" s="80"/>
      <c r="E52" s="80"/>
      <c r="F52" s="80"/>
      <c r="G52" s="57" t="s">
        <v>42</v>
      </c>
      <c r="H52" s="57" t="s">
        <v>198</v>
      </c>
      <c r="I52" s="80"/>
      <c r="J52" s="80"/>
      <c r="K52" s="80"/>
      <c r="L52" s="128"/>
      <c r="M52" s="129"/>
      <c r="N52" s="57" t="s">
        <v>71</v>
      </c>
      <c r="O52" s="60"/>
      <c r="P52" s="80"/>
      <c r="Q52" s="127"/>
      <c r="R52" s="81" t="s">
        <v>1123</v>
      </c>
      <c r="S52" s="81" t="s">
        <v>1124</v>
      </c>
      <c r="T52" s="82" t="s">
        <v>358</v>
      </c>
      <c r="U52" s="1"/>
      <c r="V52" s="3"/>
      <c r="W52" s="1"/>
      <c r="X52" s="1"/>
    </row>
    <row r="53" ht="30.0" customHeight="1">
      <c r="A53" s="1"/>
      <c r="B53" s="45">
        <f t="shared" si="3"/>
        <v>45</v>
      </c>
      <c r="C53" s="93">
        <v>45411.0</v>
      </c>
      <c r="D53" s="80"/>
      <c r="E53" s="80"/>
      <c r="F53" s="57" t="s">
        <v>1118</v>
      </c>
      <c r="G53" s="80"/>
      <c r="H53" s="57" t="s">
        <v>1125</v>
      </c>
      <c r="I53" s="80"/>
      <c r="J53" s="80"/>
      <c r="K53" s="80"/>
      <c r="L53" s="128"/>
      <c r="M53" s="129"/>
      <c r="N53" s="57" t="s">
        <v>71</v>
      </c>
      <c r="O53" s="60"/>
      <c r="P53" s="80"/>
      <c r="Q53" s="127"/>
      <c r="R53" s="81" t="s">
        <v>1126</v>
      </c>
      <c r="S53" s="81" t="s">
        <v>1127</v>
      </c>
      <c r="T53" s="82" t="s">
        <v>358</v>
      </c>
      <c r="U53" s="1"/>
      <c r="V53" s="3"/>
      <c r="W53" s="1"/>
      <c r="X53" s="1"/>
    </row>
    <row r="54" ht="30.0" customHeight="1">
      <c r="A54" s="1"/>
      <c r="B54" s="45">
        <f t="shared" si="3"/>
        <v>46</v>
      </c>
      <c r="C54" s="93">
        <v>45412.0</v>
      </c>
      <c r="D54" s="80"/>
      <c r="E54" s="57" t="s">
        <v>155</v>
      </c>
      <c r="F54" s="80"/>
      <c r="G54" s="57" t="s">
        <v>22</v>
      </c>
      <c r="H54" s="80"/>
      <c r="I54" s="80"/>
      <c r="J54" s="80"/>
      <c r="K54" s="80"/>
      <c r="L54" s="128"/>
      <c r="M54" s="129"/>
      <c r="N54" s="80"/>
      <c r="O54" s="60" t="s">
        <v>27</v>
      </c>
      <c r="P54" s="80"/>
      <c r="Q54" s="127"/>
      <c r="R54" s="81" t="s">
        <v>1128</v>
      </c>
      <c r="S54" s="81" t="s">
        <v>1129</v>
      </c>
      <c r="T54" s="107"/>
      <c r="U54" s="1"/>
      <c r="V54" s="3"/>
      <c r="W54" s="1"/>
      <c r="X54" s="1"/>
    </row>
    <row r="55">
      <c r="A55" s="1"/>
      <c r="B55" s="45">
        <f t="shared" si="3"/>
        <v>47</v>
      </c>
      <c r="C55" s="93">
        <v>45412.0</v>
      </c>
      <c r="D55" s="80"/>
      <c r="E55" s="57" t="s">
        <v>1130</v>
      </c>
      <c r="F55" s="57" t="s">
        <v>1131</v>
      </c>
      <c r="G55" s="57" t="s">
        <v>215</v>
      </c>
      <c r="H55" s="80"/>
      <c r="I55" s="80"/>
      <c r="J55" s="80"/>
      <c r="K55" s="80"/>
      <c r="L55" s="128"/>
      <c r="M55" s="129"/>
      <c r="N55" s="80"/>
      <c r="O55" s="60"/>
      <c r="P55" s="80"/>
      <c r="Q55" s="66" t="s">
        <v>1132</v>
      </c>
      <c r="R55" s="81" t="s">
        <v>1133</v>
      </c>
      <c r="S55" s="81" t="s">
        <v>1134</v>
      </c>
      <c r="T55" s="82" t="s">
        <v>987</v>
      </c>
      <c r="U55" s="1"/>
      <c r="V55" s="3"/>
      <c r="W55" s="1"/>
      <c r="X55" s="1"/>
    </row>
    <row r="56" ht="30.0" customHeight="1">
      <c r="A56" s="1"/>
      <c r="B56" s="45">
        <f t="shared" si="3"/>
        <v>48</v>
      </c>
      <c r="C56" s="93">
        <v>45412.0</v>
      </c>
      <c r="D56" s="117" t="s">
        <v>1135</v>
      </c>
      <c r="E56" s="57" t="s">
        <v>1136</v>
      </c>
      <c r="F56" s="57" t="s">
        <v>1137</v>
      </c>
      <c r="G56" s="57" t="s">
        <v>33</v>
      </c>
      <c r="H56" s="80"/>
      <c r="I56" s="80"/>
      <c r="J56" s="80"/>
      <c r="K56" s="80"/>
      <c r="L56" s="128"/>
      <c r="M56" s="129"/>
      <c r="N56" s="80"/>
      <c r="O56" s="60"/>
      <c r="P56" s="80"/>
      <c r="Q56" s="66" t="s">
        <v>1106</v>
      </c>
      <c r="R56" s="81" t="s">
        <v>1138</v>
      </c>
      <c r="S56" s="81" t="s">
        <v>1139</v>
      </c>
      <c r="T56" s="82" t="s">
        <v>358</v>
      </c>
      <c r="U56" s="1"/>
      <c r="V56" s="3"/>
      <c r="W56" s="1"/>
      <c r="X56" s="1"/>
    </row>
    <row r="57" ht="30.0" customHeight="1">
      <c r="A57" s="1"/>
      <c r="B57" s="45">
        <f t="shared" si="3"/>
        <v>49</v>
      </c>
      <c r="C57" s="93">
        <v>45412.0</v>
      </c>
      <c r="D57" s="57" t="s">
        <v>1140</v>
      </c>
      <c r="E57" s="57" t="s">
        <v>1141</v>
      </c>
      <c r="F57" s="57" t="s">
        <v>1142</v>
      </c>
      <c r="G57" s="57" t="s">
        <v>33</v>
      </c>
      <c r="H57" s="80"/>
      <c r="I57" s="80"/>
      <c r="J57" s="80"/>
      <c r="K57" s="80"/>
      <c r="L57" s="128"/>
      <c r="M57" s="129"/>
      <c r="N57" s="80"/>
      <c r="O57" s="57" t="s">
        <v>22</v>
      </c>
      <c r="P57" s="80"/>
      <c r="Q57" s="127"/>
      <c r="R57" s="81" t="s">
        <v>1143</v>
      </c>
      <c r="S57" s="81" t="s">
        <v>1144</v>
      </c>
      <c r="T57" s="82" t="s">
        <v>358</v>
      </c>
      <c r="U57" s="1"/>
      <c r="V57" s="3"/>
      <c r="W57" s="1"/>
      <c r="X57" s="1"/>
    </row>
    <row r="58" ht="30.0" customHeight="1">
      <c r="A58" s="1"/>
      <c r="B58" s="45">
        <f t="shared" si="3"/>
        <v>50</v>
      </c>
      <c r="C58" s="93">
        <v>45414.0</v>
      </c>
      <c r="D58" s="57" t="s">
        <v>1145</v>
      </c>
      <c r="E58" s="80"/>
      <c r="F58" s="80"/>
      <c r="G58" s="57" t="s">
        <v>26</v>
      </c>
      <c r="H58" s="80"/>
      <c r="I58" s="80"/>
      <c r="J58" s="80"/>
      <c r="K58" s="80"/>
      <c r="L58" s="128"/>
      <c r="M58" s="59" t="s">
        <v>22</v>
      </c>
      <c r="N58" s="80"/>
      <c r="O58" s="60"/>
      <c r="P58" s="80"/>
      <c r="Q58" s="127"/>
      <c r="R58" s="81" t="s">
        <v>1146</v>
      </c>
      <c r="S58" s="81" t="s">
        <v>1147</v>
      </c>
      <c r="T58" s="82" t="s">
        <v>987</v>
      </c>
      <c r="U58" s="1"/>
      <c r="V58" s="3"/>
      <c r="W58" s="1"/>
      <c r="X58" s="1"/>
    </row>
    <row r="59" ht="30.0" customHeight="1">
      <c r="A59" s="1"/>
      <c r="B59" s="45">
        <f t="shared" si="3"/>
        <v>51</v>
      </c>
      <c r="C59" s="93">
        <v>45414.0</v>
      </c>
      <c r="D59" s="80"/>
      <c r="E59" s="80"/>
      <c r="F59" s="57" t="s">
        <v>1148</v>
      </c>
      <c r="G59" s="57" t="s">
        <v>42</v>
      </c>
      <c r="H59" s="57" t="s">
        <v>1149</v>
      </c>
      <c r="I59" s="80"/>
      <c r="J59" s="80"/>
      <c r="K59" s="80"/>
      <c r="L59" s="128"/>
      <c r="M59" s="59" t="s">
        <v>22</v>
      </c>
      <c r="N59" s="80"/>
      <c r="O59" s="60"/>
      <c r="P59" s="80"/>
      <c r="Q59" s="127"/>
      <c r="R59" s="81" t="s">
        <v>1150</v>
      </c>
      <c r="S59" s="81" t="s">
        <v>1151</v>
      </c>
      <c r="T59" s="82" t="s">
        <v>987</v>
      </c>
      <c r="U59" s="1"/>
      <c r="V59" s="3"/>
      <c r="W59" s="1"/>
      <c r="X59" s="1"/>
    </row>
    <row r="60" ht="16.5" customHeight="1">
      <c r="A60" s="1"/>
      <c r="B60" s="45">
        <f t="shared" si="3"/>
        <v>52</v>
      </c>
      <c r="C60" s="93">
        <v>45414.0</v>
      </c>
      <c r="D60" s="57" t="s">
        <v>1152</v>
      </c>
      <c r="E60" s="57" t="s">
        <v>1153</v>
      </c>
      <c r="F60" s="80"/>
      <c r="G60" s="57" t="s">
        <v>70</v>
      </c>
      <c r="H60" s="80"/>
      <c r="I60" s="80"/>
      <c r="J60" s="80"/>
      <c r="K60" s="80"/>
      <c r="L60" s="128"/>
      <c r="M60" s="59" t="s">
        <v>22</v>
      </c>
      <c r="N60" s="80"/>
      <c r="O60" s="60"/>
      <c r="P60" s="80"/>
      <c r="Q60" s="127"/>
      <c r="R60" s="81" t="s">
        <v>1154</v>
      </c>
      <c r="S60" s="81" t="s">
        <v>1155</v>
      </c>
      <c r="T60" s="82" t="s">
        <v>1039</v>
      </c>
      <c r="U60" s="1"/>
      <c r="V60" s="3"/>
      <c r="W60" s="1"/>
      <c r="X60" s="1"/>
    </row>
    <row r="61" ht="30.0" customHeight="1">
      <c r="A61" s="1"/>
      <c r="B61" s="45">
        <f t="shared" si="3"/>
        <v>53</v>
      </c>
      <c r="C61" s="93">
        <v>45415.0</v>
      </c>
      <c r="D61" s="80"/>
      <c r="E61" s="57" t="s">
        <v>40</v>
      </c>
      <c r="F61" s="57" t="s">
        <v>1156</v>
      </c>
      <c r="G61" s="57" t="s">
        <v>42</v>
      </c>
      <c r="H61" s="57" t="s">
        <v>1157</v>
      </c>
      <c r="I61" s="57" t="s">
        <v>53</v>
      </c>
      <c r="J61" s="57" t="s">
        <v>1082</v>
      </c>
      <c r="K61" s="57" t="s">
        <v>55</v>
      </c>
      <c r="L61" s="128"/>
      <c r="M61" s="129"/>
      <c r="N61" s="80"/>
      <c r="O61" s="57" t="s">
        <v>727</v>
      </c>
      <c r="P61" s="80"/>
      <c r="Q61" s="127"/>
      <c r="R61" s="81" t="s">
        <v>1158</v>
      </c>
      <c r="S61" s="80"/>
      <c r="T61" s="107"/>
      <c r="U61" s="1"/>
      <c r="V61" s="3"/>
      <c r="W61" s="1"/>
      <c r="X61" s="1"/>
    </row>
    <row r="62" ht="16.5" customHeight="1">
      <c r="A62" s="1"/>
      <c r="B62" s="45">
        <f t="shared" si="3"/>
        <v>54</v>
      </c>
      <c r="C62" s="93">
        <v>45419.0</v>
      </c>
      <c r="D62" s="57" t="s">
        <v>1159</v>
      </c>
      <c r="E62" s="57" t="s">
        <v>1160</v>
      </c>
      <c r="F62" s="80"/>
      <c r="G62" s="57" t="s">
        <v>33</v>
      </c>
      <c r="H62" s="80"/>
      <c r="I62" s="80"/>
      <c r="J62" s="80"/>
      <c r="K62" s="80"/>
      <c r="L62" s="128"/>
      <c r="M62" s="129"/>
      <c r="N62" s="80"/>
      <c r="O62" s="57" t="s">
        <v>27</v>
      </c>
      <c r="P62" s="80"/>
      <c r="Q62" s="127"/>
      <c r="R62" s="81" t="s">
        <v>1161</v>
      </c>
      <c r="S62" s="81" t="s">
        <v>467</v>
      </c>
      <c r="T62" s="82" t="s">
        <v>987</v>
      </c>
      <c r="U62" s="1"/>
      <c r="V62" s="3"/>
      <c r="W62" s="1"/>
      <c r="X62" s="1"/>
    </row>
    <row r="63" ht="21.75" customHeight="1">
      <c r="A63" s="1"/>
      <c r="B63" s="45">
        <f t="shared" si="3"/>
        <v>55</v>
      </c>
      <c r="C63" s="93">
        <v>45419.0</v>
      </c>
      <c r="D63" s="57" t="s">
        <v>1162</v>
      </c>
      <c r="E63" s="57" t="s">
        <v>189</v>
      </c>
      <c r="F63" s="80"/>
      <c r="G63" s="57" t="s">
        <v>42</v>
      </c>
      <c r="H63" s="80"/>
      <c r="I63" s="80"/>
      <c r="J63" s="57" t="s">
        <v>1082</v>
      </c>
      <c r="K63" s="57" t="s">
        <v>55</v>
      </c>
      <c r="L63" s="5" t="s">
        <v>85</v>
      </c>
      <c r="M63" s="129"/>
      <c r="N63" s="80"/>
      <c r="O63" s="57" t="s">
        <v>22</v>
      </c>
      <c r="P63" s="80"/>
      <c r="Q63" s="127"/>
      <c r="R63" s="81" t="s">
        <v>1163</v>
      </c>
      <c r="S63" s="81" t="s">
        <v>1164</v>
      </c>
      <c r="T63" s="82" t="s">
        <v>987</v>
      </c>
      <c r="U63" s="1"/>
      <c r="V63" s="3"/>
      <c r="W63" s="1"/>
      <c r="X63" s="1"/>
    </row>
    <row r="64" ht="30.0" customHeight="1">
      <c r="A64" s="1"/>
      <c r="B64" s="45">
        <f t="shared" si="3"/>
        <v>56</v>
      </c>
      <c r="C64" s="93">
        <v>45419.0</v>
      </c>
      <c r="D64" s="80"/>
      <c r="E64" s="80"/>
      <c r="F64" s="80"/>
      <c r="G64" s="57" t="s">
        <v>42</v>
      </c>
      <c r="H64" s="80"/>
      <c r="I64" s="80"/>
      <c r="J64" s="80"/>
      <c r="K64" s="80"/>
      <c r="L64" s="128"/>
      <c r="M64" s="59" t="s">
        <v>22</v>
      </c>
      <c r="N64" s="80"/>
      <c r="O64" s="60"/>
      <c r="P64" s="80"/>
      <c r="Q64" s="127"/>
      <c r="R64" s="81" t="s">
        <v>1165</v>
      </c>
      <c r="S64" s="81" t="s">
        <v>1166</v>
      </c>
      <c r="T64" s="82" t="s">
        <v>987</v>
      </c>
      <c r="U64" s="1"/>
      <c r="V64" s="3"/>
      <c r="W64" s="1"/>
      <c r="X64" s="1"/>
    </row>
    <row r="65" ht="30.0" customHeight="1">
      <c r="A65" s="1"/>
      <c r="B65" s="45">
        <f t="shared" si="3"/>
        <v>57</v>
      </c>
      <c r="C65" s="93">
        <v>45420.0</v>
      </c>
      <c r="D65" s="57" t="s">
        <v>1167</v>
      </c>
      <c r="E65" s="57" t="s">
        <v>1168</v>
      </c>
      <c r="F65" s="80"/>
      <c r="G65" s="57" t="s">
        <v>70</v>
      </c>
      <c r="H65" s="80"/>
      <c r="I65" s="80"/>
      <c r="J65" s="57" t="s">
        <v>83</v>
      </c>
      <c r="K65" s="57" t="s">
        <v>55</v>
      </c>
      <c r="L65" s="5" t="s">
        <v>85</v>
      </c>
      <c r="M65" s="129"/>
      <c r="N65" s="80"/>
      <c r="O65" s="57" t="s">
        <v>27</v>
      </c>
      <c r="P65" s="80"/>
      <c r="Q65" s="127"/>
      <c r="R65" s="81" t="s">
        <v>1169</v>
      </c>
      <c r="S65" s="81" t="s">
        <v>1170</v>
      </c>
      <c r="T65" s="82" t="s">
        <v>987</v>
      </c>
      <c r="U65" s="1"/>
      <c r="V65" s="3"/>
      <c r="W65" s="1"/>
      <c r="X65" s="1"/>
    </row>
    <row r="66" ht="30.0" customHeight="1">
      <c r="A66" s="1"/>
      <c r="B66" s="45">
        <f t="shared" si="3"/>
        <v>58</v>
      </c>
      <c r="C66" s="93">
        <v>45421.0</v>
      </c>
      <c r="D66" s="57" t="s">
        <v>1171</v>
      </c>
      <c r="E66" s="57" t="s">
        <v>1172</v>
      </c>
      <c r="F66" s="80"/>
      <c r="G66" s="57" t="s">
        <v>33</v>
      </c>
      <c r="H66" s="57" t="s">
        <v>1173</v>
      </c>
      <c r="I66" s="57" t="s">
        <v>60</v>
      </c>
      <c r="J66" s="57" t="s">
        <v>887</v>
      </c>
      <c r="K66" s="80"/>
      <c r="L66" s="5" t="s">
        <v>160</v>
      </c>
      <c r="M66" s="129"/>
      <c r="N66" s="80"/>
      <c r="O66" s="57" t="s">
        <v>152</v>
      </c>
      <c r="P66" s="80"/>
      <c r="Q66" s="127"/>
      <c r="R66" s="81" t="s">
        <v>1174</v>
      </c>
      <c r="S66" s="81" t="s">
        <v>1175</v>
      </c>
      <c r="T66" s="82" t="s">
        <v>102</v>
      </c>
      <c r="U66" s="1"/>
      <c r="V66" s="3"/>
      <c r="W66" s="1"/>
      <c r="X66" s="1"/>
    </row>
    <row r="67" ht="30.0" customHeight="1">
      <c r="A67" s="1"/>
      <c r="B67" s="45">
        <f t="shared" si="3"/>
        <v>59</v>
      </c>
      <c r="C67" s="93">
        <v>45421.0</v>
      </c>
      <c r="D67" s="57" t="s">
        <v>1176</v>
      </c>
      <c r="E67" s="57" t="s">
        <v>1177</v>
      </c>
      <c r="F67" s="57" t="s">
        <v>1178</v>
      </c>
      <c r="G67" s="57" t="s">
        <v>42</v>
      </c>
      <c r="H67" s="57" t="s">
        <v>1179</v>
      </c>
      <c r="I67" s="57" t="s">
        <v>53</v>
      </c>
      <c r="J67" s="57" t="s">
        <v>61</v>
      </c>
      <c r="K67" s="57" t="s">
        <v>55</v>
      </c>
      <c r="L67" s="5" t="s">
        <v>85</v>
      </c>
      <c r="M67" s="129"/>
      <c r="N67" s="80"/>
      <c r="O67" s="57" t="s">
        <v>27</v>
      </c>
      <c r="P67" s="80"/>
      <c r="Q67" s="127"/>
      <c r="R67" s="81" t="s">
        <v>1180</v>
      </c>
      <c r="S67" s="81" t="s">
        <v>1181</v>
      </c>
      <c r="T67" s="82" t="s">
        <v>102</v>
      </c>
      <c r="U67" s="1"/>
      <c r="V67" s="3"/>
      <c r="W67" s="1"/>
      <c r="X67" s="1"/>
    </row>
    <row r="68" ht="30.0" customHeight="1">
      <c r="A68" s="1"/>
      <c r="B68" s="45">
        <f t="shared" si="3"/>
        <v>60</v>
      </c>
      <c r="C68" s="93">
        <v>45422.0</v>
      </c>
      <c r="D68" s="80"/>
      <c r="E68" s="57" t="s">
        <v>1182</v>
      </c>
      <c r="F68" s="57" t="s">
        <v>1183</v>
      </c>
      <c r="G68" s="57" t="s">
        <v>42</v>
      </c>
      <c r="H68" s="57" t="s">
        <v>1184</v>
      </c>
      <c r="I68" s="57" t="s">
        <v>53</v>
      </c>
      <c r="J68" s="57" t="s">
        <v>1185</v>
      </c>
      <c r="K68" s="57" t="s">
        <v>55</v>
      </c>
      <c r="L68" s="5" t="s">
        <v>85</v>
      </c>
      <c r="M68" s="59" t="s">
        <v>203</v>
      </c>
      <c r="N68" s="80"/>
      <c r="O68" s="60"/>
      <c r="P68" s="80"/>
      <c r="Q68" s="127"/>
      <c r="R68" s="81" t="s">
        <v>1186</v>
      </c>
      <c r="S68" s="81" t="s">
        <v>1187</v>
      </c>
      <c r="T68" s="82" t="s">
        <v>358</v>
      </c>
      <c r="U68" s="1"/>
      <c r="V68" s="3"/>
      <c r="W68" s="1"/>
      <c r="X68" s="1"/>
    </row>
    <row r="69" ht="16.5" customHeight="1">
      <c r="A69" s="1"/>
      <c r="B69" s="45">
        <f t="shared" si="3"/>
        <v>61</v>
      </c>
      <c r="C69" s="93">
        <v>45426.0</v>
      </c>
      <c r="D69" s="57" t="s">
        <v>433</v>
      </c>
      <c r="E69" s="57" t="s">
        <v>1188</v>
      </c>
      <c r="F69" s="57" t="s">
        <v>434</v>
      </c>
      <c r="G69" s="57" t="s">
        <v>26</v>
      </c>
      <c r="H69" s="80"/>
      <c r="I69" s="80"/>
      <c r="J69" s="57" t="s">
        <v>61</v>
      </c>
      <c r="K69" s="57" t="s">
        <v>55</v>
      </c>
      <c r="L69" s="5" t="s">
        <v>160</v>
      </c>
      <c r="M69" s="129"/>
      <c r="N69" s="80"/>
      <c r="O69" s="60" t="s">
        <v>27</v>
      </c>
      <c r="P69" s="80"/>
      <c r="Q69" s="127"/>
      <c r="R69" s="81" t="s">
        <v>1189</v>
      </c>
      <c r="S69" s="81" t="s">
        <v>1190</v>
      </c>
      <c r="T69" s="82" t="s">
        <v>987</v>
      </c>
      <c r="U69" s="1"/>
      <c r="V69" s="3"/>
      <c r="W69" s="1"/>
      <c r="X69" s="1"/>
    </row>
    <row r="70" ht="30.0" customHeight="1">
      <c r="A70" s="1"/>
      <c r="B70" s="45">
        <f t="shared" si="3"/>
        <v>62</v>
      </c>
      <c r="C70" s="93">
        <v>45426.0</v>
      </c>
      <c r="D70" s="57" t="s">
        <v>1191</v>
      </c>
      <c r="E70" s="57" t="s">
        <v>1003</v>
      </c>
      <c r="F70" s="57" t="s">
        <v>1192</v>
      </c>
      <c r="G70" s="57" t="s">
        <v>70</v>
      </c>
      <c r="H70" s="80"/>
      <c r="I70" s="80"/>
      <c r="J70" s="80"/>
      <c r="K70" s="80"/>
      <c r="L70" s="128"/>
      <c r="M70" s="59" t="s">
        <v>120</v>
      </c>
      <c r="N70" s="80"/>
      <c r="O70" s="60"/>
      <c r="P70" s="80"/>
      <c r="Q70" s="127"/>
      <c r="R70" s="81" t="s">
        <v>1193</v>
      </c>
      <c r="S70" s="81" t="s">
        <v>1194</v>
      </c>
      <c r="T70" s="82" t="s">
        <v>102</v>
      </c>
      <c r="U70" s="1"/>
      <c r="V70" s="3"/>
      <c r="W70" s="1"/>
      <c r="X70" s="1"/>
    </row>
    <row r="71" ht="16.5" customHeight="1">
      <c r="A71" s="1"/>
      <c r="B71" s="45">
        <f t="shared" si="3"/>
        <v>63</v>
      </c>
      <c r="C71" s="93">
        <v>45426.0</v>
      </c>
      <c r="D71" s="80"/>
      <c r="E71" s="57" t="s">
        <v>1195</v>
      </c>
      <c r="F71" s="80"/>
      <c r="G71" s="57" t="s">
        <v>70</v>
      </c>
      <c r="H71" s="80"/>
      <c r="I71" s="80"/>
      <c r="J71" s="80"/>
      <c r="K71" s="80"/>
      <c r="L71" s="128"/>
      <c r="M71" s="129"/>
      <c r="N71" s="80"/>
      <c r="O71" s="57" t="s">
        <v>128</v>
      </c>
      <c r="P71" s="80"/>
      <c r="Q71" s="127"/>
      <c r="R71" s="81" t="s">
        <v>1196</v>
      </c>
      <c r="S71" s="81" t="s">
        <v>1197</v>
      </c>
      <c r="T71" s="82" t="s">
        <v>987</v>
      </c>
      <c r="U71" s="1"/>
      <c r="V71" s="3"/>
      <c r="W71" s="1"/>
      <c r="X71" s="1"/>
    </row>
    <row r="72" ht="30.0" customHeight="1">
      <c r="A72" s="1"/>
      <c r="B72" s="45">
        <f t="shared" si="3"/>
        <v>64</v>
      </c>
      <c r="C72" s="93">
        <v>45428.0</v>
      </c>
      <c r="D72" s="80"/>
      <c r="E72" s="80"/>
      <c r="F72" s="80"/>
      <c r="G72" s="57" t="s">
        <v>42</v>
      </c>
      <c r="H72" s="80"/>
      <c r="I72" s="80"/>
      <c r="J72" s="80"/>
      <c r="K72" s="80"/>
      <c r="L72" s="128"/>
      <c r="M72" s="59" t="s">
        <v>120</v>
      </c>
      <c r="N72" s="80"/>
      <c r="O72" s="60"/>
      <c r="P72" s="80"/>
      <c r="Q72" s="127"/>
      <c r="R72" s="81" t="s">
        <v>1198</v>
      </c>
      <c r="S72" s="81" t="s">
        <v>999</v>
      </c>
      <c r="T72" s="82" t="s">
        <v>987</v>
      </c>
      <c r="U72" s="1"/>
      <c r="V72" s="3"/>
      <c r="W72" s="1"/>
      <c r="X72" s="1"/>
    </row>
    <row r="73" ht="64.5" customHeight="1">
      <c r="A73" s="1"/>
      <c r="B73" s="45">
        <f t="shared" si="3"/>
        <v>65</v>
      </c>
      <c r="C73" s="93">
        <v>45429.0</v>
      </c>
      <c r="D73" s="57" t="s">
        <v>1199</v>
      </c>
      <c r="E73" s="57" t="s">
        <v>1200</v>
      </c>
      <c r="F73" s="57" t="s">
        <v>1201</v>
      </c>
      <c r="G73" s="57" t="s">
        <v>42</v>
      </c>
      <c r="H73" s="57" t="s">
        <v>1202</v>
      </c>
      <c r="I73" s="57" t="s">
        <v>60</v>
      </c>
      <c r="J73" s="80"/>
      <c r="K73" s="57" t="s">
        <v>55</v>
      </c>
      <c r="L73" s="5" t="s">
        <v>202</v>
      </c>
      <c r="M73" s="129"/>
      <c r="N73" s="80"/>
      <c r="O73" s="57" t="s">
        <v>27</v>
      </c>
      <c r="P73" s="80"/>
      <c r="Q73" s="127"/>
      <c r="R73" s="81" t="s">
        <v>1203</v>
      </c>
      <c r="S73" s="81" t="s">
        <v>1204</v>
      </c>
      <c r="T73" s="82" t="s">
        <v>358</v>
      </c>
      <c r="U73" s="1"/>
      <c r="V73" s="3"/>
      <c r="W73" s="1"/>
      <c r="X73" s="1"/>
    </row>
    <row r="74" ht="44.25" customHeight="1">
      <c r="A74" s="1"/>
      <c r="B74" s="45">
        <f t="shared" si="3"/>
        <v>66</v>
      </c>
      <c r="C74" s="93">
        <v>45432.0</v>
      </c>
      <c r="D74" s="80"/>
      <c r="E74" s="80"/>
      <c r="F74" s="80"/>
      <c r="G74" s="57" t="s">
        <v>42</v>
      </c>
      <c r="H74" s="80"/>
      <c r="I74" s="80"/>
      <c r="J74" s="80"/>
      <c r="K74" s="80"/>
      <c r="L74" s="128"/>
      <c r="M74" s="59" t="s">
        <v>120</v>
      </c>
      <c r="N74" s="80"/>
      <c r="O74" s="60"/>
      <c r="P74" s="80"/>
      <c r="Q74" s="127"/>
      <c r="R74" s="81" t="s">
        <v>1205</v>
      </c>
      <c r="S74" s="81" t="s">
        <v>1206</v>
      </c>
      <c r="T74" s="82" t="s">
        <v>987</v>
      </c>
      <c r="U74" s="1"/>
      <c r="V74" s="3"/>
      <c r="W74" s="1"/>
      <c r="X74" s="1"/>
    </row>
    <row r="75" ht="30.0" customHeight="1">
      <c r="A75" s="1"/>
      <c r="B75" s="45">
        <f t="shared" si="3"/>
        <v>67</v>
      </c>
      <c r="C75" s="93">
        <v>45432.0</v>
      </c>
      <c r="D75" s="80"/>
      <c r="E75" s="80"/>
      <c r="F75" s="80"/>
      <c r="G75" s="57" t="s">
        <v>70</v>
      </c>
      <c r="H75" s="80"/>
      <c r="I75" s="80"/>
      <c r="J75" s="57" t="s">
        <v>99</v>
      </c>
      <c r="K75" s="80"/>
      <c r="L75" s="5" t="s">
        <v>202</v>
      </c>
      <c r="M75" s="59" t="s">
        <v>120</v>
      </c>
      <c r="N75" s="80"/>
      <c r="O75" s="60"/>
      <c r="P75" s="80"/>
      <c r="Q75" s="127"/>
      <c r="R75" s="81" t="s">
        <v>1207</v>
      </c>
      <c r="S75" s="81" t="s">
        <v>1208</v>
      </c>
      <c r="T75" s="82" t="s">
        <v>987</v>
      </c>
      <c r="U75" s="1"/>
      <c r="V75" s="3"/>
      <c r="W75" s="1"/>
      <c r="X75" s="1"/>
    </row>
    <row r="76" ht="16.5" customHeight="1">
      <c r="A76" s="1"/>
      <c r="B76" s="45">
        <f t="shared" si="3"/>
        <v>68</v>
      </c>
      <c r="C76" s="93">
        <v>45432.0</v>
      </c>
      <c r="D76" s="57" t="s">
        <v>1209</v>
      </c>
      <c r="E76" s="57" t="s">
        <v>1210</v>
      </c>
      <c r="F76" s="57" t="s">
        <v>1211</v>
      </c>
      <c r="G76" s="57" t="s">
        <v>215</v>
      </c>
      <c r="H76" s="57" t="s">
        <v>1212</v>
      </c>
      <c r="I76" s="80"/>
      <c r="J76" s="80"/>
      <c r="K76" s="80"/>
      <c r="L76" s="128"/>
      <c r="M76" s="129"/>
      <c r="N76" s="80"/>
      <c r="O76" s="57" t="s">
        <v>27</v>
      </c>
      <c r="P76" s="80"/>
      <c r="Q76" s="127"/>
      <c r="R76" s="81" t="s">
        <v>1213</v>
      </c>
      <c r="S76" s="81" t="s">
        <v>1214</v>
      </c>
      <c r="T76" s="82" t="s">
        <v>358</v>
      </c>
      <c r="U76" s="1"/>
      <c r="V76" s="3"/>
      <c r="W76" s="1"/>
      <c r="X76" s="1"/>
    </row>
    <row r="77" ht="30.0" customHeight="1">
      <c r="A77" s="1"/>
      <c r="B77" s="45">
        <f t="shared" si="3"/>
        <v>69</v>
      </c>
      <c r="C77" s="93">
        <v>45433.0</v>
      </c>
      <c r="D77" s="80"/>
      <c r="E77" s="57" t="s">
        <v>208</v>
      </c>
      <c r="F77" s="57" t="s">
        <v>1215</v>
      </c>
      <c r="G77" s="57" t="s">
        <v>42</v>
      </c>
      <c r="H77" s="80"/>
      <c r="I77" s="80"/>
      <c r="J77" s="57" t="s">
        <v>61</v>
      </c>
      <c r="K77" s="57" t="s">
        <v>55</v>
      </c>
      <c r="L77" s="5" t="s">
        <v>85</v>
      </c>
      <c r="M77" s="59" t="s">
        <v>120</v>
      </c>
      <c r="N77" s="80"/>
      <c r="O77" s="60"/>
      <c r="P77" s="80"/>
      <c r="Q77" s="127"/>
      <c r="R77" s="81" t="s">
        <v>1216</v>
      </c>
      <c r="S77" s="81" t="s">
        <v>1217</v>
      </c>
      <c r="T77" s="82" t="s">
        <v>987</v>
      </c>
      <c r="U77" s="1"/>
      <c r="V77" s="3"/>
      <c r="W77" s="1"/>
      <c r="X77" s="1"/>
    </row>
    <row r="78" ht="30.0" customHeight="1">
      <c r="A78" s="1"/>
      <c r="B78" s="45">
        <f t="shared" si="3"/>
        <v>70</v>
      </c>
      <c r="C78" s="130">
        <v>45435.0</v>
      </c>
      <c r="D78" s="57" t="s">
        <v>1209</v>
      </c>
      <c r="E78" s="57" t="s">
        <v>1210</v>
      </c>
      <c r="F78" s="57" t="s">
        <v>1211</v>
      </c>
      <c r="G78" s="57" t="s">
        <v>215</v>
      </c>
      <c r="H78" s="57" t="s">
        <v>1212</v>
      </c>
      <c r="I78" s="45"/>
      <c r="J78" s="45"/>
      <c r="K78" s="45"/>
      <c r="L78" s="85"/>
      <c r="M78" s="86"/>
      <c r="N78" s="45"/>
      <c r="O78" s="57" t="s">
        <v>27</v>
      </c>
      <c r="P78" s="45"/>
      <c r="Q78" s="87"/>
      <c r="R78" s="95" t="s">
        <v>1218</v>
      </c>
      <c r="S78" s="92" t="s">
        <v>1219</v>
      </c>
      <c r="T78" s="82" t="s">
        <v>987</v>
      </c>
      <c r="U78" s="1"/>
      <c r="V78" s="3"/>
      <c r="W78" s="1"/>
      <c r="X78" s="1"/>
    </row>
    <row r="79" ht="30.0" customHeight="1">
      <c r="A79" s="1"/>
      <c r="B79" s="45">
        <f t="shared" si="3"/>
        <v>71</v>
      </c>
      <c r="C79" s="130">
        <v>45435.0</v>
      </c>
      <c r="D79" s="94"/>
      <c r="E79" s="94"/>
      <c r="F79" s="45" t="s">
        <v>1220</v>
      </c>
      <c r="G79" s="45" t="s">
        <v>42</v>
      </c>
      <c r="H79" s="45"/>
      <c r="I79" s="45"/>
      <c r="J79" s="45"/>
      <c r="K79" s="45"/>
      <c r="L79" s="85"/>
      <c r="M79" s="86"/>
      <c r="N79" s="45"/>
      <c r="O79" s="57" t="s">
        <v>27</v>
      </c>
      <c r="P79" s="45"/>
      <c r="Q79" s="87"/>
      <c r="R79" s="95" t="s">
        <v>1221</v>
      </c>
      <c r="S79" s="92"/>
      <c r="T79" s="82" t="s">
        <v>987</v>
      </c>
      <c r="U79" s="1"/>
      <c r="V79" s="3"/>
      <c r="W79" s="1"/>
      <c r="X79" s="1"/>
    </row>
    <row r="80" ht="33.75" customHeight="1">
      <c r="A80" s="1"/>
      <c r="B80" s="45">
        <f t="shared" si="3"/>
        <v>72</v>
      </c>
      <c r="C80" s="130">
        <v>45436.0</v>
      </c>
      <c r="D80" s="94"/>
      <c r="E80" s="94" t="s">
        <v>1222</v>
      </c>
      <c r="F80" s="45" t="s">
        <v>1223</v>
      </c>
      <c r="G80" s="57" t="s">
        <v>215</v>
      </c>
      <c r="H80" s="45"/>
      <c r="I80" s="45"/>
      <c r="J80" s="45"/>
      <c r="K80" s="45"/>
      <c r="L80" s="85"/>
      <c r="M80" s="86"/>
      <c r="N80" s="45"/>
      <c r="O80" s="45" t="s">
        <v>22</v>
      </c>
      <c r="P80" s="45"/>
      <c r="Q80" s="87"/>
      <c r="R80" s="95" t="s">
        <v>1224</v>
      </c>
      <c r="S80" s="92"/>
      <c r="T80" s="82" t="s">
        <v>987</v>
      </c>
      <c r="U80" s="1"/>
      <c r="V80" s="3"/>
      <c r="W80" s="1"/>
      <c r="X80" s="1"/>
    </row>
    <row r="81">
      <c r="A81" s="1"/>
      <c r="B81" s="45">
        <f t="shared" si="3"/>
        <v>73</v>
      </c>
      <c r="C81" s="130">
        <v>45436.0</v>
      </c>
      <c r="D81" s="94"/>
      <c r="E81" s="94" t="s">
        <v>252</v>
      </c>
      <c r="F81" s="45"/>
      <c r="G81" s="57" t="s">
        <v>70</v>
      </c>
      <c r="H81" s="45"/>
      <c r="I81" s="45"/>
      <c r="J81" s="45"/>
      <c r="K81" s="45"/>
      <c r="L81" s="85"/>
      <c r="M81" s="86" t="s">
        <v>203</v>
      </c>
      <c r="N81" s="45"/>
      <c r="O81" s="45"/>
      <c r="P81" s="45"/>
      <c r="Q81" s="87"/>
      <c r="R81" s="95" t="s">
        <v>1225</v>
      </c>
      <c r="S81" s="92" t="s">
        <v>1226</v>
      </c>
      <c r="T81" s="82" t="s">
        <v>987</v>
      </c>
      <c r="U81" s="1"/>
      <c r="V81" s="3"/>
      <c r="W81" s="1"/>
      <c r="X81" s="1"/>
    </row>
    <row r="82" ht="16.5" customHeight="1">
      <c r="A82" s="96"/>
      <c r="B82" s="97">
        <f t="shared" si="3"/>
        <v>74</v>
      </c>
      <c r="C82" s="131">
        <v>45436.0</v>
      </c>
      <c r="D82" s="98"/>
      <c r="E82" s="98" t="s">
        <v>40</v>
      </c>
      <c r="F82" s="97"/>
      <c r="G82" s="99" t="s">
        <v>42</v>
      </c>
      <c r="H82" s="97" t="s">
        <v>542</v>
      </c>
      <c r="I82" s="97"/>
      <c r="J82" s="97"/>
      <c r="K82" s="97"/>
      <c r="L82" s="100"/>
      <c r="M82" s="101"/>
      <c r="N82" s="97"/>
      <c r="O82" s="97" t="s">
        <v>727</v>
      </c>
      <c r="P82" s="97"/>
      <c r="Q82" s="102"/>
      <c r="R82" s="103" t="s">
        <v>1227</v>
      </c>
      <c r="S82" s="104" t="s">
        <v>1228</v>
      </c>
      <c r="T82" s="105" t="s">
        <v>987</v>
      </c>
      <c r="U82" s="96"/>
      <c r="V82" s="106"/>
      <c r="W82" s="96"/>
      <c r="X82" s="96"/>
    </row>
    <row r="83" ht="30.0" customHeight="1">
      <c r="A83" s="1"/>
      <c r="B83" s="45">
        <f t="shared" si="3"/>
        <v>75</v>
      </c>
      <c r="C83" s="130">
        <v>45439.0</v>
      </c>
      <c r="D83" s="94" t="s">
        <v>1229</v>
      </c>
      <c r="E83" s="94" t="s">
        <v>47</v>
      </c>
      <c r="F83" s="45" t="s">
        <v>294</v>
      </c>
      <c r="G83" s="45" t="s">
        <v>42</v>
      </c>
      <c r="H83" s="45" t="s">
        <v>1229</v>
      </c>
      <c r="I83" s="45" t="s">
        <v>53</v>
      </c>
      <c r="J83" s="45" t="s">
        <v>61</v>
      </c>
      <c r="K83" s="45"/>
      <c r="L83" s="85"/>
      <c r="M83" s="86"/>
      <c r="N83" s="45"/>
      <c r="O83" s="45" t="s">
        <v>417</v>
      </c>
      <c r="P83" s="45"/>
      <c r="Q83" s="87"/>
      <c r="R83" s="95" t="s">
        <v>1230</v>
      </c>
      <c r="S83" s="92" t="s">
        <v>1231</v>
      </c>
      <c r="T83" s="107" t="s">
        <v>102</v>
      </c>
      <c r="U83" s="1"/>
      <c r="V83" s="3"/>
      <c r="W83" s="1"/>
      <c r="X83" s="1"/>
    </row>
    <row r="84" ht="24.0" customHeight="1">
      <c r="A84" s="1"/>
      <c r="B84" s="45">
        <f t="shared" si="3"/>
        <v>76</v>
      </c>
      <c r="C84" s="130">
        <v>45443.0</v>
      </c>
      <c r="D84" s="94" t="s">
        <v>1232</v>
      </c>
      <c r="E84" s="94" t="s">
        <v>47</v>
      </c>
      <c r="F84" s="45" t="s">
        <v>1233</v>
      </c>
      <c r="G84" s="45" t="s">
        <v>42</v>
      </c>
      <c r="H84" s="45" t="s">
        <v>1234</v>
      </c>
      <c r="I84" s="45" t="s">
        <v>53</v>
      </c>
      <c r="J84" s="45" t="s">
        <v>1235</v>
      </c>
      <c r="K84" s="45" t="s">
        <v>55</v>
      </c>
      <c r="L84" s="85" t="s">
        <v>160</v>
      </c>
      <c r="M84" s="86"/>
      <c r="N84" s="45"/>
      <c r="O84" s="45" t="s">
        <v>27</v>
      </c>
      <c r="P84" s="45"/>
      <c r="Q84" s="87"/>
      <c r="R84" s="95" t="s">
        <v>1236</v>
      </c>
      <c r="S84" s="92" t="s">
        <v>1190</v>
      </c>
      <c r="T84" s="105" t="s">
        <v>987</v>
      </c>
      <c r="U84" s="1"/>
      <c r="V84" s="3"/>
      <c r="W84" s="1"/>
      <c r="X84" s="1"/>
    </row>
    <row r="85" ht="16.5" customHeight="1">
      <c r="A85" s="1"/>
      <c r="B85" s="45">
        <f t="shared" si="3"/>
        <v>77</v>
      </c>
      <c r="C85" s="130">
        <v>45443.0</v>
      </c>
      <c r="D85" s="94"/>
      <c r="E85" s="94"/>
      <c r="F85" s="45"/>
      <c r="G85" s="45" t="s">
        <v>215</v>
      </c>
      <c r="H85" s="45"/>
      <c r="I85" s="45"/>
      <c r="J85" s="45"/>
      <c r="K85" s="45"/>
      <c r="L85" s="85"/>
      <c r="M85" s="86"/>
      <c r="N85" s="45" t="s">
        <v>968</v>
      </c>
      <c r="O85" s="45"/>
      <c r="P85" s="45"/>
      <c r="Q85" s="87"/>
      <c r="R85" s="95" t="s">
        <v>1237</v>
      </c>
      <c r="S85" s="92" t="s">
        <v>1238</v>
      </c>
      <c r="T85" s="105" t="s">
        <v>987</v>
      </c>
      <c r="U85" s="1"/>
      <c r="V85" s="3"/>
      <c r="W85" s="1"/>
      <c r="X85" s="1"/>
    </row>
    <row r="86" ht="30.0" customHeight="1">
      <c r="A86" s="1"/>
      <c r="B86" s="45">
        <f t="shared" si="3"/>
        <v>78</v>
      </c>
      <c r="C86" s="130">
        <v>45446.0</v>
      </c>
      <c r="D86" s="94" t="s">
        <v>1239</v>
      </c>
      <c r="E86" s="94" t="s">
        <v>76</v>
      </c>
      <c r="F86" s="45"/>
      <c r="G86" s="45" t="s">
        <v>42</v>
      </c>
      <c r="H86" s="45"/>
      <c r="I86" s="45"/>
      <c r="J86" s="45" t="s">
        <v>61</v>
      </c>
      <c r="K86" s="45"/>
      <c r="L86" s="85" t="s">
        <v>85</v>
      </c>
      <c r="M86" s="86" t="s">
        <v>203</v>
      </c>
      <c r="N86" s="45"/>
      <c r="O86" s="45"/>
      <c r="P86" s="45"/>
      <c r="Q86" s="87"/>
      <c r="R86" s="95" t="s">
        <v>1240</v>
      </c>
      <c r="S86" s="108" t="s">
        <v>1241</v>
      </c>
      <c r="T86" s="109" t="s">
        <v>987</v>
      </c>
      <c r="U86" s="1"/>
      <c r="V86" s="3"/>
      <c r="W86" s="1"/>
      <c r="X86" s="1"/>
    </row>
    <row r="87" ht="30.0" customHeight="1">
      <c r="A87" s="1"/>
      <c r="B87" s="45">
        <f t="shared" si="3"/>
        <v>79</v>
      </c>
      <c r="C87" s="130">
        <v>45455.0</v>
      </c>
      <c r="D87" s="94" t="s">
        <v>1242</v>
      </c>
      <c r="E87" s="94" t="s">
        <v>24</v>
      </c>
      <c r="F87" s="45" t="s">
        <v>1243</v>
      </c>
      <c r="G87" s="45" t="s">
        <v>42</v>
      </c>
      <c r="H87" s="45"/>
      <c r="I87" s="45"/>
      <c r="J87" s="45"/>
      <c r="K87" s="45"/>
      <c r="L87" s="85"/>
      <c r="M87" s="86" t="s">
        <v>120</v>
      </c>
      <c r="N87" s="45"/>
      <c r="O87" s="45"/>
      <c r="P87" s="45"/>
      <c r="Q87" s="87"/>
      <c r="R87" s="95" t="s">
        <v>1244</v>
      </c>
      <c r="S87" s="92" t="s">
        <v>1245</v>
      </c>
      <c r="T87" s="107" t="s">
        <v>102</v>
      </c>
      <c r="U87" s="1"/>
      <c r="V87" s="3"/>
      <c r="W87" s="1"/>
      <c r="X87" s="1"/>
    </row>
    <row r="88" ht="30.0" customHeight="1">
      <c r="A88" s="1"/>
      <c r="B88" s="45">
        <f t="shared" si="3"/>
        <v>80</v>
      </c>
      <c r="C88" s="130">
        <v>45456.0</v>
      </c>
      <c r="D88" s="94"/>
      <c r="E88" s="94" t="s">
        <v>742</v>
      </c>
      <c r="F88" s="45" t="s">
        <v>1246</v>
      </c>
      <c r="G88" s="45" t="s">
        <v>70</v>
      </c>
      <c r="H88" s="45"/>
      <c r="I88" s="45"/>
      <c r="J88" s="45"/>
      <c r="K88" s="45"/>
      <c r="L88" s="85"/>
      <c r="M88" s="86"/>
      <c r="N88" s="45"/>
      <c r="O88" s="45"/>
      <c r="P88" s="45"/>
      <c r="Q88" s="87" t="s">
        <v>1247</v>
      </c>
      <c r="R88" s="95" t="s">
        <v>1248</v>
      </c>
      <c r="S88" s="92" t="s">
        <v>1249</v>
      </c>
      <c r="T88" s="107" t="s">
        <v>102</v>
      </c>
      <c r="U88" s="1"/>
      <c r="V88" s="3"/>
      <c r="W88" s="1"/>
      <c r="X88" s="1"/>
    </row>
    <row r="89" ht="30.0" customHeight="1">
      <c r="A89" s="1"/>
      <c r="B89" s="45">
        <f t="shared" si="3"/>
        <v>81</v>
      </c>
      <c r="C89" s="130">
        <v>45456.0</v>
      </c>
      <c r="D89" s="94" t="s">
        <v>1250</v>
      </c>
      <c r="E89" s="94"/>
      <c r="F89" s="45" t="s">
        <v>1251</v>
      </c>
      <c r="G89" s="45" t="s">
        <v>42</v>
      </c>
      <c r="H89" s="45"/>
      <c r="I89" s="45"/>
      <c r="J89" s="45"/>
      <c r="K89" s="45"/>
      <c r="L89" s="85"/>
      <c r="M89" s="86"/>
      <c r="N89" s="45"/>
      <c r="O89" s="45" t="s">
        <v>254</v>
      </c>
      <c r="P89" s="45"/>
      <c r="Q89" s="87"/>
      <c r="R89" s="95" t="s">
        <v>1252</v>
      </c>
      <c r="S89" s="92"/>
      <c r="T89" s="107" t="s">
        <v>1039</v>
      </c>
      <c r="U89" s="1"/>
      <c r="V89" s="3"/>
      <c r="W89" s="1"/>
      <c r="X89" s="1"/>
    </row>
    <row r="90" ht="30.0" customHeight="1">
      <c r="A90" s="1"/>
      <c r="B90" s="45">
        <f t="shared" si="3"/>
        <v>82</v>
      </c>
      <c r="C90" s="130">
        <v>45457.0</v>
      </c>
      <c r="D90" s="94" t="s">
        <v>1253</v>
      </c>
      <c r="E90" s="94" t="s">
        <v>47</v>
      </c>
      <c r="F90" s="45" t="s">
        <v>1254</v>
      </c>
      <c r="G90" s="57" t="s">
        <v>26</v>
      </c>
      <c r="H90" s="45" t="s">
        <v>1253</v>
      </c>
      <c r="I90" s="45" t="s">
        <v>53</v>
      </c>
      <c r="J90" s="45" t="s">
        <v>61</v>
      </c>
      <c r="K90" s="45" t="s">
        <v>55</v>
      </c>
      <c r="L90" s="85"/>
      <c r="M90" s="86"/>
      <c r="N90" s="45"/>
      <c r="O90" s="45" t="s">
        <v>152</v>
      </c>
      <c r="P90" s="45"/>
      <c r="Q90" s="87"/>
      <c r="R90" s="95" t="s">
        <v>1255</v>
      </c>
      <c r="S90" s="92" t="s">
        <v>1256</v>
      </c>
      <c r="T90" s="107" t="s">
        <v>1039</v>
      </c>
      <c r="U90" s="1"/>
      <c r="V90" s="3"/>
      <c r="W90" s="1"/>
      <c r="X90" s="1"/>
    </row>
    <row r="91" ht="30.0" customHeight="1">
      <c r="A91" s="1"/>
      <c r="B91" s="45">
        <f t="shared" si="3"/>
        <v>83</v>
      </c>
      <c r="C91" s="130">
        <v>45457.0</v>
      </c>
      <c r="D91" s="45"/>
      <c r="E91" s="94" t="s">
        <v>47</v>
      </c>
      <c r="F91" s="45" t="s">
        <v>1257</v>
      </c>
      <c r="G91" s="45" t="s">
        <v>42</v>
      </c>
      <c r="H91" s="45" t="s">
        <v>1258</v>
      </c>
      <c r="I91" s="45" t="s">
        <v>53</v>
      </c>
      <c r="J91" s="45" t="s">
        <v>99</v>
      </c>
      <c r="K91" s="45" t="s">
        <v>55</v>
      </c>
      <c r="L91" s="85"/>
      <c r="M91" s="86"/>
      <c r="N91" s="45"/>
      <c r="O91" s="45" t="s">
        <v>105</v>
      </c>
      <c r="P91" s="45"/>
      <c r="Q91" s="87"/>
      <c r="R91" s="95" t="s">
        <v>1259</v>
      </c>
      <c r="S91" s="92" t="s">
        <v>1260</v>
      </c>
      <c r="T91" s="107" t="s">
        <v>1039</v>
      </c>
      <c r="U91" s="1"/>
      <c r="V91" s="3"/>
      <c r="W91" s="1"/>
      <c r="X91" s="1"/>
    </row>
    <row r="92" ht="30.0" customHeight="1">
      <c r="A92" s="1"/>
      <c r="B92" s="45">
        <f t="shared" si="3"/>
        <v>84</v>
      </c>
      <c r="C92" s="130">
        <v>45461.0</v>
      </c>
      <c r="D92" s="94"/>
      <c r="E92" s="94"/>
      <c r="F92" s="45" t="s">
        <v>1261</v>
      </c>
      <c r="G92" s="57" t="s">
        <v>70</v>
      </c>
      <c r="H92" s="45"/>
      <c r="I92" s="45"/>
      <c r="J92" s="45"/>
      <c r="K92" s="45"/>
      <c r="L92" s="85"/>
      <c r="M92" s="86"/>
      <c r="N92" s="45"/>
      <c r="O92" s="45"/>
      <c r="P92" s="45"/>
      <c r="Q92" s="87"/>
      <c r="R92" s="95" t="s">
        <v>1262</v>
      </c>
      <c r="S92" s="92" t="s">
        <v>1263</v>
      </c>
      <c r="T92" s="107" t="s">
        <v>1264</v>
      </c>
      <c r="U92" s="1"/>
      <c r="V92" s="3"/>
      <c r="W92" s="1"/>
      <c r="X92" s="1"/>
    </row>
    <row r="93" ht="30.0" customHeight="1">
      <c r="A93" s="1"/>
      <c r="B93" s="45">
        <f t="shared" si="3"/>
        <v>85</v>
      </c>
      <c r="C93" s="130">
        <v>45462.0</v>
      </c>
      <c r="D93" s="94"/>
      <c r="E93" s="94" t="s">
        <v>47</v>
      </c>
      <c r="F93" s="45" t="s">
        <v>1265</v>
      </c>
      <c r="G93" s="57" t="s">
        <v>42</v>
      </c>
      <c r="H93" s="45"/>
      <c r="I93" s="45"/>
      <c r="J93" s="45"/>
      <c r="K93" s="45"/>
      <c r="L93" s="85"/>
      <c r="M93" s="86"/>
      <c r="N93" s="45"/>
      <c r="O93" s="45"/>
      <c r="P93" s="45"/>
      <c r="Q93" s="87" t="s">
        <v>1266</v>
      </c>
      <c r="R93" s="95" t="s">
        <v>1267</v>
      </c>
      <c r="S93" s="92" t="s">
        <v>1268</v>
      </c>
      <c r="T93" s="107" t="s">
        <v>358</v>
      </c>
      <c r="U93" s="1"/>
      <c r="V93" s="3"/>
      <c r="W93" s="1"/>
      <c r="X93" s="1"/>
    </row>
    <row r="94" ht="30.0" customHeight="1">
      <c r="A94" s="1"/>
      <c r="B94" s="45">
        <f t="shared" si="3"/>
        <v>86</v>
      </c>
      <c r="C94" s="130">
        <v>45464.0</v>
      </c>
      <c r="D94" s="94" t="s">
        <v>1269</v>
      </c>
      <c r="E94" s="94" t="s">
        <v>40</v>
      </c>
      <c r="F94" s="45" t="s">
        <v>1270</v>
      </c>
      <c r="G94" s="57" t="s">
        <v>26</v>
      </c>
      <c r="H94" s="45" t="s">
        <v>1269</v>
      </c>
      <c r="I94" s="45" t="s">
        <v>60</v>
      </c>
      <c r="J94" s="45" t="s">
        <v>99</v>
      </c>
      <c r="K94" s="45" t="s">
        <v>55</v>
      </c>
      <c r="L94" s="85"/>
      <c r="M94" s="86"/>
      <c r="N94" s="45"/>
      <c r="O94" s="45" t="s">
        <v>152</v>
      </c>
      <c r="P94" s="45"/>
      <c r="Q94" s="87"/>
      <c r="R94" s="95" t="s">
        <v>1271</v>
      </c>
      <c r="S94" s="132" t="s">
        <v>1272</v>
      </c>
      <c r="T94" s="107" t="s">
        <v>102</v>
      </c>
      <c r="U94" s="1"/>
      <c r="V94" s="3"/>
      <c r="W94" s="1"/>
      <c r="X94" s="1"/>
    </row>
    <row r="95" ht="30.0" customHeight="1">
      <c r="A95" s="1"/>
      <c r="B95" s="45">
        <f t="shared" si="3"/>
        <v>87</v>
      </c>
      <c r="C95" s="130">
        <v>45468.0</v>
      </c>
      <c r="D95" s="94" t="s">
        <v>1273</v>
      </c>
      <c r="E95" s="94" t="s">
        <v>40</v>
      </c>
      <c r="F95" s="45" t="s">
        <v>1274</v>
      </c>
      <c r="G95" s="57" t="s">
        <v>42</v>
      </c>
      <c r="H95" s="45"/>
      <c r="I95" s="45" t="s">
        <v>53</v>
      </c>
      <c r="J95" s="45" t="s">
        <v>99</v>
      </c>
      <c r="K95" s="45" t="s">
        <v>55</v>
      </c>
      <c r="L95" s="85" t="s">
        <v>202</v>
      </c>
      <c r="M95" s="86" t="s">
        <v>203</v>
      </c>
      <c r="N95" s="45"/>
      <c r="O95" s="45"/>
      <c r="P95" s="45"/>
      <c r="Q95" s="87"/>
      <c r="R95" s="95" t="s">
        <v>1275</v>
      </c>
      <c r="S95" s="92" t="s">
        <v>1276</v>
      </c>
      <c r="T95" s="107" t="s">
        <v>309</v>
      </c>
      <c r="U95" s="1"/>
      <c r="V95" s="3"/>
      <c r="W95" s="1"/>
      <c r="X95" s="1"/>
    </row>
    <row r="96" ht="30.0" customHeight="1">
      <c r="A96" s="1"/>
      <c r="B96" s="45">
        <f t="shared" si="3"/>
        <v>88</v>
      </c>
      <c r="C96" s="130">
        <v>45470.0</v>
      </c>
      <c r="D96" s="94"/>
      <c r="E96" s="94"/>
      <c r="F96" s="45"/>
      <c r="G96" s="57" t="s">
        <v>42</v>
      </c>
      <c r="H96" s="45"/>
      <c r="I96" s="45"/>
      <c r="J96" s="45"/>
      <c r="K96" s="45"/>
      <c r="L96" s="85"/>
      <c r="M96" s="86"/>
      <c r="N96" s="45"/>
      <c r="O96" s="45"/>
      <c r="P96" s="45"/>
      <c r="Q96" s="87"/>
      <c r="R96" s="95" t="s">
        <v>1277</v>
      </c>
      <c r="S96" s="92" t="s">
        <v>1278</v>
      </c>
      <c r="T96" s="107" t="s">
        <v>358</v>
      </c>
      <c r="U96" s="1"/>
      <c r="V96" s="3"/>
      <c r="W96" s="1"/>
      <c r="X96" s="1"/>
    </row>
    <row r="97" ht="30.0" customHeight="1">
      <c r="A97" s="1"/>
      <c r="B97" s="45">
        <f t="shared" si="3"/>
        <v>89</v>
      </c>
      <c r="C97" s="130">
        <v>45471.0</v>
      </c>
      <c r="D97" s="94" t="s">
        <v>1152</v>
      </c>
      <c r="E97" s="94"/>
      <c r="F97" s="45" t="s">
        <v>574</v>
      </c>
      <c r="G97" s="57" t="s">
        <v>33</v>
      </c>
      <c r="H97" s="45"/>
      <c r="I97" s="45"/>
      <c r="J97" s="45"/>
      <c r="K97" s="45"/>
      <c r="L97" s="85"/>
      <c r="M97" s="86"/>
      <c r="N97" s="45"/>
      <c r="O97" s="45"/>
      <c r="P97" s="45"/>
      <c r="Q97" s="87"/>
      <c r="R97" s="95" t="s">
        <v>1279</v>
      </c>
      <c r="S97" s="92" t="s">
        <v>1280</v>
      </c>
      <c r="T97" s="107" t="s">
        <v>1264</v>
      </c>
      <c r="U97" s="1"/>
      <c r="V97" s="3"/>
      <c r="W97" s="1"/>
      <c r="X97" s="1"/>
    </row>
    <row r="98" ht="30.0" customHeight="1">
      <c r="A98" s="1"/>
      <c r="B98" s="45">
        <f t="shared" si="3"/>
        <v>90</v>
      </c>
      <c r="C98" s="130">
        <v>45471.0</v>
      </c>
      <c r="D98" s="94" t="s">
        <v>1281</v>
      </c>
      <c r="E98" s="94"/>
      <c r="F98" s="45" t="s">
        <v>66</v>
      </c>
      <c r="G98" s="57" t="s">
        <v>22</v>
      </c>
      <c r="H98" s="45"/>
      <c r="I98" s="45"/>
      <c r="J98" s="45"/>
      <c r="K98" s="45"/>
      <c r="L98" s="85"/>
      <c r="M98" s="86"/>
      <c r="N98" s="45"/>
      <c r="O98" s="45"/>
      <c r="P98" s="45"/>
      <c r="Q98" s="87"/>
      <c r="R98" s="95" t="s">
        <v>1282</v>
      </c>
      <c r="S98" s="92" t="s">
        <v>1283</v>
      </c>
      <c r="T98" s="107" t="s">
        <v>1264</v>
      </c>
      <c r="U98" s="1"/>
      <c r="V98" s="3"/>
      <c r="W98" s="1"/>
      <c r="X98" s="1"/>
    </row>
    <row r="99" ht="30.0" customHeight="1">
      <c r="A99" s="1"/>
      <c r="B99" s="45">
        <f t="shared" si="3"/>
        <v>91</v>
      </c>
      <c r="C99" s="130">
        <v>45471.0</v>
      </c>
      <c r="D99" s="94" t="s">
        <v>1284</v>
      </c>
      <c r="E99" s="94"/>
      <c r="F99" s="94" t="s">
        <v>1285</v>
      </c>
      <c r="G99" s="57" t="s">
        <v>33</v>
      </c>
      <c r="H99" s="45"/>
      <c r="I99" s="45"/>
      <c r="J99" s="45"/>
      <c r="K99" s="45"/>
      <c r="L99" s="85"/>
      <c r="M99" s="86"/>
      <c r="N99" s="45"/>
      <c r="O99" s="45"/>
      <c r="P99" s="45"/>
      <c r="Q99" s="87"/>
      <c r="R99" s="95" t="s">
        <v>1286</v>
      </c>
      <c r="S99" s="92" t="s">
        <v>1287</v>
      </c>
      <c r="T99" s="107" t="s">
        <v>1264</v>
      </c>
      <c r="U99" s="1"/>
      <c r="V99" s="3"/>
      <c r="W99" s="1"/>
      <c r="X99" s="1"/>
    </row>
    <row r="100" ht="30.0" customHeight="1">
      <c r="A100" s="1"/>
      <c r="B100" s="45">
        <f t="shared" si="3"/>
        <v>92</v>
      </c>
      <c r="C100" s="130">
        <v>45481.0</v>
      </c>
      <c r="D100" s="94" t="s">
        <v>1288</v>
      </c>
      <c r="E100" s="94" t="s">
        <v>47</v>
      </c>
      <c r="F100" s="94" t="s">
        <v>1289</v>
      </c>
      <c r="G100" s="57" t="s">
        <v>215</v>
      </c>
      <c r="H100" s="45"/>
      <c r="I100" s="45"/>
      <c r="J100" s="45" t="s">
        <v>61</v>
      </c>
      <c r="K100" s="45" t="s">
        <v>181</v>
      </c>
      <c r="L100" s="85" t="s">
        <v>336</v>
      </c>
      <c r="M100" s="86"/>
      <c r="N100" s="45"/>
      <c r="O100" s="45" t="s">
        <v>27</v>
      </c>
      <c r="P100" s="45"/>
      <c r="Q100" s="87"/>
      <c r="R100" s="95" t="s">
        <v>1290</v>
      </c>
      <c r="S100" s="92" t="s">
        <v>1291</v>
      </c>
      <c r="T100" s="107" t="s">
        <v>102</v>
      </c>
      <c r="U100" s="1"/>
      <c r="V100" s="3"/>
      <c r="W100" s="1"/>
      <c r="X100" s="1"/>
    </row>
    <row r="101" ht="30.0" customHeight="1">
      <c r="A101" s="1"/>
      <c r="B101" s="45">
        <f t="shared" si="3"/>
        <v>93</v>
      </c>
      <c r="C101" s="130">
        <v>45483.0</v>
      </c>
      <c r="D101" s="94"/>
      <c r="E101" s="94"/>
      <c r="F101" s="94" t="s">
        <v>1292</v>
      </c>
      <c r="G101" s="57" t="s">
        <v>42</v>
      </c>
      <c r="H101" s="45"/>
      <c r="I101" s="45"/>
      <c r="J101" s="45"/>
      <c r="K101" s="45"/>
      <c r="L101" s="85"/>
      <c r="M101" s="86"/>
      <c r="N101" s="45"/>
      <c r="O101" s="45" t="s">
        <v>27</v>
      </c>
      <c r="P101" s="45"/>
      <c r="Q101" s="87"/>
      <c r="R101" s="95" t="s">
        <v>1293</v>
      </c>
      <c r="S101" s="92" t="s">
        <v>1294</v>
      </c>
      <c r="T101" s="107" t="s">
        <v>102</v>
      </c>
      <c r="U101" s="1"/>
      <c r="V101" s="3"/>
      <c r="W101" s="1"/>
      <c r="X101" s="1"/>
    </row>
    <row r="102" ht="30.0" customHeight="1">
      <c r="A102" s="1"/>
      <c r="B102" s="45">
        <f t="shared" si="3"/>
        <v>94</v>
      </c>
      <c r="C102" s="130">
        <v>45489.0</v>
      </c>
      <c r="D102" s="94" t="s">
        <v>1295</v>
      </c>
      <c r="E102" s="94" t="s">
        <v>1296</v>
      </c>
      <c r="F102" s="94" t="s">
        <v>1297</v>
      </c>
      <c r="G102" s="57" t="s">
        <v>70</v>
      </c>
      <c r="H102" s="45"/>
      <c r="I102" s="45"/>
      <c r="J102" s="45"/>
      <c r="K102" s="45"/>
      <c r="L102" s="85"/>
      <c r="M102" s="86" t="s">
        <v>203</v>
      </c>
      <c r="N102" s="45"/>
      <c r="O102" s="45"/>
      <c r="P102" s="45"/>
      <c r="Q102" s="87"/>
      <c r="R102" s="95" t="s">
        <v>1298</v>
      </c>
      <c r="S102" s="92" t="s">
        <v>1299</v>
      </c>
      <c r="T102" s="107" t="s">
        <v>309</v>
      </c>
      <c r="U102" s="1"/>
      <c r="V102" s="3"/>
      <c r="W102" s="1"/>
      <c r="X102" s="1"/>
    </row>
    <row r="103" ht="29.25" customHeight="1">
      <c r="A103" s="1"/>
      <c r="B103" s="45">
        <f t="shared" si="3"/>
        <v>95</v>
      </c>
      <c r="C103" s="130">
        <v>45489.0</v>
      </c>
      <c r="D103" s="94" t="s">
        <v>1300</v>
      </c>
      <c r="E103" s="94"/>
      <c r="F103" s="45" t="s">
        <v>1301</v>
      </c>
      <c r="G103" s="57" t="s">
        <v>42</v>
      </c>
      <c r="H103" s="45" t="s">
        <v>1302</v>
      </c>
      <c r="I103" s="45"/>
      <c r="J103" s="45"/>
      <c r="K103" s="45"/>
      <c r="L103" s="85"/>
      <c r="M103" s="86"/>
      <c r="N103" s="45"/>
      <c r="O103" s="45"/>
      <c r="P103" s="45"/>
      <c r="Q103" s="87"/>
      <c r="R103" s="95" t="s">
        <v>1303</v>
      </c>
      <c r="S103" s="92" t="s">
        <v>1304</v>
      </c>
      <c r="T103" s="107"/>
      <c r="U103" s="1"/>
      <c r="V103" s="3"/>
      <c r="W103" s="1"/>
      <c r="X103" s="1"/>
    </row>
    <row r="104" ht="46.5" customHeight="1">
      <c r="A104" s="1"/>
      <c r="B104" s="45">
        <f t="shared" si="3"/>
        <v>96</v>
      </c>
      <c r="C104" s="130">
        <v>45497.0</v>
      </c>
      <c r="D104" s="94"/>
      <c r="E104" s="94"/>
      <c r="F104" s="45" t="s">
        <v>1305</v>
      </c>
      <c r="G104" s="57" t="s">
        <v>42</v>
      </c>
      <c r="H104" s="45"/>
      <c r="I104" s="45" t="s">
        <v>53</v>
      </c>
      <c r="J104" s="45" t="s">
        <v>61</v>
      </c>
      <c r="K104" s="45" t="s">
        <v>181</v>
      </c>
      <c r="L104" s="85"/>
      <c r="M104" s="86"/>
      <c r="N104" s="45"/>
      <c r="O104" s="45" t="s">
        <v>152</v>
      </c>
      <c r="P104" s="45"/>
      <c r="Q104" s="87"/>
      <c r="R104" s="95" t="s">
        <v>1306</v>
      </c>
      <c r="S104" s="92" t="s">
        <v>1307</v>
      </c>
      <c r="T104" s="107" t="s">
        <v>102</v>
      </c>
      <c r="U104" s="1"/>
      <c r="V104" s="3"/>
      <c r="W104" s="1"/>
      <c r="X104" s="1"/>
    </row>
    <row r="105" ht="27.75" customHeight="1">
      <c r="A105" s="1"/>
      <c r="B105" s="45">
        <f t="shared" si="3"/>
        <v>97</v>
      </c>
      <c r="C105" s="130">
        <v>45502.0</v>
      </c>
      <c r="D105" s="94"/>
      <c r="E105" s="94" t="s">
        <v>24</v>
      </c>
      <c r="F105" s="45" t="s">
        <v>1308</v>
      </c>
      <c r="G105" s="57" t="s">
        <v>42</v>
      </c>
      <c r="H105" s="45" t="s">
        <v>1309</v>
      </c>
      <c r="I105" s="45" t="s">
        <v>53</v>
      </c>
      <c r="J105" s="45" t="s">
        <v>99</v>
      </c>
      <c r="K105" s="45" t="s">
        <v>55</v>
      </c>
      <c r="L105" s="85" t="s">
        <v>85</v>
      </c>
      <c r="M105" s="86" t="s">
        <v>22</v>
      </c>
      <c r="N105" s="45"/>
      <c r="O105" s="45"/>
      <c r="P105" s="45"/>
      <c r="Q105" s="87"/>
      <c r="R105" s="95" t="s">
        <v>1310</v>
      </c>
      <c r="S105" s="92" t="s">
        <v>1311</v>
      </c>
      <c r="T105" s="107" t="s">
        <v>1039</v>
      </c>
      <c r="U105" s="1"/>
      <c r="V105" s="3"/>
      <c r="W105" s="1"/>
      <c r="X105" s="1"/>
    </row>
    <row r="106" ht="30.0" customHeight="1">
      <c r="A106" s="1"/>
      <c r="B106" s="45">
        <f t="shared" si="3"/>
        <v>98</v>
      </c>
      <c r="C106" s="130">
        <v>45504.0</v>
      </c>
      <c r="D106" s="130"/>
      <c r="E106" s="45" t="s">
        <v>288</v>
      </c>
      <c r="F106" s="45" t="s">
        <v>1312</v>
      </c>
      <c r="G106" s="57" t="s">
        <v>26</v>
      </c>
      <c r="H106" s="45"/>
      <c r="I106" s="45" t="s">
        <v>53</v>
      </c>
      <c r="J106" s="45" t="s">
        <v>99</v>
      </c>
      <c r="K106" s="45" t="s">
        <v>55</v>
      </c>
      <c r="L106" s="85"/>
      <c r="M106" s="86" t="s">
        <v>120</v>
      </c>
      <c r="N106" s="45"/>
      <c r="O106" s="45"/>
      <c r="P106" s="45"/>
      <c r="Q106" s="87"/>
      <c r="R106" s="95" t="s">
        <v>1313</v>
      </c>
      <c r="S106" s="92" t="s">
        <v>1314</v>
      </c>
      <c r="T106" s="107" t="s">
        <v>102</v>
      </c>
      <c r="U106" s="1"/>
      <c r="V106" s="3"/>
      <c r="W106" s="1"/>
      <c r="X106" s="1"/>
    </row>
    <row r="107" ht="30.0" customHeight="1">
      <c r="A107" s="1"/>
      <c r="B107" s="45">
        <f t="shared" si="3"/>
        <v>99</v>
      </c>
      <c r="C107" s="130">
        <v>45505.0</v>
      </c>
      <c r="D107" s="94"/>
      <c r="E107" s="94"/>
      <c r="F107" s="45"/>
      <c r="G107" s="57" t="s">
        <v>33</v>
      </c>
      <c r="H107" s="45"/>
      <c r="I107" s="45"/>
      <c r="J107" s="45"/>
      <c r="K107" s="45"/>
      <c r="L107" s="85"/>
      <c r="M107" s="86"/>
      <c r="N107" s="45"/>
      <c r="O107" s="45"/>
      <c r="P107" s="45"/>
      <c r="Q107" s="87"/>
      <c r="R107" s="95" t="s">
        <v>1315</v>
      </c>
      <c r="S107" s="92" t="s">
        <v>1316</v>
      </c>
      <c r="T107" s="107" t="s">
        <v>358</v>
      </c>
      <c r="U107" s="1"/>
      <c r="V107" s="3"/>
      <c r="W107" s="1"/>
      <c r="X107" s="1"/>
    </row>
    <row r="108" ht="30.0" customHeight="1">
      <c r="A108" s="1"/>
      <c r="B108" s="45">
        <f t="shared" si="3"/>
        <v>100</v>
      </c>
      <c r="C108" s="130">
        <v>45506.0</v>
      </c>
      <c r="D108" s="94"/>
      <c r="E108" s="94"/>
      <c r="F108" s="45"/>
      <c r="G108" s="57" t="s">
        <v>42</v>
      </c>
      <c r="H108" s="45"/>
      <c r="I108" s="45"/>
      <c r="J108" s="45"/>
      <c r="K108" s="45"/>
      <c r="L108" s="85"/>
      <c r="M108" s="86"/>
      <c r="N108" s="45"/>
      <c r="O108" s="45"/>
      <c r="P108" s="45"/>
      <c r="Q108" s="87"/>
      <c r="R108" s="95" t="s">
        <v>1315</v>
      </c>
      <c r="S108" s="92" t="s">
        <v>1316</v>
      </c>
      <c r="T108" s="107" t="s">
        <v>358</v>
      </c>
      <c r="U108" s="1"/>
      <c r="V108" s="3"/>
      <c r="W108" s="1"/>
      <c r="X108" s="1"/>
    </row>
    <row r="109" ht="30.0" customHeight="1">
      <c r="A109" s="1"/>
      <c r="B109" s="45">
        <f t="shared" si="3"/>
        <v>101</v>
      </c>
      <c r="C109" s="130">
        <v>45517.0</v>
      </c>
      <c r="D109" s="94" t="s">
        <v>1317</v>
      </c>
      <c r="E109" s="94"/>
      <c r="F109" s="45" t="s">
        <v>1318</v>
      </c>
      <c r="G109" s="57" t="s">
        <v>26</v>
      </c>
      <c r="H109" s="45"/>
      <c r="I109" s="45" t="s">
        <v>60</v>
      </c>
      <c r="J109" s="45" t="s">
        <v>1082</v>
      </c>
      <c r="K109" s="45" t="s">
        <v>55</v>
      </c>
      <c r="L109" s="85"/>
      <c r="M109" s="86" t="s">
        <v>120</v>
      </c>
      <c r="N109" s="45"/>
      <c r="O109" s="45"/>
      <c r="P109" s="45"/>
      <c r="Q109" s="87"/>
      <c r="R109" s="95" t="s">
        <v>1319</v>
      </c>
      <c r="S109" s="92" t="s">
        <v>1320</v>
      </c>
      <c r="T109" s="107" t="s">
        <v>1264</v>
      </c>
      <c r="U109" s="1"/>
      <c r="V109" s="3"/>
      <c r="W109" s="1"/>
      <c r="X109" s="1"/>
    </row>
    <row r="110" ht="30.0" customHeight="1">
      <c r="A110" s="1"/>
      <c r="B110" s="45">
        <f t="shared" si="3"/>
        <v>102</v>
      </c>
      <c r="C110" s="130">
        <v>45517.0</v>
      </c>
      <c r="D110" s="94" t="s">
        <v>1321</v>
      </c>
      <c r="E110" s="94"/>
      <c r="F110" s="45" t="s">
        <v>1322</v>
      </c>
      <c r="G110" s="57" t="s">
        <v>26</v>
      </c>
      <c r="H110" s="45"/>
      <c r="I110" s="45" t="s">
        <v>53</v>
      </c>
      <c r="J110" s="45" t="s">
        <v>61</v>
      </c>
      <c r="K110" s="45" t="s">
        <v>55</v>
      </c>
      <c r="L110" s="85"/>
      <c r="M110" s="86" t="s">
        <v>22</v>
      </c>
      <c r="N110" s="45"/>
      <c r="O110" s="45"/>
      <c r="P110" s="45"/>
      <c r="Q110" s="87"/>
      <c r="R110" s="95" t="s">
        <v>1323</v>
      </c>
      <c r="S110" s="92" t="s">
        <v>1324</v>
      </c>
      <c r="T110" s="107" t="s">
        <v>1264</v>
      </c>
      <c r="U110" s="1"/>
      <c r="V110" s="3"/>
      <c r="W110" s="1"/>
      <c r="X110" s="1"/>
    </row>
    <row r="111" ht="30.0" customHeight="1">
      <c r="A111" s="1"/>
      <c r="B111" s="45">
        <f t="shared" si="3"/>
        <v>103</v>
      </c>
      <c r="C111" s="130">
        <v>45523.0</v>
      </c>
      <c r="D111" s="94" t="s">
        <v>396</v>
      </c>
      <c r="E111" s="94"/>
      <c r="F111" s="45" t="s">
        <v>397</v>
      </c>
      <c r="G111" s="57" t="s">
        <v>26</v>
      </c>
      <c r="H111" s="45"/>
      <c r="I111" s="45" t="s">
        <v>53</v>
      </c>
      <c r="J111" s="45"/>
      <c r="K111" s="45"/>
      <c r="L111" s="85"/>
      <c r="M111" s="86"/>
      <c r="N111" s="45"/>
      <c r="O111" s="45"/>
      <c r="P111" s="45"/>
      <c r="Q111" s="87"/>
      <c r="R111" s="95" t="s">
        <v>1325</v>
      </c>
      <c r="S111" s="92" t="s">
        <v>1326</v>
      </c>
      <c r="T111" s="107" t="s">
        <v>358</v>
      </c>
      <c r="U111" s="1"/>
      <c r="V111" s="3"/>
      <c r="W111" s="1"/>
      <c r="X111" s="1"/>
    </row>
    <row r="112" ht="30.0" customHeight="1">
      <c r="A112" s="1"/>
      <c r="B112" s="45">
        <f t="shared" si="3"/>
        <v>104</v>
      </c>
      <c r="C112" s="130">
        <v>45524.0</v>
      </c>
      <c r="D112" s="94"/>
      <c r="E112" s="94" t="s">
        <v>1327</v>
      </c>
      <c r="F112" s="45" t="s">
        <v>1328</v>
      </c>
      <c r="G112" s="57" t="s">
        <v>33</v>
      </c>
      <c r="H112" s="45"/>
      <c r="I112" s="45"/>
      <c r="J112" s="45"/>
      <c r="K112" s="45"/>
      <c r="L112" s="85"/>
      <c r="M112" s="86"/>
      <c r="N112" s="45"/>
      <c r="O112" s="45"/>
      <c r="P112" s="45"/>
      <c r="Q112" s="87" t="s">
        <v>1329</v>
      </c>
      <c r="R112" s="95" t="s">
        <v>1330</v>
      </c>
      <c r="S112" s="92" t="s">
        <v>1331</v>
      </c>
      <c r="T112" s="107"/>
      <c r="U112" s="1"/>
      <c r="V112" s="3"/>
      <c r="W112" s="1"/>
      <c r="X112" s="1"/>
    </row>
    <row r="113" ht="30.0" customHeight="1">
      <c r="A113" s="1"/>
      <c r="B113" s="45">
        <f t="shared" si="3"/>
        <v>105</v>
      </c>
      <c r="C113" s="130">
        <v>45530.0</v>
      </c>
      <c r="D113" s="94"/>
      <c r="E113" s="94" t="s">
        <v>1332</v>
      </c>
      <c r="F113" s="45" t="s">
        <v>1333</v>
      </c>
      <c r="G113" s="57" t="s">
        <v>33</v>
      </c>
      <c r="H113" s="45"/>
      <c r="I113" s="45"/>
      <c r="J113" s="45"/>
      <c r="K113" s="45"/>
      <c r="L113" s="85"/>
      <c r="M113" s="86" t="s">
        <v>120</v>
      </c>
      <c r="N113" s="45"/>
      <c r="O113" s="45"/>
      <c r="P113" s="45"/>
      <c r="Q113" s="87"/>
      <c r="R113" s="95" t="s">
        <v>1334</v>
      </c>
      <c r="S113" s="92" t="s">
        <v>1335</v>
      </c>
      <c r="T113" s="107" t="s">
        <v>1264</v>
      </c>
      <c r="U113" s="1"/>
      <c r="V113" s="3"/>
      <c r="W113" s="1"/>
      <c r="X113" s="1"/>
    </row>
    <row r="114" ht="30.0" customHeight="1">
      <c r="A114" s="1"/>
      <c r="B114" s="45">
        <f t="shared" si="3"/>
        <v>106</v>
      </c>
      <c r="C114" s="130">
        <v>45530.0</v>
      </c>
      <c r="D114" s="94"/>
      <c r="E114" s="94" t="s">
        <v>1336</v>
      </c>
      <c r="F114" s="45" t="s">
        <v>1337</v>
      </c>
      <c r="G114" s="57" t="s">
        <v>33</v>
      </c>
      <c r="H114" s="45"/>
      <c r="I114" s="45"/>
      <c r="J114" s="45"/>
      <c r="K114" s="45"/>
      <c r="L114" s="85"/>
      <c r="M114" s="86"/>
      <c r="N114" s="45"/>
      <c r="O114" s="45"/>
      <c r="P114" s="45"/>
      <c r="Q114" s="87" t="s">
        <v>1329</v>
      </c>
      <c r="R114" s="95" t="s">
        <v>1338</v>
      </c>
      <c r="S114" s="92"/>
      <c r="T114" s="107" t="s">
        <v>1264</v>
      </c>
      <c r="U114" s="1"/>
      <c r="V114" s="3"/>
      <c r="W114" s="1"/>
      <c r="X114" s="1"/>
    </row>
    <row r="115" ht="16.5" customHeight="1">
      <c r="A115" s="1"/>
      <c r="B115" s="45">
        <f t="shared" si="3"/>
        <v>107</v>
      </c>
      <c r="C115" s="130">
        <v>45538.0</v>
      </c>
      <c r="D115" s="130"/>
      <c r="E115" s="45" t="s">
        <v>288</v>
      </c>
      <c r="F115" s="45" t="s">
        <v>1339</v>
      </c>
      <c r="G115" s="57" t="s">
        <v>42</v>
      </c>
      <c r="H115" s="45"/>
      <c r="I115" s="45" t="s">
        <v>53</v>
      </c>
      <c r="J115" s="45" t="s">
        <v>692</v>
      </c>
      <c r="K115" s="45"/>
      <c r="L115" s="85"/>
      <c r="M115" s="86" t="s">
        <v>120</v>
      </c>
      <c r="N115" s="45"/>
      <c r="O115" s="45"/>
      <c r="P115" s="45"/>
      <c r="Q115" s="87"/>
      <c r="R115" s="95" t="s">
        <v>1340</v>
      </c>
      <c r="S115" s="92" t="s">
        <v>1341</v>
      </c>
      <c r="T115" s="107" t="s">
        <v>102</v>
      </c>
      <c r="U115" s="1"/>
      <c r="V115" s="3"/>
      <c r="W115" s="1"/>
      <c r="X115" s="1"/>
    </row>
    <row r="116" ht="30.0" customHeight="1">
      <c r="A116" s="1"/>
      <c r="B116" s="45">
        <f t="shared" si="3"/>
        <v>108</v>
      </c>
      <c r="C116" s="130">
        <v>45538.0</v>
      </c>
      <c r="D116" s="45"/>
      <c r="E116" s="45" t="s">
        <v>571</v>
      </c>
      <c r="F116" s="45" t="s">
        <v>1342</v>
      </c>
      <c r="G116" s="57" t="s">
        <v>42</v>
      </c>
      <c r="H116" s="45" t="s">
        <v>1343</v>
      </c>
      <c r="I116" s="45" t="s">
        <v>60</v>
      </c>
      <c r="J116" s="45" t="s">
        <v>61</v>
      </c>
      <c r="K116" s="45" t="s">
        <v>181</v>
      </c>
      <c r="L116" s="85" t="s">
        <v>85</v>
      </c>
      <c r="M116" s="86" t="s">
        <v>120</v>
      </c>
      <c r="N116" s="45"/>
      <c r="O116" s="45"/>
      <c r="P116" s="45"/>
      <c r="Q116" s="87"/>
      <c r="R116" s="95" t="s">
        <v>1344</v>
      </c>
      <c r="S116" s="92" t="s">
        <v>1345</v>
      </c>
      <c r="T116" s="107" t="s">
        <v>1039</v>
      </c>
      <c r="U116" s="1"/>
      <c r="V116" s="3"/>
      <c r="W116" s="1"/>
      <c r="X116" s="1"/>
    </row>
    <row r="117" ht="16.5" customHeight="1">
      <c r="A117" s="1"/>
      <c r="B117" s="45">
        <f t="shared" si="3"/>
        <v>109</v>
      </c>
      <c r="C117" s="130">
        <v>45539.0</v>
      </c>
      <c r="D117" s="94" t="s">
        <v>1346</v>
      </c>
      <c r="E117" s="94"/>
      <c r="F117" s="45" t="s">
        <v>1347</v>
      </c>
      <c r="G117" s="57" t="s">
        <v>26</v>
      </c>
      <c r="H117" s="45" t="s">
        <v>1346</v>
      </c>
      <c r="I117" s="45" t="s">
        <v>60</v>
      </c>
      <c r="J117" s="45" t="s">
        <v>61</v>
      </c>
      <c r="K117" s="45"/>
      <c r="L117" s="85"/>
      <c r="M117" s="86"/>
      <c r="N117" s="45"/>
      <c r="O117" s="45" t="s">
        <v>27</v>
      </c>
      <c r="P117" s="45"/>
      <c r="Q117" s="87"/>
      <c r="R117" s="95" t="s">
        <v>1348</v>
      </c>
      <c r="S117" s="92" t="s">
        <v>1349</v>
      </c>
      <c r="T117" s="107" t="s">
        <v>1264</v>
      </c>
      <c r="U117" s="1"/>
      <c r="V117" s="3"/>
      <c r="W117" s="1"/>
      <c r="X117" s="1"/>
    </row>
    <row r="118" ht="30.0" customHeight="1">
      <c r="A118" s="1"/>
      <c r="B118" s="45">
        <f t="shared" si="3"/>
        <v>110</v>
      </c>
      <c r="C118" s="130">
        <v>45544.0</v>
      </c>
      <c r="D118" s="94" t="s">
        <v>1350</v>
      </c>
      <c r="E118" s="94"/>
      <c r="F118" s="45" t="s">
        <v>1351</v>
      </c>
      <c r="G118" s="57" t="s">
        <v>26</v>
      </c>
      <c r="H118" s="45" t="s">
        <v>1350</v>
      </c>
      <c r="I118" s="45" t="s">
        <v>60</v>
      </c>
      <c r="J118" s="45" t="s">
        <v>83</v>
      </c>
      <c r="K118" s="45"/>
      <c r="L118" s="85"/>
      <c r="M118" s="86"/>
      <c r="N118" s="45"/>
      <c r="O118" s="45" t="s">
        <v>27</v>
      </c>
      <c r="P118" s="45"/>
      <c r="Q118" s="87"/>
      <c r="R118" s="95" t="s">
        <v>1352</v>
      </c>
      <c r="S118" s="92" t="s">
        <v>1353</v>
      </c>
      <c r="T118" s="107" t="s">
        <v>1264</v>
      </c>
      <c r="U118" s="1"/>
      <c r="V118" s="3"/>
      <c r="W118" s="1"/>
      <c r="X118" s="1"/>
    </row>
    <row r="119" ht="30.0" customHeight="1">
      <c r="A119" s="1"/>
      <c r="B119" s="45">
        <f t="shared" si="3"/>
        <v>111</v>
      </c>
      <c r="C119" s="130">
        <v>45544.0</v>
      </c>
      <c r="D119" s="94"/>
      <c r="E119" s="94" t="s">
        <v>40</v>
      </c>
      <c r="F119" s="45" t="s">
        <v>942</v>
      </c>
      <c r="G119" s="57" t="s">
        <v>42</v>
      </c>
      <c r="H119" s="45" t="s">
        <v>943</v>
      </c>
      <c r="I119" s="45" t="s">
        <v>53</v>
      </c>
      <c r="J119" s="45"/>
      <c r="K119" s="45"/>
      <c r="L119" s="85"/>
      <c r="M119" s="86"/>
      <c r="N119" s="45"/>
      <c r="O119" s="45" t="s">
        <v>27</v>
      </c>
      <c r="P119" s="45"/>
      <c r="Q119" s="87"/>
      <c r="R119" s="95" t="s">
        <v>1354</v>
      </c>
      <c r="S119" s="92" t="s">
        <v>1355</v>
      </c>
      <c r="T119" s="107" t="s">
        <v>1264</v>
      </c>
      <c r="U119" s="1"/>
      <c r="V119" s="3"/>
      <c r="W119" s="1"/>
      <c r="X119" s="1"/>
    </row>
    <row r="120" ht="30.0" customHeight="1">
      <c r="A120" s="1"/>
      <c r="B120" s="45">
        <f t="shared" si="3"/>
        <v>112</v>
      </c>
      <c r="C120" s="130">
        <v>45544.0</v>
      </c>
      <c r="D120" s="94" t="s">
        <v>958</v>
      </c>
      <c r="E120" s="94"/>
      <c r="F120" s="45" t="s">
        <v>957</v>
      </c>
      <c r="G120" s="57" t="s">
        <v>42</v>
      </c>
      <c r="H120" s="45" t="s">
        <v>958</v>
      </c>
      <c r="I120" s="45"/>
      <c r="J120" s="45"/>
      <c r="K120" s="45"/>
      <c r="L120" s="85"/>
      <c r="M120" s="86"/>
      <c r="N120" s="45"/>
      <c r="O120" s="45" t="s">
        <v>27</v>
      </c>
      <c r="P120" s="45"/>
      <c r="Q120" s="87"/>
      <c r="R120" s="95" t="s">
        <v>1356</v>
      </c>
      <c r="S120" s="92" t="s">
        <v>1357</v>
      </c>
      <c r="T120" s="107" t="s">
        <v>1264</v>
      </c>
      <c r="U120" s="1"/>
      <c r="V120" s="3"/>
      <c r="W120" s="1"/>
      <c r="X120" s="1"/>
    </row>
    <row r="121" ht="30.0" customHeight="1">
      <c r="A121" s="1"/>
      <c r="B121" s="45">
        <f t="shared" si="3"/>
        <v>113</v>
      </c>
      <c r="C121" s="130">
        <v>45547.0</v>
      </c>
      <c r="D121" s="94"/>
      <c r="E121" s="94"/>
      <c r="F121" s="45" t="s">
        <v>1358</v>
      </c>
      <c r="G121" s="57" t="s">
        <v>33</v>
      </c>
      <c r="H121" s="45"/>
      <c r="I121" s="45"/>
      <c r="J121" s="45"/>
      <c r="K121" s="45"/>
      <c r="L121" s="85"/>
      <c r="M121" s="86" t="s">
        <v>120</v>
      </c>
      <c r="N121" s="45"/>
      <c r="O121" s="45"/>
      <c r="P121" s="45"/>
      <c r="Q121" s="87"/>
      <c r="R121" s="95" t="s">
        <v>1359</v>
      </c>
      <c r="S121" s="92" t="s">
        <v>1360</v>
      </c>
      <c r="T121" s="107" t="s">
        <v>1264</v>
      </c>
      <c r="U121" s="1"/>
      <c r="V121" s="3"/>
      <c r="W121" s="1"/>
      <c r="X121" s="1"/>
    </row>
    <row r="122" ht="30.0" customHeight="1">
      <c r="A122" s="1"/>
      <c r="B122" s="45">
        <f t="shared" si="3"/>
        <v>114</v>
      </c>
      <c r="C122" s="130">
        <v>45546.0</v>
      </c>
      <c r="D122" s="94"/>
      <c r="E122" s="94" t="s">
        <v>709</v>
      </c>
      <c r="F122" s="45" t="s">
        <v>1361</v>
      </c>
      <c r="G122" s="57" t="s">
        <v>33</v>
      </c>
      <c r="H122" s="45"/>
      <c r="I122" s="45"/>
      <c r="J122" s="45"/>
      <c r="K122" s="45"/>
      <c r="L122" s="85"/>
      <c r="M122" s="86"/>
      <c r="N122" s="45"/>
      <c r="O122" s="45" t="s">
        <v>27</v>
      </c>
      <c r="P122" s="45"/>
      <c r="Q122" s="87"/>
      <c r="R122" s="95" t="s">
        <v>1362</v>
      </c>
      <c r="S122" s="92" t="s">
        <v>1363</v>
      </c>
      <c r="T122" s="107" t="s">
        <v>102</v>
      </c>
      <c r="U122" s="1"/>
      <c r="V122" s="3"/>
      <c r="W122" s="1"/>
      <c r="X122" s="1"/>
    </row>
    <row r="123" ht="30.0" customHeight="1">
      <c r="A123" s="1"/>
      <c r="B123" s="45">
        <f t="shared" si="3"/>
        <v>115</v>
      </c>
      <c r="C123" s="130">
        <v>45547.0</v>
      </c>
      <c r="D123" s="94" t="s">
        <v>1364</v>
      </c>
      <c r="E123" s="94"/>
      <c r="F123" s="45"/>
      <c r="G123" s="57" t="s">
        <v>26</v>
      </c>
      <c r="H123" s="45" t="s">
        <v>1364</v>
      </c>
      <c r="I123" s="45" t="s">
        <v>60</v>
      </c>
      <c r="J123" s="45"/>
      <c r="K123" s="45"/>
      <c r="L123" s="85"/>
      <c r="M123" s="86"/>
      <c r="N123" s="45"/>
      <c r="O123" s="45" t="s">
        <v>128</v>
      </c>
      <c r="P123" s="45"/>
      <c r="Q123" s="87"/>
      <c r="R123" s="95" t="s">
        <v>1365</v>
      </c>
      <c r="S123" s="92" t="s">
        <v>1366</v>
      </c>
      <c r="T123" s="107" t="s">
        <v>1264</v>
      </c>
      <c r="U123" s="1"/>
      <c r="V123" s="3"/>
      <c r="W123" s="1"/>
      <c r="X123" s="1"/>
    </row>
    <row r="124" ht="30.0" customHeight="1">
      <c r="A124" s="1"/>
      <c r="B124" s="45">
        <f t="shared" si="3"/>
        <v>116</v>
      </c>
      <c r="C124" s="130">
        <v>45548.0</v>
      </c>
      <c r="D124" s="94" t="s">
        <v>1367</v>
      </c>
      <c r="E124" s="94" t="s">
        <v>40</v>
      </c>
      <c r="F124" s="94" t="s">
        <v>1368</v>
      </c>
      <c r="G124" s="57" t="s">
        <v>26</v>
      </c>
      <c r="H124" s="45" t="s">
        <v>1367</v>
      </c>
      <c r="I124" s="45" t="s">
        <v>53</v>
      </c>
      <c r="J124" s="45" t="s">
        <v>61</v>
      </c>
      <c r="K124" s="45" t="s">
        <v>55</v>
      </c>
      <c r="L124" s="85" t="s">
        <v>711</v>
      </c>
      <c r="M124" s="86" t="s">
        <v>203</v>
      </c>
      <c r="N124" s="45"/>
      <c r="O124" s="45" t="s">
        <v>687</v>
      </c>
      <c r="P124" s="45"/>
      <c r="Q124" s="87"/>
      <c r="R124" s="95" t="s">
        <v>1369</v>
      </c>
      <c r="S124" s="92" t="s">
        <v>1370</v>
      </c>
      <c r="T124" s="107" t="s">
        <v>309</v>
      </c>
      <c r="U124" s="1"/>
      <c r="V124" s="3"/>
      <c r="W124" s="1"/>
      <c r="X124" s="1"/>
    </row>
    <row r="125" ht="30.0" customHeight="1">
      <c r="A125" s="1"/>
      <c r="B125" s="45">
        <f t="shared" si="3"/>
        <v>117</v>
      </c>
      <c r="C125" s="130">
        <v>45554.0</v>
      </c>
      <c r="D125" s="94" t="s">
        <v>1371</v>
      </c>
      <c r="E125" s="94" t="s">
        <v>269</v>
      </c>
      <c r="F125" s="45" t="s">
        <v>1372</v>
      </c>
      <c r="G125" s="57" t="s">
        <v>26</v>
      </c>
      <c r="H125" s="45"/>
      <c r="I125" s="45" t="s">
        <v>53</v>
      </c>
      <c r="J125" s="45" t="s">
        <v>83</v>
      </c>
      <c r="K125" s="45" t="s">
        <v>55</v>
      </c>
      <c r="L125" s="85" t="s">
        <v>85</v>
      </c>
      <c r="M125" s="86" t="s">
        <v>71</v>
      </c>
      <c r="N125" s="45"/>
      <c r="O125" s="45"/>
      <c r="P125" s="45"/>
      <c r="Q125" s="87"/>
      <c r="R125" s="95" t="s">
        <v>1373</v>
      </c>
      <c r="S125" s="92" t="s">
        <v>1374</v>
      </c>
      <c r="T125" s="107" t="s">
        <v>1039</v>
      </c>
      <c r="U125" s="1"/>
      <c r="V125" s="3"/>
      <c r="W125" s="1"/>
      <c r="X125" s="1"/>
    </row>
    <row r="126">
      <c r="A126" s="1"/>
      <c r="B126" s="45">
        <f t="shared" si="3"/>
        <v>118</v>
      </c>
      <c r="C126" s="130">
        <v>45561.0</v>
      </c>
      <c r="D126" s="94" t="s">
        <v>1375</v>
      </c>
      <c r="E126" s="94" t="s">
        <v>1376</v>
      </c>
      <c r="F126" s="45" t="s">
        <v>1377</v>
      </c>
      <c r="G126" s="57" t="s">
        <v>215</v>
      </c>
      <c r="H126" s="45"/>
      <c r="I126" s="45"/>
      <c r="J126" s="45"/>
      <c r="K126" s="45"/>
      <c r="L126" s="85"/>
      <c r="M126" s="86"/>
      <c r="N126" s="45"/>
      <c r="O126" s="45"/>
      <c r="P126" s="45"/>
      <c r="Q126" s="87" t="s">
        <v>1378</v>
      </c>
      <c r="R126" s="95" t="s">
        <v>1379</v>
      </c>
      <c r="S126" s="92" t="s">
        <v>1380</v>
      </c>
      <c r="T126" s="107" t="s">
        <v>1039</v>
      </c>
      <c r="U126" s="1"/>
      <c r="V126" s="3"/>
      <c r="W126" s="1"/>
      <c r="X126" s="1"/>
    </row>
    <row r="127" ht="39.75" customHeight="1">
      <c r="A127" s="1"/>
      <c r="B127" s="45">
        <f t="shared" si="3"/>
        <v>119</v>
      </c>
      <c r="C127" s="130">
        <v>45567.0</v>
      </c>
      <c r="D127" s="94" t="s">
        <v>1381</v>
      </c>
      <c r="E127" s="94" t="s">
        <v>571</v>
      </c>
      <c r="F127" s="45" t="s">
        <v>1377</v>
      </c>
      <c r="G127" s="57" t="s">
        <v>42</v>
      </c>
      <c r="H127" s="45"/>
      <c r="I127" s="45" t="s">
        <v>53</v>
      </c>
      <c r="J127" s="45"/>
      <c r="K127" s="45"/>
      <c r="L127" s="85"/>
      <c r="M127" s="86"/>
      <c r="N127" s="45"/>
      <c r="O127" s="45" t="s">
        <v>27</v>
      </c>
      <c r="P127" s="45"/>
      <c r="Q127" s="87"/>
      <c r="R127" s="95" t="s">
        <v>1382</v>
      </c>
      <c r="S127" s="92" t="s">
        <v>467</v>
      </c>
      <c r="T127" s="107" t="s">
        <v>1264</v>
      </c>
      <c r="U127" s="1"/>
      <c r="V127" s="3"/>
      <c r="W127" s="1"/>
      <c r="X127" s="1"/>
    </row>
    <row r="128" ht="30.0" customHeight="1">
      <c r="A128" s="1"/>
      <c r="B128" s="45">
        <f t="shared" si="3"/>
        <v>120</v>
      </c>
      <c r="C128" s="130">
        <v>45567.0</v>
      </c>
      <c r="D128" s="94"/>
      <c r="E128" s="94" t="s">
        <v>1327</v>
      </c>
      <c r="F128" s="45" t="s">
        <v>1328</v>
      </c>
      <c r="G128" s="57" t="s">
        <v>33</v>
      </c>
      <c r="H128" s="45"/>
      <c r="I128" s="45"/>
      <c r="J128" s="45"/>
      <c r="K128" s="45"/>
      <c r="L128" s="85"/>
      <c r="M128" s="86"/>
      <c r="N128" s="45"/>
      <c r="O128" s="45"/>
      <c r="P128" s="45"/>
      <c r="Q128" s="87" t="s">
        <v>1378</v>
      </c>
      <c r="R128" s="95" t="s">
        <v>1383</v>
      </c>
      <c r="S128" s="92" t="s">
        <v>1384</v>
      </c>
      <c r="T128" s="107" t="s">
        <v>1264</v>
      </c>
      <c r="U128" s="1"/>
      <c r="V128" s="3"/>
      <c r="W128" s="1"/>
      <c r="X128" s="1"/>
    </row>
    <row r="129" ht="35.25" customHeight="1">
      <c r="A129" s="1"/>
      <c r="B129" s="45">
        <f t="shared" si="3"/>
        <v>121</v>
      </c>
      <c r="C129" s="130">
        <v>45569.0</v>
      </c>
      <c r="D129" s="94"/>
      <c r="E129" s="94" t="s">
        <v>1385</v>
      </c>
      <c r="F129" s="45" t="s">
        <v>1386</v>
      </c>
      <c r="G129" s="57" t="s">
        <v>33</v>
      </c>
      <c r="H129" s="45"/>
      <c r="I129" s="45"/>
      <c r="J129" s="45"/>
      <c r="K129" s="45"/>
      <c r="L129" s="85"/>
      <c r="M129" s="86"/>
      <c r="N129" s="45"/>
      <c r="O129" s="45" t="s">
        <v>27</v>
      </c>
      <c r="P129" s="45"/>
      <c r="Q129" s="87"/>
      <c r="R129" s="95" t="s">
        <v>1387</v>
      </c>
      <c r="S129" s="92" t="s">
        <v>467</v>
      </c>
      <c r="T129" s="107" t="s">
        <v>1264</v>
      </c>
      <c r="U129" s="1"/>
      <c r="V129" s="3"/>
      <c r="W129" s="1"/>
      <c r="X129" s="1"/>
    </row>
    <row r="130" ht="30.0" customHeight="1">
      <c r="A130" s="1"/>
      <c r="B130" s="45">
        <f t="shared" si="3"/>
        <v>122</v>
      </c>
      <c r="C130" s="130">
        <v>45569.0</v>
      </c>
      <c r="D130" s="94" t="s">
        <v>1388</v>
      </c>
      <c r="E130" s="94" t="s">
        <v>40</v>
      </c>
      <c r="F130" s="45" t="s">
        <v>1389</v>
      </c>
      <c r="G130" s="57" t="s">
        <v>26</v>
      </c>
      <c r="H130" s="45"/>
      <c r="I130" s="45" t="s">
        <v>53</v>
      </c>
      <c r="J130" s="45"/>
      <c r="K130" s="45"/>
      <c r="L130" s="85"/>
      <c r="M130" s="86"/>
      <c r="N130" s="45"/>
      <c r="O130" s="45" t="s">
        <v>105</v>
      </c>
      <c r="P130" s="45"/>
      <c r="Q130" s="87"/>
      <c r="R130" s="95" t="s">
        <v>1390</v>
      </c>
      <c r="S130" s="92" t="s">
        <v>1391</v>
      </c>
      <c r="T130" s="107" t="s">
        <v>1264</v>
      </c>
      <c r="U130" s="1"/>
      <c r="V130" s="3"/>
      <c r="W130" s="1"/>
      <c r="X130" s="1"/>
    </row>
    <row r="131" ht="30.0" customHeight="1">
      <c r="A131" s="1"/>
      <c r="B131" s="45">
        <f t="shared" si="3"/>
        <v>123</v>
      </c>
      <c r="C131" s="130">
        <v>45569.0</v>
      </c>
      <c r="D131" s="94"/>
      <c r="E131" s="94" t="s">
        <v>288</v>
      </c>
      <c r="F131" s="45" t="s">
        <v>1339</v>
      </c>
      <c r="G131" s="57" t="s">
        <v>42</v>
      </c>
      <c r="H131" s="45"/>
      <c r="I131" s="45" t="s">
        <v>53</v>
      </c>
      <c r="J131" s="45"/>
      <c r="K131" s="45"/>
      <c r="L131" s="85" t="s">
        <v>85</v>
      </c>
      <c r="M131" s="86" t="s">
        <v>120</v>
      </c>
      <c r="N131" s="45"/>
      <c r="O131" s="45"/>
      <c r="P131" s="45"/>
      <c r="Q131" s="87"/>
      <c r="R131" s="95" t="s">
        <v>1392</v>
      </c>
      <c r="S131" s="92" t="s">
        <v>1393</v>
      </c>
      <c r="T131" s="107" t="s">
        <v>1264</v>
      </c>
      <c r="U131" s="1"/>
      <c r="V131" s="3"/>
      <c r="W131" s="1"/>
      <c r="X131" s="1"/>
    </row>
    <row r="132" ht="30.0" customHeight="1">
      <c r="A132" s="1"/>
      <c r="B132" s="45">
        <f t="shared" si="3"/>
        <v>124</v>
      </c>
      <c r="C132" s="130">
        <v>45573.0</v>
      </c>
      <c r="D132" s="94"/>
      <c r="E132" s="94" t="s">
        <v>1394</v>
      </c>
      <c r="F132" s="45" t="s">
        <v>1395</v>
      </c>
      <c r="G132" s="57" t="s">
        <v>33</v>
      </c>
      <c r="H132" s="45"/>
      <c r="I132" s="45" t="s">
        <v>53</v>
      </c>
      <c r="J132" s="45"/>
      <c r="K132" s="45"/>
      <c r="L132" s="85"/>
      <c r="M132" s="86"/>
      <c r="N132" s="45"/>
      <c r="O132" s="45"/>
      <c r="P132" s="45"/>
      <c r="Q132" s="87" t="s">
        <v>1396</v>
      </c>
      <c r="R132" s="95" t="s">
        <v>1397</v>
      </c>
      <c r="S132" s="92" t="s">
        <v>1398</v>
      </c>
      <c r="T132" s="107" t="s">
        <v>1264</v>
      </c>
      <c r="U132" s="1"/>
      <c r="V132" s="3"/>
      <c r="W132" s="1"/>
      <c r="X132" s="1"/>
    </row>
    <row r="133" ht="28.5" customHeight="1">
      <c r="A133" s="1"/>
      <c r="B133" s="45">
        <f t="shared" si="3"/>
        <v>125</v>
      </c>
      <c r="C133" s="130">
        <v>45576.0</v>
      </c>
      <c r="D133" s="94" t="s">
        <v>1399</v>
      </c>
      <c r="E133" s="94"/>
      <c r="F133" s="45" t="s">
        <v>1400</v>
      </c>
      <c r="G133" s="57" t="s">
        <v>42</v>
      </c>
      <c r="H133" s="45"/>
      <c r="I133" s="45" t="s">
        <v>53</v>
      </c>
      <c r="J133" s="45"/>
      <c r="K133" s="45"/>
      <c r="L133" s="85"/>
      <c r="M133" s="86" t="s">
        <v>120</v>
      </c>
      <c r="N133" s="45"/>
      <c r="O133" s="45"/>
      <c r="P133" s="45"/>
      <c r="Q133" s="87"/>
      <c r="R133" s="95" t="s">
        <v>1401</v>
      </c>
      <c r="S133" s="92" t="s">
        <v>1402</v>
      </c>
      <c r="T133" s="107" t="s">
        <v>1264</v>
      </c>
      <c r="U133" s="1"/>
      <c r="V133" s="3"/>
      <c r="W133" s="1"/>
      <c r="X133" s="1"/>
    </row>
    <row r="134" ht="30.0" customHeight="1">
      <c r="A134" s="1"/>
      <c r="B134" s="45">
        <f t="shared" si="3"/>
        <v>126</v>
      </c>
      <c r="C134" s="130">
        <v>45576.0</v>
      </c>
      <c r="D134" s="94" t="s">
        <v>1403</v>
      </c>
      <c r="E134" s="94"/>
      <c r="F134" s="45" t="s">
        <v>1404</v>
      </c>
      <c r="G134" s="57" t="s">
        <v>26</v>
      </c>
      <c r="H134" s="45"/>
      <c r="I134" s="45" t="s">
        <v>53</v>
      </c>
      <c r="J134" s="45"/>
      <c r="K134" s="45"/>
      <c r="L134" s="85"/>
      <c r="M134" s="86"/>
      <c r="N134" s="45"/>
      <c r="O134" s="45"/>
      <c r="P134" s="45"/>
      <c r="Q134" s="87" t="s">
        <v>1405</v>
      </c>
      <c r="R134" s="95" t="s">
        <v>1406</v>
      </c>
      <c r="S134" s="92" t="s">
        <v>1407</v>
      </c>
      <c r="T134" s="107" t="s">
        <v>1264</v>
      </c>
      <c r="U134" s="1"/>
      <c r="V134" s="3"/>
      <c r="W134" s="1"/>
      <c r="X134" s="1"/>
    </row>
    <row r="135" ht="30.0" customHeight="1">
      <c r="A135" s="1"/>
      <c r="B135" s="45">
        <f t="shared" si="3"/>
        <v>127</v>
      </c>
      <c r="C135" s="130">
        <v>45582.0</v>
      </c>
      <c r="D135" s="94" t="s">
        <v>1408</v>
      </c>
      <c r="E135" s="94" t="s">
        <v>47</v>
      </c>
      <c r="F135" s="45" t="s">
        <v>1409</v>
      </c>
      <c r="G135" s="57" t="s">
        <v>42</v>
      </c>
      <c r="H135" s="45" t="s">
        <v>1410</v>
      </c>
      <c r="I135" s="45" t="s">
        <v>53</v>
      </c>
      <c r="J135" s="45" t="s">
        <v>99</v>
      </c>
      <c r="K135" s="45" t="s">
        <v>84</v>
      </c>
      <c r="L135" s="85" t="s">
        <v>160</v>
      </c>
      <c r="M135" s="86"/>
      <c r="N135" s="45"/>
      <c r="O135" s="45" t="s">
        <v>152</v>
      </c>
      <c r="P135" s="45"/>
      <c r="Q135" s="87"/>
      <c r="R135" s="95" t="s">
        <v>1411</v>
      </c>
      <c r="S135" s="92" t="s">
        <v>1412</v>
      </c>
      <c r="T135" s="107" t="s">
        <v>1039</v>
      </c>
      <c r="U135" s="1"/>
      <c r="V135" s="3"/>
      <c r="W135" s="1"/>
      <c r="X135" s="1"/>
    </row>
    <row r="136" ht="30.0" customHeight="1">
      <c r="A136" s="1"/>
      <c r="B136" s="45">
        <f t="shared" si="3"/>
        <v>128</v>
      </c>
      <c r="C136" s="130">
        <v>45582.0</v>
      </c>
      <c r="D136" s="94" t="s">
        <v>1413</v>
      </c>
      <c r="E136" s="94" t="s">
        <v>47</v>
      </c>
      <c r="F136" s="45" t="s">
        <v>1414</v>
      </c>
      <c r="G136" s="57"/>
      <c r="H136" s="45" t="s">
        <v>1415</v>
      </c>
      <c r="I136" s="45" t="s">
        <v>53</v>
      </c>
      <c r="J136" s="45" t="s">
        <v>99</v>
      </c>
      <c r="K136" s="45" t="s">
        <v>84</v>
      </c>
      <c r="L136" s="85"/>
      <c r="M136" s="86"/>
      <c r="N136" s="45"/>
      <c r="O136" s="45"/>
      <c r="P136" s="45"/>
      <c r="Q136" s="87" t="s">
        <v>1416</v>
      </c>
      <c r="R136" s="95" t="s">
        <v>1417</v>
      </c>
      <c r="S136" s="92" t="s">
        <v>1418</v>
      </c>
      <c r="T136" s="107" t="s">
        <v>1264</v>
      </c>
      <c r="U136" s="1"/>
      <c r="V136" s="3"/>
      <c r="W136" s="1"/>
      <c r="X136" s="1"/>
    </row>
    <row r="137" ht="30.0" customHeight="1">
      <c r="A137" s="1"/>
      <c r="B137" s="45">
        <f t="shared" si="3"/>
        <v>129</v>
      </c>
      <c r="C137" s="130">
        <v>45587.0</v>
      </c>
      <c r="D137" s="94"/>
      <c r="E137" s="94" t="s">
        <v>65</v>
      </c>
      <c r="F137" s="45" t="s">
        <v>1419</v>
      </c>
      <c r="G137" s="57" t="s">
        <v>42</v>
      </c>
      <c r="H137" s="94" t="s">
        <v>1420</v>
      </c>
      <c r="I137" s="45" t="s">
        <v>60</v>
      </c>
      <c r="J137" s="45" t="s">
        <v>61</v>
      </c>
      <c r="K137" s="45" t="s">
        <v>1421</v>
      </c>
      <c r="L137" s="85"/>
      <c r="M137" s="86"/>
      <c r="N137" s="45"/>
      <c r="O137" s="45" t="s">
        <v>152</v>
      </c>
      <c r="P137" s="45"/>
      <c r="Q137" s="87"/>
      <c r="R137" s="95" t="s">
        <v>1422</v>
      </c>
      <c r="S137" s="92" t="s">
        <v>1423</v>
      </c>
      <c r="T137" s="107" t="s">
        <v>1039</v>
      </c>
      <c r="U137" s="1"/>
      <c r="V137" s="3"/>
      <c r="W137" s="1"/>
      <c r="X137" s="1"/>
    </row>
    <row r="138" ht="30.0" customHeight="1">
      <c r="A138" s="1"/>
      <c r="B138" s="45">
        <f t="shared" si="3"/>
        <v>130</v>
      </c>
      <c r="C138" s="130">
        <v>45589.0</v>
      </c>
      <c r="D138" s="94"/>
      <c r="E138" s="94" t="s">
        <v>47</v>
      </c>
      <c r="F138" s="45" t="s">
        <v>1424</v>
      </c>
      <c r="G138" s="57" t="s">
        <v>70</v>
      </c>
      <c r="H138" s="45"/>
      <c r="I138" s="45"/>
      <c r="J138" s="45"/>
      <c r="K138" s="45"/>
      <c r="L138" s="85"/>
      <c r="M138" s="86" t="s">
        <v>120</v>
      </c>
      <c r="N138" s="45"/>
      <c r="O138" s="45"/>
      <c r="P138" s="45"/>
      <c r="Q138" s="87"/>
      <c r="R138" s="95" t="s">
        <v>1425</v>
      </c>
      <c r="S138" s="92" t="s">
        <v>999</v>
      </c>
      <c r="T138" s="107" t="s">
        <v>1264</v>
      </c>
      <c r="U138" s="1"/>
      <c r="V138" s="3"/>
      <c r="W138" s="1"/>
      <c r="X138" s="1"/>
    </row>
    <row r="139" ht="16.5" customHeight="1">
      <c r="A139" s="1"/>
      <c r="B139" s="45">
        <f t="shared" si="3"/>
        <v>131</v>
      </c>
      <c r="C139" s="130">
        <v>45593.0</v>
      </c>
      <c r="D139" s="94"/>
      <c r="E139" s="94" t="s">
        <v>81</v>
      </c>
      <c r="F139" s="45" t="s">
        <v>1426</v>
      </c>
      <c r="G139" s="57" t="s">
        <v>33</v>
      </c>
      <c r="H139" s="45"/>
      <c r="I139" s="45"/>
      <c r="J139" s="45"/>
      <c r="K139" s="45"/>
      <c r="L139" s="85"/>
      <c r="M139" s="86" t="s">
        <v>120</v>
      </c>
      <c r="N139" s="45"/>
      <c r="O139" s="45"/>
      <c r="P139" s="45"/>
      <c r="Q139" s="87"/>
      <c r="R139" s="95" t="s">
        <v>1427</v>
      </c>
      <c r="S139" s="92" t="s">
        <v>1428</v>
      </c>
      <c r="T139" s="107" t="s">
        <v>1264</v>
      </c>
      <c r="U139" s="1"/>
      <c r="V139" s="3"/>
      <c r="W139" s="1"/>
      <c r="X139" s="1"/>
    </row>
    <row r="140" ht="30.0" customHeight="1">
      <c r="A140" s="1"/>
      <c r="B140" s="45">
        <f t="shared" si="3"/>
        <v>132</v>
      </c>
      <c r="C140" s="130">
        <v>45604.0</v>
      </c>
      <c r="D140" s="94"/>
      <c r="E140" s="94" t="s">
        <v>47</v>
      </c>
      <c r="F140" s="45" t="s">
        <v>373</v>
      </c>
      <c r="G140" s="57" t="s">
        <v>42</v>
      </c>
      <c r="H140" s="45"/>
      <c r="I140" s="45" t="s">
        <v>1429</v>
      </c>
      <c r="J140" s="45" t="s">
        <v>61</v>
      </c>
      <c r="K140" s="45" t="s">
        <v>84</v>
      </c>
      <c r="L140" s="85"/>
      <c r="M140" s="86"/>
      <c r="N140" s="45"/>
      <c r="O140" s="45" t="s">
        <v>27</v>
      </c>
      <c r="P140" s="45"/>
      <c r="Q140" s="87"/>
      <c r="R140" s="95" t="s">
        <v>1430</v>
      </c>
      <c r="S140" s="92"/>
      <c r="T140" s="107" t="s">
        <v>1264</v>
      </c>
      <c r="U140" s="1"/>
      <c r="V140" s="3"/>
      <c r="W140" s="1"/>
      <c r="X140" s="1"/>
    </row>
    <row r="141" ht="30.0" customHeight="1">
      <c r="A141" s="1"/>
      <c r="B141" s="45">
        <f t="shared" si="3"/>
        <v>133</v>
      </c>
      <c r="C141" s="130">
        <v>45608.0</v>
      </c>
      <c r="D141" s="94" t="s">
        <v>1431</v>
      </c>
      <c r="E141" s="94" t="s">
        <v>344</v>
      </c>
      <c r="F141" s="45" t="s">
        <v>1432</v>
      </c>
      <c r="G141" s="57" t="s">
        <v>26</v>
      </c>
      <c r="H141" s="45"/>
      <c r="I141" s="45" t="s">
        <v>53</v>
      </c>
      <c r="J141" s="45"/>
      <c r="K141" s="45"/>
      <c r="L141" s="85"/>
      <c r="M141" s="86" t="s">
        <v>120</v>
      </c>
      <c r="N141" s="45"/>
      <c r="O141" s="45"/>
      <c r="P141" s="45"/>
      <c r="Q141" s="87"/>
      <c r="R141" s="95" t="s">
        <v>1433</v>
      </c>
      <c r="S141" s="92" t="s">
        <v>1434</v>
      </c>
      <c r="T141" s="107" t="s">
        <v>1264</v>
      </c>
      <c r="U141" s="1"/>
      <c r="V141" s="3"/>
      <c r="W141" s="1"/>
      <c r="X141" s="1"/>
    </row>
    <row r="142" ht="30.0" customHeight="1">
      <c r="A142" s="1"/>
      <c r="B142" s="45">
        <f t="shared" si="3"/>
        <v>134</v>
      </c>
      <c r="C142" s="130">
        <v>45614.0</v>
      </c>
      <c r="D142" s="94"/>
      <c r="E142" s="94" t="s">
        <v>47</v>
      </c>
      <c r="F142" s="45"/>
      <c r="G142" s="57" t="s">
        <v>42</v>
      </c>
      <c r="H142" s="45"/>
      <c r="I142" s="45"/>
      <c r="J142" s="45" t="s">
        <v>1435</v>
      </c>
      <c r="K142" s="45"/>
      <c r="L142" s="85"/>
      <c r="M142" s="86"/>
      <c r="N142" s="45"/>
      <c r="O142" s="45" t="s">
        <v>152</v>
      </c>
      <c r="P142" s="45"/>
      <c r="Q142" s="87"/>
      <c r="R142" s="95" t="s">
        <v>1436</v>
      </c>
      <c r="S142" s="92" t="s">
        <v>1437</v>
      </c>
      <c r="T142" s="107" t="s">
        <v>358</v>
      </c>
      <c r="U142" s="1"/>
      <c r="V142" s="3"/>
      <c r="W142" s="1"/>
      <c r="X142" s="1"/>
    </row>
    <row r="143" ht="30.0" customHeight="1">
      <c r="A143" s="1"/>
      <c r="B143" s="45">
        <f t="shared" si="3"/>
        <v>135</v>
      </c>
      <c r="C143" s="130">
        <v>45614.0</v>
      </c>
      <c r="D143" s="94" t="s">
        <v>1438</v>
      </c>
      <c r="E143" s="94" t="s">
        <v>47</v>
      </c>
      <c r="F143" s="45" t="s">
        <v>1439</v>
      </c>
      <c r="G143" s="57" t="s">
        <v>26</v>
      </c>
      <c r="H143" s="45"/>
      <c r="I143" s="45" t="s">
        <v>53</v>
      </c>
      <c r="J143" s="45"/>
      <c r="K143" s="45"/>
      <c r="L143" s="85"/>
      <c r="M143" s="86" t="s">
        <v>120</v>
      </c>
      <c r="N143" s="45"/>
      <c r="O143" s="45"/>
      <c r="P143" s="45"/>
      <c r="Q143" s="111"/>
      <c r="R143" s="95" t="s">
        <v>1440</v>
      </c>
      <c r="S143" s="92" t="s">
        <v>1423</v>
      </c>
      <c r="T143" s="107" t="s">
        <v>1264</v>
      </c>
      <c r="U143" s="1"/>
      <c r="V143" s="3"/>
      <c r="W143" s="1"/>
      <c r="X143" s="1"/>
    </row>
    <row r="144" ht="30.0" customHeight="1">
      <c r="A144" s="1"/>
      <c r="B144" s="45">
        <f t="shared" si="3"/>
        <v>136</v>
      </c>
      <c r="C144" s="130">
        <v>45621.0</v>
      </c>
      <c r="D144" s="94"/>
      <c r="E144" s="94" t="s">
        <v>47</v>
      </c>
      <c r="F144" s="45"/>
      <c r="G144" s="57" t="s">
        <v>215</v>
      </c>
      <c r="H144" s="45"/>
      <c r="I144" s="45"/>
      <c r="J144" s="45"/>
      <c r="K144" s="45"/>
      <c r="L144" s="85"/>
      <c r="M144" s="86"/>
      <c r="N144" s="45"/>
      <c r="O144" s="45" t="s">
        <v>27</v>
      </c>
      <c r="P144" s="45"/>
      <c r="Q144" s="111"/>
      <c r="R144" s="95" t="s">
        <v>1441</v>
      </c>
      <c r="S144" s="92" t="s">
        <v>1442</v>
      </c>
      <c r="T144" s="107" t="s">
        <v>358</v>
      </c>
      <c r="U144" s="1"/>
      <c r="V144" s="3"/>
      <c r="W144" s="1"/>
      <c r="X144" s="1"/>
    </row>
    <row r="145" ht="30.0" customHeight="1">
      <c r="A145" s="1"/>
      <c r="B145" s="45">
        <f t="shared" si="3"/>
        <v>137</v>
      </c>
      <c r="C145" s="130">
        <v>45630.0</v>
      </c>
      <c r="D145" s="94"/>
      <c r="E145" s="94" t="s">
        <v>1443</v>
      </c>
      <c r="F145" s="45" t="s">
        <v>1444</v>
      </c>
      <c r="G145" s="57" t="s">
        <v>70</v>
      </c>
      <c r="H145" s="45"/>
      <c r="I145" s="45"/>
      <c r="J145" s="45"/>
      <c r="K145" s="45"/>
      <c r="L145" s="85"/>
      <c r="M145" s="86" t="s">
        <v>120</v>
      </c>
      <c r="N145" s="45"/>
      <c r="O145" s="45"/>
      <c r="P145" s="45"/>
      <c r="Q145" s="111"/>
      <c r="R145" s="95" t="s">
        <v>1445</v>
      </c>
      <c r="S145" s="92" t="s">
        <v>1446</v>
      </c>
      <c r="T145" s="107" t="s">
        <v>1039</v>
      </c>
      <c r="U145" s="1"/>
      <c r="V145" s="3"/>
      <c r="W145" s="1"/>
      <c r="X145" s="1"/>
    </row>
    <row r="146" ht="30.0" customHeight="1">
      <c r="A146" s="1"/>
      <c r="B146" s="45">
        <f t="shared" si="3"/>
        <v>138</v>
      </c>
      <c r="C146" s="130">
        <v>45636.0</v>
      </c>
      <c r="D146" s="94"/>
      <c r="E146" s="94" t="s">
        <v>40</v>
      </c>
      <c r="F146" s="45" t="s">
        <v>1447</v>
      </c>
      <c r="G146" s="57" t="s">
        <v>42</v>
      </c>
      <c r="H146" s="45"/>
      <c r="I146" s="45" t="s">
        <v>53</v>
      </c>
      <c r="J146" s="45" t="s">
        <v>692</v>
      </c>
      <c r="K146" s="45" t="s">
        <v>84</v>
      </c>
      <c r="L146" s="85" t="s">
        <v>336</v>
      </c>
      <c r="M146" s="86"/>
      <c r="N146" s="45"/>
      <c r="O146" s="45"/>
      <c r="P146" s="45"/>
      <c r="Q146" s="111"/>
      <c r="R146" s="95" t="s">
        <v>1448</v>
      </c>
      <c r="S146" s="92" t="s">
        <v>1449</v>
      </c>
      <c r="T146" s="107" t="s">
        <v>102</v>
      </c>
      <c r="U146" s="1"/>
      <c r="V146" s="3"/>
      <c r="W146" s="1"/>
      <c r="X146" s="1"/>
    </row>
    <row r="147" ht="38.25" customHeight="1">
      <c r="A147" s="1"/>
      <c r="B147" s="45">
        <f t="shared" si="3"/>
        <v>139</v>
      </c>
      <c r="C147" s="130">
        <v>45636.0</v>
      </c>
      <c r="D147" s="94" t="s">
        <v>1022</v>
      </c>
      <c r="E147" s="94" t="s">
        <v>140</v>
      </c>
      <c r="F147" s="45" t="s">
        <v>1023</v>
      </c>
      <c r="G147" s="57" t="s">
        <v>26</v>
      </c>
      <c r="H147" s="45"/>
      <c r="I147" s="45" t="s">
        <v>53</v>
      </c>
      <c r="J147" s="45" t="s">
        <v>99</v>
      </c>
      <c r="K147" s="45" t="s">
        <v>291</v>
      </c>
      <c r="L147" s="85" t="s">
        <v>85</v>
      </c>
      <c r="M147" s="86" t="s">
        <v>22</v>
      </c>
      <c r="N147" s="45"/>
      <c r="O147" s="45"/>
      <c r="P147" s="45"/>
      <c r="Q147" s="87"/>
      <c r="R147" s="95" t="s">
        <v>1450</v>
      </c>
      <c r="S147" s="92" t="s">
        <v>1451</v>
      </c>
      <c r="T147" s="107" t="s">
        <v>102</v>
      </c>
      <c r="U147" s="1"/>
      <c r="V147" s="3"/>
      <c r="W147" s="1"/>
      <c r="X147" s="1"/>
    </row>
    <row r="148" ht="30.0" customHeight="1">
      <c r="A148" s="1"/>
      <c r="B148" s="45">
        <f t="shared" si="3"/>
        <v>140</v>
      </c>
      <c r="C148" s="130">
        <v>45636.0</v>
      </c>
      <c r="D148" s="94"/>
      <c r="E148" s="94" t="s">
        <v>40</v>
      </c>
      <c r="F148" s="45" t="s">
        <v>1452</v>
      </c>
      <c r="G148" s="57" t="s">
        <v>26</v>
      </c>
      <c r="H148" s="45"/>
      <c r="I148" s="45" t="s">
        <v>53</v>
      </c>
      <c r="J148" s="45" t="s">
        <v>61</v>
      </c>
      <c r="K148" s="45" t="s">
        <v>84</v>
      </c>
      <c r="L148" s="85" t="s">
        <v>160</v>
      </c>
      <c r="M148" s="86" t="s">
        <v>642</v>
      </c>
      <c r="N148" s="45"/>
      <c r="O148" s="45"/>
      <c r="P148" s="45"/>
      <c r="Q148" s="87"/>
      <c r="R148" s="95" t="s">
        <v>1453</v>
      </c>
      <c r="S148" s="92" t="s">
        <v>1454</v>
      </c>
      <c r="T148" s="107" t="s">
        <v>102</v>
      </c>
      <c r="U148" s="1"/>
      <c r="V148" s="3"/>
      <c r="W148" s="1"/>
      <c r="X148" s="1"/>
    </row>
    <row r="149" ht="30.0" customHeight="1">
      <c r="A149" s="1"/>
      <c r="B149" s="45">
        <f t="shared" si="3"/>
        <v>141</v>
      </c>
      <c r="C149" s="130">
        <v>45636.0</v>
      </c>
      <c r="D149" s="94"/>
      <c r="E149" s="94" t="s">
        <v>24</v>
      </c>
      <c r="F149" s="45" t="s">
        <v>1455</v>
      </c>
      <c r="G149" s="57" t="s">
        <v>42</v>
      </c>
      <c r="H149" s="45"/>
      <c r="I149" s="45"/>
      <c r="J149" s="45" t="s">
        <v>1456</v>
      </c>
      <c r="K149" s="45"/>
      <c r="L149" s="85"/>
      <c r="M149" s="86"/>
      <c r="N149" s="45"/>
      <c r="O149" s="45" t="s">
        <v>27</v>
      </c>
      <c r="P149" s="45"/>
      <c r="Q149" s="87"/>
      <c r="R149" s="95" t="s">
        <v>1457</v>
      </c>
      <c r="S149" s="92" t="s">
        <v>443</v>
      </c>
      <c r="T149" s="107" t="s">
        <v>102</v>
      </c>
      <c r="U149" s="1"/>
      <c r="V149" s="3"/>
      <c r="W149" s="1"/>
      <c r="X149" s="1"/>
    </row>
    <row r="150" ht="30.0" customHeight="1">
      <c r="A150" s="1"/>
      <c r="B150" s="45">
        <f t="shared" si="3"/>
        <v>142</v>
      </c>
      <c r="C150" s="130">
        <v>45636.0</v>
      </c>
      <c r="D150" s="94"/>
      <c r="E150" s="94" t="s">
        <v>76</v>
      </c>
      <c r="F150" s="45" t="s">
        <v>77</v>
      </c>
      <c r="G150" s="57" t="s">
        <v>42</v>
      </c>
      <c r="H150" s="45" t="s">
        <v>75</v>
      </c>
      <c r="I150" s="45" t="s">
        <v>53</v>
      </c>
      <c r="J150" s="45" t="s">
        <v>1458</v>
      </c>
      <c r="K150" s="45"/>
      <c r="L150" s="85" t="s">
        <v>160</v>
      </c>
      <c r="M150" s="86"/>
      <c r="N150" s="45"/>
      <c r="O150" s="45" t="s">
        <v>27</v>
      </c>
      <c r="P150" s="45"/>
      <c r="Q150" s="87"/>
      <c r="R150" s="95" t="s">
        <v>1459</v>
      </c>
      <c r="S150" s="92" t="s">
        <v>443</v>
      </c>
      <c r="T150" s="107" t="s">
        <v>102</v>
      </c>
      <c r="U150" s="1"/>
      <c r="V150" s="3"/>
      <c r="W150" s="1"/>
      <c r="X150" s="1"/>
    </row>
    <row r="151" ht="30.0" customHeight="1">
      <c r="A151" s="1"/>
      <c r="B151" s="45">
        <f t="shared" si="3"/>
        <v>143</v>
      </c>
      <c r="C151" s="130">
        <v>45638.0</v>
      </c>
      <c r="D151" s="94"/>
      <c r="E151" s="94" t="s">
        <v>269</v>
      </c>
      <c r="F151" s="45" t="s">
        <v>1460</v>
      </c>
      <c r="G151" s="57" t="s">
        <v>42</v>
      </c>
      <c r="H151" s="45" t="s">
        <v>1461</v>
      </c>
      <c r="I151" s="45" t="s">
        <v>60</v>
      </c>
      <c r="J151" s="45" t="s">
        <v>99</v>
      </c>
      <c r="K151" s="45" t="s">
        <v>84</v>
      </c>
      <c r="L151" s="85" t="s">
        <v>160</v>
      </c>
      <c r="M151" s="86"/>
      <c r="N151" s="45"/>
      <c r="O151" s="45" t="s">
        <v>27</v>
      </c>
      <c r="P151" s="45"/>
      <c r="Q151" s="87"/>
      <c r="R151" s="95" t="s">
        <v>1462</v>
      </c>
      <c r="S151" s="92" t="s">
        <v>443</v>
      </c>
      <c r="T151" s="107" t="s">
        <v>102</v>
      </c>
      <c r="U151" s="1"/>
      <c r="V151" s="3"/>
      <c r="W151" s="1"/>
      <c r="X151" s="1"/>
    </row>
    <row r="152" ht="30.0" customHeight="1">
      <c r="A152" s="1"/>
      <c r="B152" s="45">
        <f t="shared" si="3"/>
        <v>144</v>
      </c>
      <c r="C152" s="130">
        <v>45638.0</v>
      </c>
      <c r="D152" s="94"/>
      <c r="E152" s="94" t="s">
        <v>269</v>
      </c>
      <c r="F152" s="94"/>
      <c r="G152" s="57" t="s">
        <v>70</v>
      </c>
      <c r="H152" s="45"/>
      <c r="I152" s="45"/>
      <c r="J152" s="45"/>
      <c r="K152" s="45"/>
      <c r="L152" s="85"/>
      <c r="M152" s="86" t="s">
        <v>203</v>
      </c>
      <c r="N152" s="45"/>
      <c r="O152" s="45"/>
      <c r="P152" s="45"/>
      <c r="Q152" s="87"/>
      <c r="R152" s="95" t="s">
        <v>1463</v>
      </c>
      <c r="S152" s="92" t="s">
        <v>1464</v>
      </c>
      <c r="T152" s="107" t="s">
        <v>1039</v>
      </c>
      <c r="U152" s="1"/>
      <c r="V152" s="3"/>
      <c r="W152" s="1"/>
      <c r="X152" s="1"/>
    </row>
    <row r="153" ht="30.0" customHeight="1">
      <c r="A153" s="1"/>
      <c r="B153" s="45">
        <f t="shared" si="3"/>
        <v>145</v>
      </c>
      <c r="C153" s="130">
        <v>45639.0</v>
      </c>
      <c r="D153" s="94" t="s">
        <v>1465</v>
      </c>
      <c r="E153" s="94" t="s">
        <v>47</v>
      </c>
      <c r="F153" s="45" t="s">
        <v>1466</v>
      </c>
      <c r="G153" s="57" t="s">
        <v>26</v>
      </c>
      <c r="H153" s="45" t="s">
        <v>1465</v>
      </c>
      <c r="I153" s="45" t="s">
        <v>60</v>
      </c>
      <c r="J153" s="45" t="s">
        <v>61</v>
      </c>
      <c r="K153" s="45" t="s">
        <v>55</v>
      </c>
      <c r="L153" s="85" t="s">
        <v>85</v>
      </c>
      <c r="M153" s="86" t="s">
        <v>120</v>
      </c>
      <c r="N153" s="45"/>
      <c r="O153" s="45"/>
      <c r="P153" s="45"/>
      <c r="Q153" s="87"/>
      <c r="R153" s="95" t="s">
        <v>1467</v>
      </c>
      <c r="S153" s="92" t="s">
        <v>1468</v>
      </c>
      <c r="T153" s="107" t="s">
        <v>102</v>
      </c>
      <c r="U153" s="1"/>
      <c r="V153" s="3"/>
      <c r="W153" s="1"/>
      <c r="X153" s="1"/>
    </row>
    <row r="154" ht="30.0" customHeight="1">
      <c r="A154" s="1"/>
      <c r="B154" s="45">
        <f t="shared" si="3"/>
        <v>146</v>
      </c>
      <c r="C154" s="130">
        <v>45639.0</v>
      </c>
      <c r="D154" s="94" t="s">
        <v>64</v>
      </c>
      <c r="E154" s="94" t="s">
        <v>65</v>
      </c>
      <c r="F154" s="45" t="s">
        <v>66</v>
      </c>
      <c r="G154" s="57" t="s">
        <v>26</v>
      </c>
      <c r="H154" s="45" t="s">
        <v>64</v>
      </c>
      <c r="I154" s="45" t="s">
        <v>60</v>
      </c>
      <c r="J154" s="45" t="s">
        <v>83</v>
      </c>
      <c r="K154" s="45" t="s">
        <v>55</v>
      </c>
      <c r="L154" s="85" t="s">
        <v>85</v>
      </c>
      <c r="M154" s="86"/>
      <c r="N154" s="45"/>
      <c r="O154" s="45" t="s">
        <v>27</v>
      </c>
      <c r="P154" s="45"/>
      <c r="Q154" s="87"/>
      <c r="R154" s="95" t="s">
        <v>1469</v>
      </c>
      <c r="S154" s="92" t="s">
        <v>443</v>
      </c>
      <c r="T154" s="107" t="s">
        <v>102</v>
      </c>
      <c r="U154" s="1"/>
      <c r="V154" s="3"/>
      <c r="W154" s="1"/>
      <c r="X154" s="1"/>
    </row>
    <row r="155" ht="30.0" customHeight="1">
      <c r="A155" s="1"/>
      <c r="B155" s="45">
        <f t="shared" si="3"/>
        <v>147</v>
      </c>
      <c r="C155" s="130">
        <v>45639.0</v>
      </c>
      <c r="D155" s="94"/>
      <c r="E155" s="94" t="s">
        <v>47</v>
      </c>
      <c r="F155" s="45" t="s">
        <v>373</v>
      </c>
      <c r="G155" s="57" t="s">
        <v>42</v>
      </c>
      <c r="H155" s="45" t="s">
        <v>372</v>
      </c>
      <c r="I155" s="45" t="s">
        <v>53</v>
      </c>
      <c r="J155" s="45" t="s">
        <v>61</v>
      </c>
      <c r="K155" s="45" t="s">
        <v>84</v>
      </c>
      <c r="L155" s="85" t="s">
        <v>160</v>
      </c>
      <c r="M155" s="86"/>
      <c r="N155" s="45"/>
      <c r="O155" s="45" t="s">
        <v>27</v>
      </c>
      <c r="P155" s="45"/>
      <c r="Q155" s="87"/>
      <c r="R155" s="95" t="s">
        <v>1470</v>
      </c>
      <c r="S155" s="92" t="s">
        <v>1471</v>
      </c>
      <c r="T155" s="107" t="s">
        <v>358</v>
      </c>
      <c r="U155" s="1"/>
      <c r="V155" s="3"/>
      <c r="W155" s="1"/>
      <c r="X155" s="1"/>
    </row>
    <row r="156" ht="26.25" customHeight="1">
      <c r="A156" s="1"/>
      <c r="B156" s="45">
        <f t="shared" si="3"/>
        <v>148</v>
      </c>
      <c r="C156" s="130">
        <v>45639.0</v>
      </c>
      <c r="D156" s="94" t="s">
        <v>396</v>
      </c>
      <c r="E156" s="94" t="s">
        <v>40</v>
      </c>
      <c r="F156" s="45" t="s">
        <v>397</v>
      </c>
      <c r="G156" s="57" t="s">
        <v>26</v>
      </c>
      <c r="H156" s="45" t="s">
        <v>396</v>
      </c>
      <c r="I156" s="45" t="s">
        <v>53</v>
      </c>
      <c r="J156" s="45" t="s">
        <v>99</v>
      </c>
      <c r="K156" s="45" t="s">
        <v>55</v>
      </c>
      <c r="L156" s="85" t="s">
        <v>85</v>
      </c>
      <c r="M156" s="86"/>
      <c r="N156" s="45"/>
      <c r="O156" s="45" t="s">
        <v>105</v>
      </c>
      <c r="P156" s="45"/>
      <c r="Q156" s="87"/>
      <c r="R156" s="95" t="s">
        <v>1472</v>
      </c>
      <c r="S156" s="92" t="s">
        <v>1473</v>
      </c>
      <c r="T156" s="107" t="s">
        <v>358</v>
      </c>
      <c r="U156" s="1"/>
      <c r="V156" s="3"/>
      <c r="W156" s="1"/>
      <c r="X156" s="1"/>
    </row>
    <row r="157" ht="30.0" customHeight="1">
      <c r="A157" s="1"/>
      <c r="B157" s="45">
        <f t="shared" si="3"/>
        <v>149</v>
      </c>
      <c r="C157" s="130">
        <v>45642.0</v>
      </c>
      <c r="D157" s="94" t="s">
        <v>1474</v>
      </c>
      <c r="E157" s="94" t="s">
        <v>24</v>
      </c>
      <c r="F157" s="45" t="s">
        <v>1475</v>
      </c>
      <c r="G157" s="57" t="s">
        <v>26</v>
      </c>
      <c r="H157" s="45" t="s">
        <v>1474</v>
      </c>
      <c r="I157" s="45" t="s">
        <v>53</v>
      </c>
      <c r="J157" s="45" t="s">
        <v>61</v>
      </c>
      <c r="K157" s="45" t="s">
        <v>181</v>
      </c>
      <c r="L157" s="85" t="s">
        <v>85</v>
      </c>
      <c r="M157" s="86" t="s">
        <v>22</v>
      </c>
      <c r="N157" s="45"/>
      <c r="O157" s="45"/>
      <c r="P157" s="45"/>
      <c r="Q157" s="87"/>
      <c r="R157" s="95" t="s">
        <v>1476</v>
      </c>
      <c r="S157" s="92" t="s">
        <v>1477</v>
      </c>
      <c r="T157" s="107" t="s">
        <v>358</v>
      </c>
      <c r="U157" s="1"/>
      <c r="V157" s="3"/>
      <c r="W157" s="1"/>
      <c r="X157" s="1"/>
    </row>
    <row r="158" ht="30.0" customHeight="1">
      <c r="A158" s="1"/>
      <c r="B158" s="45">
        <f t="shared" si="3"/>
        <v>150</v>
      </c>
      <c r="C158" s="130">
        <v>45642.0</v>
      </c>
      <c r="D158" s="94" t="s">
        <v>1160</v>
      </c>
      <c r="E158" s="94" t="s">
        <v>47</v>
      </c>
      <c r="F158" s="45" t="s">
        <v>1478</v>
      </c>
      <c r="G158" s="57" t="s">
        <v>33</v>
      </c>
      <c r="H158" s="45"/>
      <c r="I158" s="45"/>
      <c r="J158" s="45"/>
      <c r="K158" s="45"/>
      <c r="L158" s="85"/>
      <c r="M158" s="86"/>
      <c r="N158" s="45"/>
      <c r="O158" s="45" t="s">
        <v>27</v>
      </c>
      <c r="P158" s="45"/>
      <c r="Q158" s="87"/>
      <c r="R158" s="95" t="s">
        <v>1479</v>
      </c>
      <c r="S158" s="92" t="s">
        <v>443</v>
      </c>
      <c r="T158" s="107" t="s">
        <v>102</v>
      </c>
      <c r="U158" s="1"/>
      <c r="V158" s="3"/>
      <c r="W158" s="1"/>
      <c r="X158" s="1"/>
    </row>
    <row r="159" ht="30.0" customHeight="1">
      <c r="A159" s="1"/>
      <c r="B159" s="45">
        <f t="shared" si="3"/>
        <v>151</v>
      </c>
      <c r="C159" s="130">
        <v>45642.0</v>
      </c>
      <c r="D159" s="94"/>
      <c r="E159" s="94" t="s">
        <v>24</v>
      </c>
      <c r="F159" s="45" t="s">
        <v>574</v>
      </c>
      <c r="G159" s="57" t="s">
        <v>70</v>
      </c>
      <c r="H159" s="45"/>
      <c r="I159" s="45"/>
      <c r="J159" s="45"/>
      <c r="K159" s="45"/>
      <c r="L159" s="85"/>
      <c r="M159" s="86" t="s">
        <v>22</v>
      </c>
      <c r="N159" s="45"/>
      <c r="O159" s="45"/>
      <c r="P159" s="45"/>
      <c r="Q159" s="87"/>
      <c r="R159" s="95" t="s">
        <v>1480</v>
      </c>
      <c r="S159" s="92" t="s">
        <v>1481</v>
      </c>
      <c r="T159" s="107" t="s">
        <v>358</v>
      </c>
      <c r="U159" s="1"/>
      <c r="V159" s="3"/>
      <c r="W159" s="1"/>
      <c r="X159" s="1"/>
    </row>
    <row r="160" ht="30.0" customHeight="1">
      <c r="A160" s="1"/>
      <c r="B160" s="45">
        <f t="shared" si="3"/>
        <v>152</v>
      </c>
      <c r="C160" s="130">
        <v>45642.0</v>
      </c>
      <c r="D160" s="94" t="s">
        <v>1117</v>
      </c>
      <c r="E160" s="94"/>
      <c r="F160" s="45" t="s">
        <v>1118</v>
      </c>
      <c r="G160" s="57" t="s">
        <v>42</v>
      </c>
      <c r="H160" s="45"/>
      <c r="I160" s="45"/>
      <c r="J160" s="45"/>
      <c r="K160" s="45"/>
      <c r="L160" s="85"/>
      <c r="M160" s="86"/>
      <c r="N160" s="45" t="s">
        <v>968</v>
      </c>
      <c r="O160" s="45"/>
      <c r="P160" s="45"/>
      <c r="Q160" s="87"/>
      <c r="R160" s="95" t="s">
        <v>1482</v>
      </c>
      <c r="S160" s="92" t="s">
        <v>1483</v>
      </c>
      <c r="T160" s="107" t="s">
        <v>102</v>
      </c>
      <c r="U160" s="1"/>
      <c r="V160" s="3"/>
      <c r="W160" s="1"/>
      <c r="X160" s="1"/>
    </row>
    <row r="161" ht="30.0" customHeight="1">
      <c r="A161" s="1"/>
      <c r="B161" s="45">
        <f t="shared" si="3"/>
        <v>153</v>
      </c>
      <c r="C161" s="130">
        <v>45643.0</v>
      </c>
      <c r="D161" s="94" t="s">
        <v>1160</v>
      </c>
      <c r="E161" s="94" t="s">
        <v>47</v>
      </c>
      <c r="F161" s="45" t="s">
        <v>1478</v>
      </c>
      <c r="G161" s="57" t="s">
        <v>33</v>
      </c>
      <c r="H161" s="45"/>
      <c r="I161" s="45"/>
      <c r="J161" s="45"/>
      <c r="K161" s="45"/>
      <c r="L161" s="85"/>
      <c r="M161" s="86"/>
      <c r="N161" s="45"/>
      <c r="O161" s="45" t="s">
        <v>27</v>
      </c>
      <c r="P161" s="45"/>
      <c r="Q161" s="87"/>
      <c r="R161" s="95" t="s">
        <v>1484</v>
      </c>
      <c r="S161" s="92" t="s">
        <v>1485</v>
      </c>
      <c r="T161" s="107" t="s">
        <v>358</v>
      </c>
      <c r="U161" s="1"/>
      <c r="V161" s="3"/>
      <c r="W161" s="1"/>
      <c r="X161" s="1"/>
    </row>
    <row r="162" ht="30.0" customHeight="1">
      <c r="A162" s="1"/>
      <c r="B162" s="45">
        <f t="shared" si="3"/>
        <v>154</v>
      </c>
      <c r="C162" s="130">
        <v>45644.0</v>
      </c>
      <c r="D162" s="94"/>
      <c r="E162" s="94" t="s">
        <v>24</v>
      </c>
      <c r="F162" s="45" t="s">
        <v>574</v>
      </c>
      <c r="G162" s="57" t="s">
        <v>70</v>
      </c>
      <c r="H162" s="45"/>
      <c r="I162" s="45"/>
      <c r="J162" s="45"/>
      <c r="K162" s="45"/>
      <c r="L162" s="85"/>
      <c r="M162" s="86"/>
      <c r="N162" s="45"/>
      <c r="O162" s="45" t="s">
        <v>22</v>
      </c>
      <c r="P162" s="45"/>
      <c r="Q162" s="87"/>
      <c r="R162" s="95" t="s">
        <v>1486</v>
      </c>
      <c r="S162" s="92" t="s">
        <v>1487</v>
      </c>
      <c r="T162" s="107" t="s">
        <v>358</v>
      </c>
      <c r="U162" s="1"/>
      <c r="V162" s="3"/>
      <c r="W162" s="1"/>
      <c r="X162" s="1"/>
    </row>
    <row r="163" ht="30.0" customHeight="1">
      <c r="A163" s="1"/>
      <c r="B163" s="45">
        <f t="shared" si="3"/>
        <v>155</v>
      </c>
      <c r="C163" s="130">
        <v>45644.0</v>
      </c>
      <c r="D163" s="94" t="s">
        <v>503</v>
      </c>
      <c r="E163" s="94" t="s">
        <v>288</v>
      </c>
      <c r="F163" s="45" t="s">
        <v>792</v>
      </c>
      <c r="G163" s="57" t="s">
        <v>42</v>
      </c>
      <c r="H163" s="45" t="s">
        <v>503</v>
      </c>
      <c r="I163" s="45" t="s">
        <v>60</v>
      </c>
      <c r="J163" s="45" t="s">
        <v>83</v>
      </c>
      <c r="K163" s="45" t="s">
        <v>55</v>
      </c>
      <c r="L163" s="85" t="s">
        <v>85</v>
      </c>
      <c r="M163" s="86"/>
      <c r="N163" s="45"/>
      <c r="O163" s="45" t="s">
        <v>27</v>
      </c>
      <c r="P163" s="45"/>
      <c r="Q163" s="87"/>
      <c r="R163" s="95" t="s">
        <v>1488</v>
      </c>
      <c r="S163" s="92" t="s">
        <v>1489</v>
      </c>
      <c r="T163" s="107" t="s">
        <v>102</v>
      </c>
      <c r="U163" s="1"/>
      <c r="V163" s="3"/>
      <c r="W163" s="1"/>
      <c r="X163" s="1"/>
    </row>
    <row r="164" ht="30.0" customHeight="1">
      <c r="A164" s="1"/>
      <c r="B164" s="45">
        <f t="shared" si="3"/>
        <v>156</v>
      </c>
      <c r="C164" s="130">
        <v>45644.0</v>
      </c>
      <c r="D164" s="94" t="s">
        <v>1490</v>
      </c>
      <c r="E164" s="94" t="s">
        <v>47</v>
      </c>
      <c r="F164" s="45" t="s">
        <v>1491</v>
      </c>
      <c r="G164" s="57" t="s">
        <v>215</v>
      </c>
      <c r="H164" s="45"/>
      <c r="I164" s="45"/>
      <c r="J164" s="45"/>
      <c r="K164" s="45"/>
      <c r="L164" s="85"/>
      <c r="M164" s="86"/>
      <c r="N164" s="45" t="s">
        <v>71</v>
      </c>
      <c r="O164" s="45"/>
      <c r="P164" s="45"/>
      <c r="Q164" s="87"/>
      <c r="R164" s="95" t="s">
        <v>1492</v>
      </c>
      <c r="S164" s="92" t="s">
        <v>1493</v>
      </c>
      <c r="T164" s="107" t="s">
        <v>358</v>
      </c>
      <c r="U164" s="1"/>
      <c r="V164" s="3"/>
      <c r="W164" s="1"/>
      <c r="X164" s="1"/>
    </row>
    <row r="165" ht="30.0" customHeight="1">
      <c r="A165" s="1"/>
      <c r="B165" s="45">
        <f t="shared" si="3"/>
        <v>157</v>
      </c>
      <c r="C165" s="130">
        <v>45649.0</v>
      </c>
      <c r="D165" s="94"/>
      <c r="E165" s="94"/>
      <c r="F165" s="45" t="s">
        <v>1494</v>
      </c>
      <c r="G165" s="57" t="s">
        <v>22</v>
      </c>
      <c r="H165" s="45" t="s">
        <v>1495</v>
      </c>
      <c r="I165" s="45"/>
      <c r="J165" s="45"/>
      <c r="K165" s="45"/>
      <c r="L165" s="85"/>
      <c r="M165" s="86"/>
      <c r="N165" s="45"/>
      <c r="O165" s="45" t="s">
        <v>22</v>
      </c>
      <c r="P165" s="45"/>
      <c r="Q165" s="87"/>
      <c r="R165" s="95" t="s">
        <v>1496</v>
      </c>
      <c r="S165" s="92" t="s">
        <v>1497</v>
      </c>
      <c r="T165" s="107" t="s">
        <v>358</v>
      </c>
      <c r="U165" s="1"/>
      <c r="V165" s="3"/>
      <c r="W165" s="1"/>
      <c r="X165" s="1"/>
    </row>
    <row r="166" ht="34.5" customHeight="1">
      <c r="A166" s="1"/>
      <c r="B166" s="45">
        <f t="shared" si="3"/>
        <v>158</v>
      </c>
      <c r="C166" s="130">
        <v>45650.0</v>
      </c>
      <c r="D166" s="94"/>
      <c r="E166" s="94" t="s">
        <v>1498</v>
      </c>
      <c r="F166" s="45" t="s">
        <v>1499</v>
      </c>
      <c r="G166" s="57" t="s">
        <v>26</v>
      </c>
      <c r="H166" s="45" t="s">
        <v>53</v>
      </c>
      <c r="I166" s="45" t="s">
        <v>53</v>
      </c>
      <c r="J166" s="45" t="s">
        <v>83</v>
      </c>
      <c r="K166" s="45" t="s">
        <v>55</v>
      </c>
      <c r="L166" s="85" t="s">
        <v>160</v>
      </c>
      <c r="M166" s="86"/>
      <c r="N166" s="45"/>
      <c r="O166" s="45" t="s">
        <v>687</v>
      </c>
      <c r="P166" s="45"/>
      <c r="Q166" s="87"/>
      <c r="R166" s="95" t="s">
        <v>1500</v>
      </c>
      <c r="S166" s="92" t="s">
        <v>1501</v>
      </c>
      <c r="T166" s="107" t="s">
        <v>102</v>
      </c>
      <c r="U166" s="1"/>
      <c r="V166" s="3"/>
      <c r="W166" s="1"/>
      <c r="X166" s="1"/>
    </row>
    <row r="167" ht="30.0" customHeight="1">
      <c r="A167" s="1"/>
      <c r="B167" s="45">
        <f t="shared" si="3"/>
        <v>159</v>
      </c>
      <c r="C167" s="130">
        <v>45656.0</v>
      </c>
      <c r="D167" s="94" t="s">
        <v>1145</v>
      </c>
      <c r="E167" s="94"/>
      <c r="F167" s="45" t="s">
        <v>1502</v>
      </c>
      <c r="G167" s="57" t="s">
        <v>26</v>
      </c>
      <c r="H167" s="45"/>
      <c r="I167" s="45"/>
      <c r="J167" s="45"/>
      <c r="K167" s="45"/>
      <c r="L167" s="85"/>
      <c r="M167" s="86"/>
      <c r="N167" s="45"/>
      <c r="O167" s="45" t="s">
        <v>22</v>
      </c>
      <c r="P167" s="45"/>
      <c r="Q167" s="87"/>
      <c r="R167" s="95" t="s">
        <v>1503</v>
      </c>
      <c r="S167" s="92" t="s">
        <v>1504</v>
      </c>
      <c r="T167" s="107" t="s">
        <v>358</v>
      </c>
      <c r="U167" s="1"/>
      <c r="V167" s="3"/>
      <c r="W167" s="1"/>
      <c r="X167" s="1"/>
    </row>
    <row r="168" ht="30.0" customHeight="1">
      <c r="A168" s="1"/>
      <c r="B168" s="45">
        <f t="shared" si="3"/>
        <v>160</v>
      </c>
      <c r="C168" s="130">
        <v>45656.0</v>
      </c>
      <c r="D168" s="94"/>
      <c r="E168" s="94"/>
      <c r="F168" s="45" t="s">
        <v>1505</v>
      </c>
      <c r="G168" s="57" t="s">
        <v>42</v>
      </c>
      <c r="H168" s="45"/>
      <c r="I168" s="45"/>
      <c r="J168" s="45"/>
      <c r="K168" s="45"/>
      <c r="L168" s="85"/>
      <c r="M168" s="86"/>
      <c r="N168" s="45"/>
      <c r="O168" s="45" t="s">
        <v>22</v>
      </c>
      <c r="P168" s="45"/>
      <c r="Q168" s="87"/>
      <c r="R168" s="95" t="s">
        <v>1506</v>
      </c>
      <c r="S168" s="92" t="s">
        <v>1507</v>
      </c>
      <c r="T168" s="107" t="s">
        <v>358</v>
      </c>
      <c r="U168" s="1"/>
      <c r="V168" s="3"/>
      <c r="W168" s="1"/>
      <c r="X168" s="1"/>
    </row>
    <row r="169" ht="30.0" customHeight="1">
      <c r="A169" s="1"/>
      <c r="B169" s="45">
        <f t="shared" si="3"/>
        <v>161</v>
      </c>
      <c r="C169" s="130"/>
      <c r="D169" s="94"/>
      <c r="E169" s="94"/>
      <c r="F169" s="45"/>
      <c r="G169" s="57"/>
      <c r="H169" s="45"/>
      <c r="I169" s="45"/>
      <c r="J169" s="45"/>
      <c r="K169" s="45"/>
      <c r="L169" s="85"/>
      <c r="M169" s="86"/>
      <c r="N169" s="45"/>
      <c r="O169" s="45"/>
      <c r="P169" s="45"/>
      <c r="Q169" s="87"/>
      <c r="R169" s="95"/>
      <c r="S169" s="92"/>
      <c r="T169" s="107"/>
      <c r="U169" s="1"/>
      <c r="V169" s="3"/>
      <c r="W169" s="1"/>
      <c r="X169" s="1"/>
    </row>
    <row r="170" ht="30.0" customHeight="1">
      <c r="A170" s="1"/>
      <c r="B170" s="45">
        <f t="shared" si="3"/>
        <v>162</v>
      </c>
      <c r="C170" s="130"/>
      <c r="D170" s="94"/>
      <c r="E170" s="94"/>
      <c r="F170" s="45"/>
      <c r="G170" s="57"/>
      <c r="H170" s="45"/>
      <c r="I170" s="45"/>
      <c r="J170" s="45"/>
      <c r="K170" s="45"/>
      <c r="L170" s="85"/>
      <c r="M170" s="86"/>
      <c r="N170" s="45"/>
      <c r="O170" s="45"/>
      <c r="P170" s="45"/>
      <c r="Q170" s="87"/>
      <c r="R170" s="95"/>
      <c r="S170" s="92"/>
      <c r="T170" s="107"/>
      <c r="U170" s="1"/>
      <c r="V170" s="3"/>
      <c r="W170" s="1"/>
      <c r="X170" s="1"/>
    </row>
    <row r="171" ht="30.0" customHeight="1">
      <c r="A171" s="1"/>
      <c r="B171" s="45">
        <f t="shared" si="3"/>
        <v>163</v>
      </c>
      <c r="C171" s="130"/>
      <c r="D171" s="94"/>
      <c r="E171" s="94"/>
      <c r="F171" s="45"/>
      <c r="G171" s="57"/>
      <c r="H171" s="45"/>
      <c r="I171" s="45"/>
      <c r="J171" s="45"/>
      <c r="K171" s="45"/>
      <c r="L171" s="85"/>
      <c r="M171" s="86"/>
      <c r="N171" s="45"/>
      <c r="O171" s="45"/>
      <c r="P171" s="45"/>
      <c r="Q171" s="87"/>
      <c r="R171" s="95"/>
      <c r="S171" s="92"/>
      <c r="T171" s="107"/>
      <c r="U171" s="1"/>
      <c r="V171" s="3"/>
      <c r="W171" s="1"/>
      <c r="X171" s="1"/>
    </row>
    <row r="172" ht="30.0" customHeight="1">
      <c r="A172" s="1"/>
      <c r="B172" s="45">
        <f t="shared" si="3"/>
        <v>164</v>
      </c>
      <c r="C172" s="130"/>
      <c r="D172" s="94"/>
      <c r="E172" s="94"/>
      <c r="F172" s="45"/>
      <c r="G172" s="57"/>
      <c r="H172" s="45"/>
      <c r="I172" s="45"/>
      <c r="J172" s="45"/>
      <c r="K172" s="45"/>
      <c r="L172" s="85"/>
      <c r="M172" s="86"/>
      <c r="N172" s="45"/>
      <c r="O172" s="45"/>
      <c r="P172" s="45"/>
      <c r="Q172" s="87"/>
      <c r="R172" s="95"/>
      <c r="S172" s="92"/>
      <c r="T172" s="107"/>
      <c r="U172" s="1"/>
      <c r="V172" s="3"/>
      <c r="W172" s="1"/>
      <c r="X172" s="1"/>
    </row>
    <row r="173" ht="30.0" customHeight="1">
      <c r="A173" s="1"/>
      <c r="B173" s="45">
        <f t="shared" si="3"/>
        <v>165</v>
      </c>
      <c r="C173" s="130"/>
      <c r="D173" s="94"/>
      <c r="E173" s="94"/>
      <c r="F173" s="45"/>
      <c r="G173" s="57"/>
      <c r="H173" s="45"/>
      <c r="I173" s="45"/>
      <c r="J173" s="45"/>
      <c r="K173" s="45"/>
      <c r="L173" s="85"/>
      <c r="M173" s="86"/>
      <c r="N173" s="45"/>
      <c r="O173" s="45"/>
      <c r="P173" s="45"/>
      <c r="Q173" s="87"/>
      <c r="R173" s="95"/>
      <c r="S173" s="92"/>
      <c r="T173" s="107"/>
      <c r="U173" s="1"/>
      <c r="V173" s="3"/>
      <c r="W173" s="1"/>
      <c r="X173" s="1"/>
    </row>
    <row r="174" ht="30.0" customHeight="1">
      <c r="A174" s="1"/>
      <c r="B174" s="45">
        <f t="shared" si="3"/>
        <v>166</v>
      </c>
      <c r="C174" s="130"/>
      <c r="D174" s="94"/>
      <c r="E174" s="94"/>
      <c r="F174" s="45"/>
      <c r="G174" s="57"/>
      <c r="H174" s="45"/>
      <c r="I174" s="45"/>
      <c r="J174" s="45"/>
      <c r="K174" s="45"/>
      <c r="L174" s="85"/>
      <c r="M174" s="86"/>
      <c r="N174" s="45"/>
      <c r="O174" s="45"/>
      <c r="P174" s="45"/>
      <c r="Q174" s="87"/>
      <c r="R174" s="95"/>
      <c r="S174" s="92"/>
      <c r="T174" s="107"/>
      <c r="U174" s="1"/>
      <c r="V174" s="3"/>
      <c r="W174" s="1"/>
      <c r="X174" s="1"/>
    </row>
    <row r="175" ht="30.0" customHeight="1">
      <c r="A175" s="1"/>
      <c r="B175" s="45">
        <f t="shared" si="3"/>
        <v>167</v>
      </c>
      <c r="C175" s="130"/>
      <c r="D175" s="94"/>
      <c r="E175" s="94"/>
      <c r="F175" s="45"/>
      <c r="G175" s="57"/>
      <c r="H175" s="45"/>
      <c r="I175" s="45"/>
      <c r="J175" s="45"/>
      <c r="K175" s="45"/>
      <c r="L175" s="85"/>
      <c r="M175" s="86"/>
      <c r="N175" s="45"/>
      <c r="O175" s="45"/>
      <c r="P175" s="45"/>
      <c r="Q175" s="87"/>
      <c r="R175" s="95"/>
      <c r="S175" s="92"/>
      <c r="T175" s="107"/>
      <c r="U175" s="1"/>
      <c r="V175" s="3"/>
      <c r="W175" s="1"/>
      <c r="X175" s="1"/>
    </row>
    <row r="176" ht="16.5" customHeight="1">
      <c r="A176" s="1"/>
      <c r="B176" s="45">
        <f t="shared" si="3"/>
        <v>168</v>
      </c>
      <c r="C176" s="130"/>
      <c r="D176" s="94"/>
      <c r="E176" s="94"/>
      <c r="F176" s="45"/>
      <c r="G176" s="57"/>
      <c r="H176" s="45"/>
      <c r="I176" s="45"/>
      <c r="J176" s="45"/>
      <c r="K176" s="45"/>
      <c r="L176" s="85"/>
      <c r="M176" s="86"/>
      <c r="N176" s="45"/>
      <c r="O176" s="45"/>
      <c r="P176" s="45"/>
      <c r="Q176" s="87"/>
      <c r="R176" s="95"/>
      <c r="S176" s="92"/>
      <c r="T176" s="107"/>
      <c r="U176" s="1"/>
      <c r="V176" s="3"/>
      <c r="W176" s="1"/>
      <c r="X176" s="1"/>
    </row>
    <row r="177" ht="30.0" customHeight="1">
      <c r="A177" s="1"/>
      <c r="B177" s="45">
        <f t="shared" si="3"/>
        <v>169</v>
      </c>
      <c r="C177" s="130"/>
      <c r="D177" s="94"/>
      <c r="E177" s="94"/>
      <c r="F177" s="45"/>
      <c r="G177" s="57"/>
      <c r="H177" s="45"/>
      <c r="I177" s="45"/>
      <c r="J177" s="45"/>
      <c r="K177" s="45"/>
      <c r="L177" s="85"/>
      <c r="M177" s="86"/>
      <c r="N177" s="45"/>
      <c r="O177" s="45"/>
      <c r="P177" s="45"/>
      <c r="Q177" s="87"/>
      <c r="R177" s="95"/>
      <c r="S177" s="92"/>
      <c r="T177" s="45"/>
      <c r="U177" s="1"/>
      <c r="V177" s="3"/>
      <c r="W177" s="1"/>
      <c r="X177" s="1"/>
    </row>
    <row r="178" ht="30.0" customHeight="1">
      <c r="A178" s="1"/>
      <c r="B178" s="45">
        <f t="shared" si="3"/>
        <v>170</v>
      </c>
      <c r="C178" s="130"/>
      <c r="D178" s="94"/>
      <c r="E178" s="94"/>
      <c r="F178" s="45"/>
      <c r="G178" s="57"/>
      <c r="H178" s="45"/>
      <c r="I178" s="45"/>
      <c r="J178" s="45"/>
      <c r="K178" s="45"/>
      <c r="L178" s="85"/>
      <c r="M178" s="86"/>
      <c r="N178" s="45"/>
      <c r="O178" s="45"/>
      <c r="P178" s="45"/>
      <c r="Q178" s="87"/>
      <c r="R178" s="95"/>
      <c r="S178" s="92"/>
      <c r="T178" s="45"/>
      <c r="U178" s="1"/>
      <c r="V178" s="3"/>
      <c r="W178" s="1"/>
      <c r="X178" s="1"/>
    </row>
    <row r="179" ht="30.0" customHeight="1">
      <c r="A179" s="1"/>
      <c r="B179" s="45">
        <f t="shared" si="3"/>
        <v>171</v>
      </c>
      <c r="C179" s="130"/>
      <c r="D179" s="94"/>
      <c r="E179" s="94"/>
      <c r="F179" s="45"/>
      <c r="G179" s="57"/>
      <c r="H179" s="45"/>
      <c r="I179" s="45"/>
      <c r="J179" s="45"/>
      <c r="K179" s="45"/>
      <c r="L179" s="85"/>
      <c r="M179" s="86"/>
      <c r="N179" s="45"/>
      <c r="O179" s="45"/>
      <c r="P179" s="45"/>
      <c r="Q179" s="87"/>
      <c r="R179" s="95"/>
      <c r="S179" s="92"/>
      <c r="T179" s="45"/>
      <c r="U179" s="1"/>
      <c r="V179" s="3"/>
      <c r="W179" s="1"/>
      <c r="X179" s="1"/>
    </row>
    <row r="180" ht="30.0" customHeight="1">
      <c r="A180" s="1"/>
      <c r="B180" s="45">
        <f t="shared" si="3"/>
        <v>172</v>
      </c>
      <c r="C180" s="130"/>
      <c r="D180" s="94"/>
      <c r="E180" s="94"/>
      <c r="F180" s="45"/>
      <c r="G180" s="57"/>
      <c r="H180" s="45"/>
      <c r="I180" s="45"/>
      <c r="J180" s="45"/>
      <c r="K180" s="45"/>
      <c r="L180" s="85"/>
      <c r="M180" s="86"/>
      <c r="N180" s="45"/>
      <c r="O180" s="45"/>
      <c r="P180" s="45"/>
      <c r="Q180" s="111"/>
      <c r="R180" s="95"/>
      <c r="S180" s="92"/>
      <c r="T180" s="45"/>
      <c r="U180" s="1"/>
      <c r="V180" s="3"/>
      <c r="W180" s="1"/>
      <c r="X180" s="1"/>
    </row>
    <row r="181" ht="30.0" customHeight="1">
      <c r="A181" s="1"/>
      <c r="B181" s="45">
        <f t="shared" si="3"/>
        <v>173</v>
      </c>
      <c r="C181" s="130"/>
      <c r="D181" s="94"/>
      <c r="E181" s="94"/>
      <c r="F181" s="45"/>
      <c r="G181" s="57"/>
      <c r="H181" s="45"/>
      <c r="I181" s="45"/>
      <c r="J181" s="45"/>
      <c r="K181" s="45"/>
      <c r="L181" s="85"/>
      <c r="M181" s="86"/>
      <c r="N181" s="45"/>
      <c r="O181" s="45"/>
      <c r="P181" s="45"/>
      <c r="Q181" s="87"/>
      <c r="R181" s="95"/>
      <c r="S181" s="92"/>
      <c r="T181" s="45"/>
      <c r="U181" s="1"/>
      <c r="V181" s="3"/>
      <c r="W181" s="1"/>
      <c r="X181" s="1"/>
    </row>
    <row r="182" ht="30.0" customHeight="1">
      <c r="A182" s="1"/>
      <c r="B182" s="45">
        <f t="shared" si="3"/>
        <v>174</v>
      </c>
      <c r="C182" s="130"/>
      <c r="D182" s="94"/>
      <c r="E182" s="94"/>
      <c r="F182" s="45"/>
      <c r="G182" s="57"/>
      <c r="H182" s="45"/>
      <c r="I182" s="45"/>
      <c r="J182" s="45"/>
      <c r="K182" s="45"/>
      <c r="L182" s="85"/>
      <c r="M182" s="86"/>
      <c r="N182" s="45"/>
      <c r="O182" s="45"/>
      <c r="P182" s="45"/>
      <c r="Q182" s="87"/>
      <c r="R182" s="95"/>
      <c r="S182" s="92"/>
      <c r="T182" s="45"/>
      <c r="U182" s="1"/>
      <c r="V182" s="3"/>
      <c r="W182" s="1"/>
      <c r="X182" s="1"/>
    </row>
    <row r="183" ht="30.0" customHeight="1">
      <c r="A183" s="1"/>
      <c r="B183" s="45">
        <f t="shared" si="3"/>
        <v>175</v>
      </c>
      <c r="C183" s="130"/>
      <c r="D183" s="94"/>
      <c r="E183" s="94"/>
      <c r="F183" s="45"/>
      <c r="G183" s="57"/>
      <c r="H183" s="45"/>
      <c r="I183" s="45"/>
      <c r="J183" s="45"/>
      <c r="K183" s="45"/>
      <c r="L183" s="85"/>
      <c r="M183" s="86"/>
      <c r="N183" s="45"/>
      <c r="O183" s="45"/>
      <c r="P183" s="45"/>
      <c r="Q183" s="87"/>
      <c r="R183" s="95"/>
      <c r="S183" s="92"/>
      <c r="T183" s="45"/>
      <c r="U183" s="1"/>
      <c r="V183" s="3"/>
      <c r="W183" s="1"/>
      <c r="X183" s="1"/>
    </row>
    <row r="184" ht="30.0" customHeight="1">
      <c r="A184" s="1"/>
      <c r="B184" s="45">
        <f t="shared" si="3"/>
        <v>176</v>
      </c>
      <c r="C184" s="130"/>
      <c r="D184" s="94"/>
      <c r="E184" s="94"/>
      <c r="F184" s="45"/>
      <c r="G184" s="57"/>
      <c r="H184" s="45"/>
      <c r="I184" s="45"/>
      <c r="J184" s="45"/>
      <c r="K184" s="45"/>
      <c r="L184" s="85"/>
      <c r="M184" s="86"/>
      <c r="N184" s="45"/>
      <c r="O184" s="45"/>
      <c r="P184" s="45"/>
      <c r="Q184" s="87"/>
      <c r="R184" s="95"/>
      <c r="S184" s="92"/>
      <c r="T184" s="45"/>
      <c r="U184" s="1"/>
      <c r="V184" s="3"/>
      <c r="W184" s="1"/>
      <c r="X184" s="1"/>
    </row>
    <row r="185" ht="16.5" customHeight="1">
      <c r="A185" s="1"/>
      <c r="B185" s="45">
        <f t="shared" si="3"/>
        <v>177</v>
      </c>
      <c r="C185" s="130"/>
      <c r="D185" s="94"/>
      <c r="E185" s="94"/>
      <c r="F185" s="45"/>
      <c r="G185" s="57"/>
      <c r="H185" s="45"/>
      <c r="I185" s="45"/>
      <c r="J185" s="45"/>
      <c r="K185" s="45"/>
      <c r="L185" s="85"/>
      <c r="M185" s="86"/>
      <c r="N185" s="45"/>
      <c r="O185" s="45"/>
      <c r="P185" s="45"/>
      <c r="Q185" s="87"/>
      <c r="R185" s="95"/>
      <c r="S185" s="92"/>
      <c r="T185" s="45"/>
      <c r="U185" s="1"/>
      <c r="V185" s="3"/>
      <c r="W185" s="1"/>
      <c r="X185" s="1"/>
    </row>
    <row r="186" ht="30.0" customHeight="1">
      <c r="A186" s="1"/>
      <c r="B186" s="45">
        <f t="shared" si="3"/>
        <v>178</v>
      </c>
      <c r="C186" s="130"/>
      <c r="D186" s="94"/>
      <c r="E186" s="94"/>
      <c r="F186" s="45"/>
      <c r="G186" s="57"/>
      <c r="H186" s="45"/>
      <c r="I186" s="45"/>
      <c r="J186" s="45"/>
      <c r="K186" s="45"/>
      <c r="L186" s="85"/>
      <c r="M186" s="86"/>
      <c r="N186" s="45"/>
      <c r="O186" s="45"/>
      <c r="P186" s="45"/>
      <c r="Q186" s="87"/>
      <c r="R186" s="95"/>
      <c r="S186" s="92"/>
      <c r="T186" s="45"/>
      <c r="U186" s="1"/>
      <c r="V186" s="3"/>
      <c r="W186" s="1"/>
      <c r="X186" s="1"/>
    </row>
    <row r="187" ht="16.5" customHeight="1">
      <c r="A187" s="1"/>
      <c r="B187" s="45">
        <f t="shared" si="3"/>
        <v>179</v>
      </c>
      <c r="C187" s="130"/>
      <c r="D187" s="94"/>
      <c r="E187" s="94"/>
      <c r="F187" s="45"/>
      <c r="G187" s="57"/>
      <c r="H187" s="45"/>
      <c r="I187" s="45"/>
      <c r="J187" s="45"/>
      <c r="K187" s="45"/>
      <c r="L187" s="85"/>
      <c r="M187" s="86"/>
      <c r="N187" s="45"/>
      <c r="O187" s="45"/>
      <c r="P187" s="45"/>
      <c r="Q187" s="87"/>
      <c r="R187" s="95"/>
      <c r="S187" s="92"/>
      <c r="T187" s="45"/>
      <c r="U187" s="1"/>
      <c r="V187" s="3"/>
      <c r="W187" s="1"/>
      <c r="X187" s="1"/>
    </row>
    <row r="188" ht="30.0" customHeight="1">
      <c r="A188" s="1"/>
      <c r="B188" s="45">
        <f t="shared" si="3"/>
        <v>180</v>
      </c>
      <c r="C188" s="130"/>
      <c r="D188" s="94"/>
      <c r="E188" s="94"/>
      <c r="F188" s="45"/>
      <c r="G188" s="57"/>
      <c r="H188" s="45"/>
      <c r="I188" s="45"/>
      <c r="J188" s="45"/>
      <c r="K188" s="45"/>
      <c r="L188" s="85"/>
      <c r="M188" s="86"/>
      <c r="N188" s="45"/>
      <c r="O188" s="45"/>
      <c r="P188" s="45"/>
      <c r="Q188" s="87"/>
      <c r="R188" s="95"/>
      <c r="S188" s="92"/>
      <c r="T188" s="45"/>
      <c r="U188" s="1"/>
      <c r="V188" s="3"/>
      <c r="W188" s="1"/>
      <c r="X188" s="1"/>
    </row>
    <row r="189" ht="30.0" customHeight="1">
      <c r="A189" s="1"/>
      <c r="B189" s="45">
        <f t="shared" si="3"/>
        <v>181</v>
      </c>
      <c r="C189" s="130"/>
      <c r="D189" s="94"/>
      <c r="E189" s="94"/>
      <c r="F189" s="45"/>
      <c r="G189" s="57"/>
      <c r="H189" s="45"/>
      <c r="I189" s="45"/>
      <c r="J189" s="45"/>
      <c r="K189" s="45"/>
      <c r="L189" s="85"/>
      <c r="M189" s="86"/>
      <c r="N189" s="45"/>
      <c r="O189" s="45"/>
      <c r="P189" s="45"/>
      <c r="Q189" s="87"/>
      <c r="R189" s="95"/>
      <c r="S189" s="92"/>
      <c r="T189" s="45"/>
      <c r="U189" s="1"/>
      <c r="V189" s="3"/>
      <c r="W189" s="1"/>
      <c r="X189" s="1"/>
    </row>
    <row r="190" ht="30.0" customHeight="1">
      <c r="A190" s="1"/>
      <c r="B190" s="45">
        <f t="shared" si="3"/>
        <v>182</v>
      </c>
      <c r="C190" s="130"/>
      <c r="D190" s="94"/>
      <c r="E190" s="94"/>
      <c r="F190" s="45"/>
      <c r="G190" s="57"/>
      <c r="H190" s="45"/>
      <c r="I190" s="45"/>
      <c r="J190" s="94"/>
      <c r="K190" s="45"/>
      <c r="L190" s="85"/>
      <c r="M190" s="86"/>
      <c r="N190" s="45"/>
      <c r="O190" s="45"/>
      <c r="P190" s="45"/>
      <c r="Q190" s="87"/>
      <c r="R190" s="95"/>
      <c r="S190" s="92"/>
      <c r="T190" s="45"/>
      <c r="U190" s="1"/>
      <c r="V190" s="3"/>
      <c r="W190" s="1"/>
      <c r="X190" s="1"/>
    </row>
    <row r="191" ht="30.0" customHeight="1">
      <c r="A191" s="1"/>
      <c r="B191" s="45">
        <f t="shared" si="3"/>
        <v>183</v>
      </c>
      <c r="C191" s="130"/>
      <c r="D191" s="94"/>
      <c r="E191" s="94"/>
      <c r="F191" s="45"/>
      <c r="G191" s="57"/>
      <c r="H191" s="45"/>
      <c r="I191" s="45"/>
      <c r="J191" s="94"/>
      <c r="K191" s="45"/>
      <c r="L191" s="85"/>
      <c r="M191" s="86"/>
      <c r="N191" s="45"/>
      <c r="O191" s="45"/>
      <c r="P191" s="45"/>
      <c r="Q191" s="87"/>
      <c r="R191" s="95"/>
      <c r="S191" s="92"/>
      <c r="T191" s="45"/>
      <c r="U191" s="1"/>
      <c r="V191" s="3"/>
      <c r="W191" s="1"/>
      <c r="X191" s="1"/>
    </row>
    <row r="192" ht="30.0" customHeight="1">
      <c r="A192" s="1"/>
      <c r="B192" s="45">
        <f t="shared" si="3"/>
        <v>184</v>
      </c>
      <c r="C192" s="130"/>
      <c r="D192" s="94"/>
      <c r="E192" s="94"/>
      <c r="F192" s="45"/>
      <c r="G192" s="57"/>
      <c r="H192" s="45"/>
      <c r="I192" s="45"/>
      <c r="J192" s="94"/>
      <c r="K192" s="45"/>
      <c r="L192" s="85"/>
      <c r="M192" s="86"/>
      <c r="N192" s="45"/>
      <c r="O192" s="45"/>
      <c r="P192" s="45"/>
      <c r="Q192" s="87"/>
      <c r="R192" s="95"/>
      <c r="S192" s="92"/>
      <c r="T192" s="45"/>
      <c r="U192" s="1"/>
      <c r="V192" s="3"/>
      <c r="W192" s="1"/>
      <c r="X192" s="1"/>
    </row>
    <row r="193" ht="30.0" customHeight="1">
      <c r="A193" s="1"/>
      <c r="B193" s="45">
        <f t="shared" si="3"/>
        <v>185</v>
      </c>
      <c r="C193" s="130"/>
      <c r="D193" s="94"/>
      <c r="E193" s="94"/>
      <c r="F193" s="45"/>
      <c r="G193" s="57"/>
      <c r="H193" s="45"/>
      <c r="I193" s="45"/>
      <c r="J193" s="94"/>
      <c r="K193" s="45"/>
      <c r="L193" s="85"/>
      <c r="M193" s="86"/>
      <c r="N193" s="45"/>
      <c r="O193" s="45"/>
      <c r="P193" s="45"/>
      <c r="Q193" s="87"/>
      <c r="R193" s="95"/>
      <c r="S193" s="92"/>
      <c r="T193" s="45"/>
      <c r="U193" s="1"/>
      <c r="V193" s="3"/>
      <c r="W193" s="1"/>
      <c r="X193" s="1"/>
    </row>
    <row r="194" ht="24.75" customHeight="1">
      <c r="A194" s="1"/>
      <c r="B194" s="1"/>
      <c r="C194" s="1"/>
      <c r="D194" s="8"/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"/>
      <c r="S194" s="1"/>
      <c r="T194" s="1"/>
      <c r="U194" s="1"/>
      <c r="V194" s="3"/>
      <c r="W194" s="1"/>
      <c r="X194" s="1"/>
    </row>
    <row r="195" ht="24.75" customHeight="1">
      <c r="A195" s="1"/>
      <c r="B195" s="1"/>
      <c r="C195" s="1"/>
      <c r="D195" s="8"/>
      <c r="E195" s="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"/>
      <c r="S195" s="1"/>
      <c r="T195" s="1"/>
      <c r="U195" s="1"/>
      <c r="V195" s="3"/>
      <c r="W195" s="1"/>
      <c r="X195" s="1"/>
    </row>
    <row r="196" ht="24.75" customHeight="1">
      <c r="A196" s="1"/>
      <c r="B196" s="1"/>
      <c r="C196" s="1"/>
      <c r="D196" s="8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"/>
      <c r="S196" s="1"/>
      <c r="T196" s="1"/>
      <c r="U196" s="1"/>
      <c r="V196" s="3"/>
      <c r="W196" s="1"/>
      <c r="X196" s="1"/>
    </row>
    <row r="197" ht="24.75" customHeight="1">
      <c r="A197" s="1"/>
      <c r="B197" s="1"/>
      <c r="C197" s="1"/>
      <c r="D197" s="8"/>
      <c r="E197" s="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"/>
      <c r="S197" s="1"/>
      <c r="T197" s="1"/>
      <c r="U197" s="1"/>
      <c r="V197" s="3"/>
      <c r="W197" s="1"/>
      <c r="X197" s="1"/>
    </row>
    <row r="198" ht="24.75" customHeight="1">
      <c r="A198" s="1"/>
      <c r="B198" s="1"/>
      <c r="C198" s="1"/>
      <c r="D198" s="8"/>
      <c r="E198" s="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"/>
      <c r="S198" s="1"/>
      <c r="T198" s="1"/>
      <c r="U198" s="1"/>
      <c r="V198" s="3"/>
      <c r="W198" s="1"/>
      <c r="X198" s="1"/>
    </row>
    <row r="199" ht="24.75" customHeight="1">
      <c r="A199" s="1"/>
      <c r="B199" s="1"/>
      <c r="C199" s="1"/>
      <c r="D199" s="8"/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"/>
      <c r="S199" s="1"/>
      <c r="T199" s="1"/>
      <c r="U199" s="1"/>
      <c r="V199" s="3"/>
      <c r="W199" s="1"/>
      <c r="X199" s="1"/>
    </row>
    <row r="200" ht="24.75" customHeight="1">
      <c r="A200" s="1"/>
      <c r="B200" s="1"/>
      <c r="C200" s="1"/>
      <c r="D200" s="8"/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"/>
      <c r="S200" s="1"/>
      <c r="T200" s="1"/>
      <c r="U200" s="1"/>
      <c r="V200" s="3"/>
      <c r="W200" s="1"/>
      <c r="X200" s="1"/>
    </row>
    <row r="201" ht="24.75" customHeight="1">
      <c r="A201" s="1"/>
      <c r="B201" s="1"/>
      <c r="C201" s="1"/>
      <c r="D201" s="8"/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"/>
      <c r="S201" s="1"/>
      <c r="T201" s="1"/>
      <c r="U201" s="1"/>
      <c r="V201" s="3"/>
      <c r="W201" s="1"/>
      <c r="X201" s="1"/>
    </row>
    <row r="202" ht="24.75" customHeight="1">
      <c r="A202" s="1"/>
      <c r="B202" s="1"/>
      <c r="C202" s="1"/>
      <c r="D202" s="8"/>
      <c r="E202" s="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"/>
      <c r="S202" s="1"/>
      <c r="T202" s="1"/>
      <c r="U202" s="1"/>
      <c r="V202" s="3"/>
      <c r="W202" s="1"/>
      <c r="X202" s="1"/>
    </row>
    <row r="203" ht="24.75" customHeight="1">
      <c r="A203" s="1"/>
      <c r="B203" s="1"/>
      <c r="C203" s="1"/>
      <c r="D203" s="8"/>
      <c r="E203" s="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"/>
      <c r="S203" s="1"/>
      <c r="T203" s="1"/>
      <c r="U203" s="1"/>
      <c r="V203" s="3"/>
      <c r="W203" s="1"/>
      <c r="X203" s="1"/>
    </row>
    <row r="204" ht="24.75" customHeight="1">
      <c r="A204" s="1"/>
      <c r="B204" s="1"/>
      <c r="C204" s="1"/>
      <c r="D204" s="8"/>
      <c r="E204" s="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"/>
      <c r="S204" s="1"/>
      <c r="T204" s="1"/>
      <c r="U204" s="1"/>
      <c r="V204" s="3"/>
      <c r="W204" s="1"/>
      <c r="X204" s="1"/>
    </row>
    <row r="205" ht="24.75" customHeight="1">
      <c r="A205" s="1"/>
      <c r="B205" s="1"/>
      <c r="C205" s="1"/>
      <c r="D205" s="8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"/>
      <c r="S205" s="1"/>
      <c r="T205" s="1"/>
      <c r="U205" s="1"/>
      <c r="V205" s="3"/>
      <c r="W205" s="1"/>
      <c r="X205" s="1"/>
    </row>
    <row r="206" ht="24.75" customHeight="1">
      <c r="A206" s="1"/>
      <c r="B206" s="1"/>
      <c r="C206" s="1"/>
      <c r="D206" s="8"/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"/>
      <c r="S206" s="1"/>
      <c r="T206" s="1"/>
      <c r="U206" s="1"/>
      <c r="V206" s="3"/>
      <c r="W206" s="1"/>
      <c r="X206" s="1"/>
    </row>
    <row r="207" ht="24.75" customHeight="1">
      <c r="A207" s="1"/>
      <c r="B207" s="1"/>
      <c r="C207" s="1"/>
      <c r="D207" s="8"/>
      <c r="E207" s="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"/>
      <c r="S207" s="1"/>
      <c r="T207" s="1"/>
      <c r="U207" s="1"/>
      <c r="V207" s="3"/>
      <c r="W207" s="1"/>
      <c r="X207" s="1"/>
    </row>
    <row r="208" ht="24.75" customHeight="1">
      <c r="A208" s="1"/>
      <c r="B208" s="1"/>
      <c r="C208" s="1"/>
      <c r="D208" s="8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"/>
      <c r="S208" s="1"/>
      <c r="T208" s="1"/>
      <c r="U208" s="1"/>
      <c r="V208" s="3"/>
      <c r="W208" s="1"/>
      <c r="X208" s="1"/>
    </row>
    <row r="209" ht="24.75" customHeight="1">
      <c r="A209" s="1"/>
      <c r="B209" s="1"/>
      <c r="C209" s="1"/>
      <c r="D209" s="8"/>
      <c r="E209" s="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"/>
      <c r="S209" s="1"/>
      <c r="T209" s="1"/>
      <c r="U209" s="1"/>
      <c r="V209" s="3"/>
      <c r="W209" s="1"/>
      <c r="X209" s="1"/>
    </row>
    <row r="210" ht="24.75" customHeight="1">
      <c r="A210" s="1"/>
      <c r="B210" s="1"/>
      <c r="C210" s="1"/>
      <c r="D210" s="8"/>
      <c r="E210" s="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"/>
      <c r="S210" s="1"/>
      <c r="T210" s="1"/>
      <c r="U210" s="1"/>
      <c r="V210" s="3"/>
      <c r="W210" s="1"/>
      <c r="X210" s="1"/>
    </row>
    <row r="211" ht="24.75" customHeight="1">
      <c r="A211" s="1"/>
      <c r="B211" s="1"/>
      <c r="C211" s="1"/>
      <c r="D211" s="8"/>
      <c r="E211" s="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"/>
      <c r="S211" s="1"/>
      <c r="T211" s="1"/>
      <c r="U211" s="1"/>
      <c r="V211" s="3"/>
      <c r="W211" s="1"/>
      <c r="X211" s="1"/>
    </row>
    <row r="212" ht="24.75" customHeight="1">
      <c r="A212" s="1"/>
      <c r="B212" s="1"/>
      <c r="C212" s="1"/>
      <c r="D212" s="8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"/>
      <c r="S212" s="1"/>
      <c r="T212" s="1"/>
      <c r="U212" s="1"/>
      <c r="V212" s="3"/>
      <c r="W212" s="1"/>
      <c r="X212" s="1"/>
    </row>
    <row r="213" ht="24.75" customHeight="1">
      <c r="A213" s="1"/>
      <c r="B213" s="1"/>
      <c r="C213" s="1"/>
      <c r="D213" s="8"/>
      <c r="E213" s="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"/>
      <c r="S213" s="1"/>
      <c r="T213" s="1"/>
      <c r="U213" s="1"/>
      <c r="V213" s="3"/>
      <c r="W213" s="1"/>
      <c r="X213" s="1"/>
    </row>
    <row r="214" ht="24.75" customHeight="1">
      <c r="A214" s="1"/>
      <c r="B214" s="1"/>
      <c r="C214" s="1"/>
      <c r="D214" s="8"/>
      <c r="E214" s="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"/>
      <c r="S214" s="1"/>
      <c r="T214" s="1"/>
      <c r="U214" s="1"/>
      <c r="V214" s="3"/>
      <c r="W214" s="1"/>
      <c r="X214" s="1"/>
    </row>
    <row r="215" ht="24.75" customHeight="1">
      <c r="A215" s="1"/>
      <c r="B215" s="1"/>
      <c r="C215" s="1"/>
      <c r="D215" s="8"/>
      <c r="E215" s="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"/>
      <c r="S215" s="1"/>
      <c r="T215" s="1"/>
      <c r="U215" s="1"/>
      <c r="V215" s="3"/>
      <c r="W215" s="1"/>
      <c r="X215" s="1"/>
    </row>
    <row r="216" ht="24.75" customHeight="1">
      <c r="A216" s="1"/>
      <c r="B216" s="1"/>
      <c r="C216" s="1"/>
      <c r="D216" s="8"/>
      <c r="E216" s="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"/>
      <c r="S216" s="1"/>
      <c r="T216" s="1"/>
      <c r="U216" s="1"/>
      <c r="V216" s="3"/>
      <c r="W216" s="1"/>
      <c r="X216" s="1"/>
    </row>
    <row r="217" ht="24.75" customHeight="1">
      <c r="A217" s="1"/>
      <c r="B217" s="1"/>
      <c r="C217" s="1"/>
      <c r="D217" s="8"/>
      <c r="E217" s="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"/>
      <c r="S217" s="1"/>
      <c r="T217" s="1"/>
      <c r="U217" s="1"/>
      <c r="V217" s="3"/>
      <c r="W217" s="1"/>
      <c r="X217" s="1"/>
    </row>
    <row r="218" ht="24.75" customHeight="1">
      <c r="A218" s="1"/>
      <c r="B218" s="1"/>
      <c r="C218" s="1"/>
      <c r="D218" s="8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"/>
      <c r="S218" s="1"/>
      <c r="T218" s="1"/>
      <c r="U218" s="1"/>
      <c r="V218" s="3"/>
      <c r="W218" s="1"/>
      <c r="X218" s="1"/>
    </row>
    <row r="219" ht="24.75" customHeight="1">
      <c r="A219" s="1"/>
      <c r="B219" s="1"/>
      <c r="C219" s="1"/>
      <c r="D219" s="8"/>
      <c r="E219" s="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"/>
      <c r="S219" s="1"/>
      <c r="T219" s="1"/>
      <c r="U219" s="1"/>
      <c r="V219" s="3"/>
      <c r="W219" s="1"/>
      <c r="X219" s="1"/>
    </row>
    <row r="220" ht="24.75" customHeight="1">
      <c r="A220" s="1"/>
      <c r="B220" s="1"/>
      <c r="C220" s="1"/>
      <c r="D220" s="8"/>
      <c r="E220" s="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"/>
      <c r="S220" s="1"/>
      <c r="T220" s="1"/>
      <c r="U220" s="1"/>
      <c r="V220" s="3"/>
      <c r="W220" s="1"/>
      <c r="X220" s="1"/>
    </row>
    <row r="221" ht="24.75" customHeight="1">
      <c r="A221" s="1"/>
      <c r="B221" s="1"/>
      <c r="C221" s="1"/>
      <c r="D221" s="8"/>
      <c r="E221" s="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"/>
      <c r="S221" s="1"/>
      <c r="T221" s="1"/>
      <c r="U221" s="1"/>
      <c r="V221" s="3"/>
      <c r="W221" s="1"/>
      <c r="X221" s="1"/>
    </row>
    <row r="222" ht="24.75" customHeight="1">
      <c r="A222" s="1"/>
      <c r="B222" s="1"/>
      <c r="C222" s="1"/>
      <c r="D222" s="8"/>
      <c r="E222" s="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"/>
      <c r="S222" s="1"/>
      <c r="T222" s="1"/>
      <c r="U222" s="1"/>
      <c r="V222" s="3"/>
      <c r="W222" s="1"/>
      <c r="X222" s="1"/>
    </row>
    <row r="223" ht="24.75" customHeight="1">
      <c r="A223" s="1"/>
      <c r="B223" s="1"/>
      <c r="C223" s="1"/>
      <c r="D223" s="8"/>
      <c r="E223" s="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"/>
      <c r="S223" s="1"/>
      <c r="T223" s="1"/>
      <c r="U223" s="1"/>
      <c r="V223" s="3"/>
      <c r="W223" s="1"/>
      <c r="X223" s="1"/>
    </row>
    <row r="224" ht="16.5" customHeight="1">
      <c r="A224" s="1"/>
      <c r="B224" s="1"/>
      <c r="C224" s="1"/>
      <c r="D224" s="8"/>
      <c r="E224" s="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"/>
      <c r="S224" s="1"/>
      <c r="T224" s="1"/>
      <c r="U224" s="1"/>
      <c r="V224" s="3"/>
      <c r="W224" s="1"/>
      <c r="X224" s="1"/>
    </row>
    <row r="225" ht="16.5" customHeight="1">
      <c r="A225" s="1"/>
      <c r="B225" s="1"/>
      <c r="C225" s="1"/>
      <c r="D225" s="8"/>
      <c r="E225" s="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"/>
      <c r="S225" s="1"/>
      <c r="T225" s="1"/>
      <c r="U225" s="1"/>
      <c r="V225" s="3"/>
      <c r="W225" s="1"/>
      <c r="X225" s="1"/>
    </row>
    <row r="226" ht="16.5" customHeight="1">
      <c r="A226" s="1"/>
      <c r="B226" s="1"/>
      <c r="C226" s="1"/>
      <c r="D226" s="8"/>
      <c r="E226" s="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"/>
      <c r="S226" s="1"/>
      <c r="T226" s="1"/>
      <c r="U226" s="1"/>
      <c r="V226" s="3"/>
      <c r="W226" s="1"/>
      <c r="X226" s="1"/>
    </row>
    <row r="227" ht="16.5" customHeight="1">
      <c r="A227" s="1"/>
      <c r="B227" s="1"/>
      <c r="C227" s="1"/>
      <c r="D227" s="8"/>
      <c r="E227" s="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"/>
      <c r="S227" s="1"/>
      <c r="T227" s="1"/>
      <c r="U227" s="1"/>
      <c r="V227" s="3"/>
      <c r="W227" s="1"/>
      <c r="X227" s="1"/>
    </row>
    <row r="228" ht="16.5" customHeight="1">
      <c r="A228" s="1"/>
      <c r="B228" s="1"/>
      <c r="C228" s="1"/>
      <c r="D228" s="8"/>
      <c r="E228" s="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"/>
      <c r="S228" s="1"/>
      <c r="T228" s="1"/>
      <c r="U228" s="1"/>
      <c r="V228" s="3"/>
      <c r="W228" s="1"/>
      <c r="X228" s="1"/>
    </row>
    <row r="229" ht="16.5" customHeight="1">
      <c r="A229" s="1"/>
      <c r="B229" s="1"/>
      <c r="C229" s="1"/>
      <c r="D229" s="8"/>
      <c r="E229" s="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"/>
      <c r="S229" s="1"/>
      <c r="T229" s="1"/>
      <c r="U229" s="1"/>
      <c r="V229" s="3"/>
      <c r="W229" s="1"/>
      <c r="X229" s="1"/>
    </row>
    <row r="230" ht="16.5" customHeight="1">
      <c r="A230" s="1"/>
      <c r="B230" s="1"/>
      <c r="C230" s="1"/>
      <c r="D230" s="8"/>
      <c r="E230" s="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"/>
      <c r="S230" s="1"/>
      <c r="T230" s="1"/>
      <c r="U230" s="1"/>
      <c r="V230" s="3"/>
      <c r="W230" s="1"/>
      <c r="X230" s="1"/>
    </row>
    <row r="231" ht="16.5" customHeight="1">
      <c r="A231" s="1"/>
      <c r="B231" s="1"/>
      <c r="C231" s="1"/>
      <c r="D231" s="8"/>
      <c r="E231" s="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"/>
      <c r="S231" s="1"/>
      <c r="T231" s="1"/>
      <c r="U231" s="1"/>
      <c r="V231" s="3"/>
      <c r="W231" s="1"/>
      <c r="X231" s="1"/>
    </row>
    <row r="232" ht="16.5" customHeight="1">
      <c r="A232" s="1"/>
      <c r="B232" s="1"/>
      <c r="C232" s="1"/>
      <c r="D232" s="8"/>
      <c r="E232" s="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"/>
      <c r="S232" s="1"/>
      <c r="T232" s="1"/>
      <c r="U232" s="1"/>
      <c r="V232" s="3"/>
      <c r="W232" s="1"/>
      <c r="X232" s="1"/>
    </row>
    <row r="233" ht="16.5" customHeight="1">
      <c r="A233" s="1"/>
      <c r="B233" s="1"/>
      <c r="C233" s="1"/>
      <c r="D233" s="8"/>
      <c r="E233" s="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"/>
      <c r="S233" s="1"/>
      <c r="T233" s="1"/>
      <c r="U233" s="1"/>
      <c r="V233" s="3"/>
      <c r="W233" s="1"/>
      <c r="X233" s="1"/>
    </row>
    <row r="234" ht="16.5" customHeight="1">
      <c r="A234" s="1"/>
      <c r="B234" s="1"/>
      <c r="C234" s="1"/>
      <c r="D234" s="8"/>
      <c r="E234" s="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"/>
      <c r="S234" s="1"/>
      <c r="T234" s="1"/>
      <c r="U234" s="1"/>
      <c r="V234" s="3"/>
      <c r="W234" s="1"/>
      <c r="X234" s="1"/>
    </row>
    <row r="235" ht="16.5" customHeight="1">
      <c r="A235" s="1"/>
      <c r="B235" s="1"/>
      <c r="C235" s="1"/>
      <c r="D235" s="8"/>
      <c r="E235" s="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"/>
      <c r="S235" s="1"/>
      <c r="T235" s="1"/>
      <c r="U235" s="1"/>
      <c r="V235" s="3"/>
      <c r="W235" s="1"/>
      <c r="X235" s="1"/>
    </row>
    <row r="236" ht="16.5" customHeight="1">
      <c r="A236" s="1"/>
      <c r="B236" s="1"/>
      <c r="C236" s="1"/>
      <c r="D236" s="8"/>
      <c r="E236" s="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"/>
      <c r="S236" s="1"/>
      <c r="T236" s="1"/>
      <c r="U236" s="1"/>
      <c r="V236" s="3"/>
      <c r="W236" s="1"/>
      <c r="X236" s="1"/>
    </row>
    <row r="237" ht="16.5" customHeight="1">
      <c r="A237" s="1"/>
      <c r="B237" s="1"/>
      <c r="C237" s="1"/>
      <c r="D237" s="8"/>
      <c r="E237" s="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"/>
      <c r="S237" s="1"/>
      <c r="T237" s="1"/>
      <c r="U237" s="1"/>
      <c r="V237" s="3"/>
      <c r="W237" s="1"/>
      <c r="X237" s="1"/>
    </row>
    <row r="238" ht="16.5" customHeight="1">
      <c r="A238" s="1"/>
      <c r="B238" s="1"/>
      <c r="C238" s="1"/>
      <c r="D238" s="8"/>
      <c r="E238" s="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"/>
      <c r="S238" s="1"/>
      <c r="T238" s="1"/>
      <c r="U238" s="1"/>
      <c r="V238" s="3"/>
      <c r="W238" s="1"/>
      <c r="X238" s="1"/>
    </row>
    <row r="239" ht="16.5" customHeight="1">
      <c r="A239" s="1"/>
      <c r="B239" s="1"/>
      <c r="C239" s="1"/>
      <c r="D239" s="8"/>
      <c r="E239" s="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"/>
      <c r="S239" s="1"/>
      <c r="T239" s="1"/>
      <c r="U239" s="1"/>
      <c r="V239" s="3"/>
      <c r="W239" s="1"/>
      <c r="X239" s="1"/>
    </row>
    <row r="240" ht="16.5" customHeight="1">
      <c r="A240" s="1"/>
      <c r="B240" s="1"/>
      <c r="C240" s="1"/>
      <c r="D240" s="8"/>
      <c r="E240" s="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"/>
      <c r="S240" s="1"/>
      <c r="T240" s="1"/>
      <c r="U240" s="1"/>
      <c r="V240" s="3"/>
      <c r="W240" s="1"/>
      <c r="X240" s="1"/>
    </row>
    <row r="241" ht="16.5" customHeight="1">
      <c r="A241" s="1"/>
      <c r="B241" s="1"/>
      <c r="C241" s="1"/>
      <c r="D241" s="8"/>
      <c r="E241" s="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"/>
      <c r="S241" s="1"/>
      <c r="T241" s="1"/>
      <c r="U241" s="1"/>
      <c r="V241" s="3"/>
      <c r="W241" s="1"/>
      <c r="X241" s="1"/>
    </row>
    <row r="242" ht="16.5" customHeight="1">
      <c r="A242" s="1"/>
      <c r="B242" s="1"/>
      <c r="C242" s="1"/>
      <c r="D242" s="8"/>
      <c r="E242" s="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"/>
      <c r="S242" s="1"/>
      <c r="T242" s="1"/>
      <c r="U242" s="1"/>
      <c r="V242" s="3"/>
      <c r="W242" s="1"/>
      <c r="X242" s="1"/>
    </row>
    <row r="243" ht="16.5" customHeight="1">
      <c r="A243" s="1"/>
      <c r="B243" s="1"/>
      <c r="C243" s="1"/>
      <c r="D243" s="8"/>
      <c r="E243" s="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"/>
      <c r="S243" s="1"/>
      <c r="T243" s="1"/>
      <c r="U243" s="1"/>
      <c r="V243" s="3"/>
      <c r="W243" s="1"/>
      <c r="X243" s="1"/>
    </row>
    <row r="244" ht="16.5" customHeight="1">
      <c r="A244" s="1"/>
      <c r="B244" s="1"/>
      <c r="C244" s="1"/>
      <c r="D244" s="8"/>
      <c r="E244" s="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"/>
      <c r="S244" s="1"/>
      <c r="T244" s="1"/>
      <c r="U244" s="1"/>
      <c r="V244" s="3"/>
      <c r="W244" s="1"/>
      <c r="X244" s="1"/>
    </row>
    <row r="245" ht="16.5" customHeight="1">
      <c r="A245" s="1"/>
      <c r="B245" s="1"/>
      <c r="C245" s="1"/>
      <c r="D245" s="8"/>
      <c r="E245" s="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"/>
      <c r="S245" s="1"/>
      <c r="T245" s="1"/>
      <c r="U245" s="1"/>
      <c r="V245" s="3"/>
      <c r="W245" s="1"/>
      <c r="X245" s="1"/>
    </row>
    <row r="246" ht="16.5" customHeight="1">
      <c r="A246" s="1"/>
      <c r="B246" s="1"/>
      <c r="C246" s="1"/>
      <c r="D246" s="8"/>
      <c r="E246" s="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"/>
      <c r="S246" s="1"/>
      <c r="T246" s="1"/>
      <c r="U246" s="1"/>
      <c r="V246" s="3"/>
      <c r="W246" s="1"/>
      <c r="X246" s="1"/>
    </row>
    <row r="247" ht="16.5" customHeight="1">
      <c r="A247" s="1"/>
      <c r="B247" s="1"/>
      <c r="C247" s="1"/>
      <c r="D247" s="8"/>
      <c r="E247" s="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"/>
      <c r="S247" s="1"/>
      <c r="T247" s="1"/>
      <c r="U247" s="1"/>
      <c r="V247" s="3"/>
      <c r="W247" s="1"/>
      <c r="X247" s="1"/>
    </row>
    <row r="248" ht="16.5" customHeight="1">
      <c r="A248" s="1"/>
      <c r="B248" s="1"/>
      <c r="C248" s="1"/>
      <c r="D248" s="8"/>
      <c r="E248" s="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"/>
      <c r="S248" s="1"/>
      <c r="T248" s="1"/>
      <c r="U248" s="1"/>
      <c r="V248" s="3"/>
      <c r="W248" s="1"/>
      <c r="X248" s="1"/>
    </row>
    <row r="249" ht="16.5" customHeight="1">
      <c r="A249" s="1"/>
      <c r="B249" s="1"/>
      <c r="C249" s="1"/>
      <c r="D249" s="8"/>
      <c r="E249" s="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"/>
      <c r="S249" s="1"/>
      <c r="T249" s="1"/>
      <c r="U249" s="1"/>
      <c r="V249" s="3"/>
      <c r="W249" s="1"/>
      <c r="X249" s="1"/>
    </row>
    <row r="250" ht="16.5" customHeight="1">
      <c r="A250" s="1"/>
      <c r="B250" s="1"/>
      <c r="C250" s="1"/>
      <c r="D250" s="8"/>
      <c r="E250" s="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"/>
      <c r="S250" s="1"/>
      <c r="T250" s="1"/>
      <c r="U250" s="1"/>
      <c r="V250" s="3"/>
      <c r="W250" s="1"/>
      <c r="X250" s="1"/>
    </row>
    <row r="251" ht="16.5" customHeight="1">
      <c r="A251" s="1"/>
      <c r="B251" s="1"/>
      <c r="C251" s="1"/>
      <c r="D251" s="8"/>
      <c r="E251" s="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"/>
      <c r="S251" s="1"/>
      <c r="T251" s="1"/>
      <c r="U251" s="1"/>
      <c r="V251" s="3"/>
      <c r="W251" s="1"/>
      <c r="X251" s="1"/>
    </row>
    <row r="252" ht="16.5" customHeight="1">
      <c r="A252" s="1"/>
      <c r="B252" s="1"/>
      <c r="C252" s="1"/>
      <c r="D252" s="8"/>
      <c r="E252" s="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"/>
      <c r="S252" s="1"/>
      <c r="T252" s="1"/>
      <c r="U252" s="1"/>
      <c r="V252" s="3"/>
      <c r="W252" s="1"/>
      <c r="X252" s="1"/>
    </row>
    <row r="253" ht="16.5" customHeight="1">
      <c r="A253" s="1"/>
      <c r="B253" s="1"/>
      <c r="C253" s="1"/>
      <c r="D253" s="8"/>
      <c r="E253" s="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"/>
      <c r="S253" s="1"/>
      <c r="T253" s="1"/>
      <c r="U253" s="1"/>
      <c r="V253" s="3"/>
      <c r="W253" s="1"/>
      <c r="X253" s="1"/>
    </row>
    <row r="254" ht="16.5" customHeight="1">
      <c r="A254" s="1"/>
      <c r="B254" s="1"/>
      <c r="C254" s="1"/>
      <c r="D254" s="8"/>
      <c r="E254" s="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"/>
      <c r="S254" s="1"/>
      <c r="T254" s="1"/>
      <c r="U254" s="1"/>
      <c r="V254" s="3"/>
      <c r="W254" s="1"/>
      <c r="X254" s="1"/>
    </row>
    <row r="255" ht="16.5" customHeight="1">
      <c r="A255" s="1"/>
      <c r="B255" s="1"/>
      <c r="C255" s="1"/>
      <c r="D255" s="8"/>
      <c r="E255" s="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"/>
      <c r="S255" s="1"/>
      <c r="T255" s="1"/>
      <c r="U255" s="1"/>
      <c r="V255" s="3"/>
      <c r="W255" s="1"/>
      <c r="X255" s="1"/>
    </row>
    <row r="256" ht="16.5" customHeight="1">
      <c r="A256" s="1"/>
      <c r="B256" s="1"/>
      <c r="C256" s="1"/>
      <c r="D256" s="8"/>
      <c r="E256" s="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"/>
      <c r="S256" s="1"/>
      <c r="T256" s="1"/>
      <c r="U256" s="1"/>
      <c r="V256" s="3"/>
      <c r="W256" s="1"/>
      <c r="X256" s="1"/>
    </row>
    <row r="257" ht="16.5" customHeight="1">
      <c r="A257" s="1"/>
      <c r="B257" s="1"/>
      <c r="C257" s="1"/>
      <c r="D257" s="8"/>
      <c r="E257" s="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"/>
      <c r="S257" s="1"/>
      <c r="T257" s="1"/>
      <c r="U257" s="1"/>
      <c r="V257" s="3"/>
      <c r="W257" s="1"/>
      <c r="X257" s="1"/>
    </row>
    <row r="258" ht="16.5" customHeight="1">
      <c r="A258" s="1"/>
      <c r="B258" s="1"/>
      <c r="C258" s="1"/>
      <c r="D258" s="8"/>
      <c r="E258" s="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"/>
      <c r="S258" s="1"/>
      <c r="T258" s="1"/>
      <c r="U258" s="1"/>
      <c r="V258" s="3"/>
      <c r="W258" s="1"/>
      <c r="X258" s="1"/>
    </row>
    <row r="259" ht="16.5" customHeight="1">
      <c r="A259" s="1"/>
      <c r="B259" s="1"/>
      <c r="C259" s="1"/>
      <c r="D259" s="8"/>
      <c r="E259" s="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"/>
      <c r="S259" s="1"/>
      <c r="T259" s="1"/>
      <c r="U259" s="1"/>
      <c r="V259" s="3"/>
      <c r="W259" s="1"/>
      <c r="X259" s="1"/>
    </row>
    <row r="260" ht="16.5" customHeight="1">
      <c r="A260" s="1"/>
      <c r="B260" s="1"/>
      <c r="C260" s="1"/>
      <c r="D260" s="8"/>
      <c r="E260" s="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"/>
      <c r="S260" s="1"/>
      <c r="T260" s="1"/>
      <c r="U260" s="1"/>
      <c r="V260" s="3"/>
      <c r="W260" s="1"/>
      <c r="X260" s="1"/>
    </row>
    <row r="261" ht="16.5" customHeight="1">
      <c r="A261" s="1"/>
      <c r="B261" s="1"/>
      <c r="C261" s="1"/>
      <c r="D261" s="8"/>
      <c r="E261" s="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"/>
      <c r="S261" s="1"/>
      <c r="T261" s="1"/>
      <c r="U261" s="1"/>
      <c r="V261" s="3"/>
      <c r="W261" s="1"/>
      <c r="X261" s="1"/>
    </row>
    <row r="262" ht="16.5" customHeight="1">
      <c r="A262" s="1"/>
      <c r="B262" s="1"/>
      <c r="C262" s="1"/>
      <c r="D262" s="8"/>
      <c r="E262" s="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"/>
      <c r="S262" s="1"/>
      <c r="T262" s="1"/>
      <c r="U262" s="1"/>
      <c r="V262" s="3"/>
      <c r="W262" s="1"/>
      <c r="X262" s="1"/>
    </row>
    <row r="263" ht="16.5" customHeight="1">
      <c r="A263" s="1"/>
      <c r="B263" s="1"/>
      <c r="C263" s="1"/>
      <c r="D263" s="8"/>
      <c r="E263" s="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"/>
      <c r="S263" s="1"/>
      <c r="T263" s="1"/>
      <c r="U263" s="1"/>
      <c r="V263" s="3"/>
      <c r="W263" s="1"/>
      <c r="X263" s="1"/>
    </row>
    <row r="264" ht="16.5" customHeight="1">
      <c r="A264" s="1"/>
      <c r="B264" s="1"/>
      <c r="C264" s="1"/>
      <c r="D264" s="8"/>
      <c r="E264" s="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"/>
      <c r="S264" s="1"/>
      <c r="T264" s="1"/>
      <c r="U264" s="1"/>
      <c r="V264" s="3"/>
      <c r="W264" s="1"/>
      <c r="X264" s="1"/>
    </row>
    <row r="265" ht="16.5" customHeight="1">
      <c r="A265" s="1"/>
      <c r="B265" s="1"/>
      <c r="C265" s="1"/>
      <c r="D265" s="8"/>
      <c r="E265" s="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"/>
      <c r="S265" s="1"/>
      <c r="T265" s="1"/>
      <c r="U265" s="1"/>
      <c r="V265" s="3"/>
      <c r="W265" s="1"/>
      <c r="X265" s="1"/>
    </row>
    <row r="266" ht="16.5" customHeight="1">
      <c r="A266" s="1"/>
      <c r="B266" s="1"/>
      <c r="C266" s="1"/>
      <c r="D266" s="8"/>
      <c r="E266" s="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"/>
      <c r="S266" s="1"/>
      <c r="T266" s="1"/>
      <c r="U266" s="1"/>
      <c r="V266" s="3"/>
      <c r="W266" s="1"/>
      <c r="X266" s="1"/>
    </row>
    <row r="267" ht="16.5" customHeight="1">
      <c r="A267" s="1"/>
      <c r="B267" s="1"/>
      <c r="C267" s="1"/>
      <c r="D267" s="8"/>
      <c r="E267" s="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"/>
      <c r="S267" s="1"/>
      <c r="T267" s="1"/>
      <c r="U267" s="1"/>
      <c r="V267" s="3"/>
      <c r="W267" s="1"/>
      <c r="X267" s="1"/>
    </row>
    <row r="268" ht="16.5" customHeight="1">
      <c r="A268" s="1"/>
      <c r="B268" s="1"/>
      <c r="C268" s="1"/>
      <c r="D268" s="8"/>
      <c r="E268" s="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"/>
      <c r="S268" s="1"/>
      <c r="T268" s="1"/>
      <c r="U268" s="1"/>
      <c r="V268" s="3"/>
      <c r="W268" s="1"/>
      <c r="X268" s="1"/>
    </row>
    <row r="269" ht="16.5" customHeight="1">
      <c r="A269" s="1"/>
      <c r="B269" s="1"/>
      <c r="C269" s="1"/>
      <c r="D269" s="8"/>
      <c r="E269" s="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"/>
      <c r="S269" s="1"/>
      <c r="T269" s="1"/>
      <c r="U269" s="1"/>
      <c r="V269" s="3"/>
      <c r="W269" s="1"/>
      <c r="X269" s="1"/>
    </row>
    <row r="270" ht="16.5" customHeight="1">
      <c r="A270" s="1"/>
      <c r="B270" s="1"/>
      <c r="C270" s="1"/>
      <c r="D270" s="8"/>
      <c r="E270" s="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"/>
      <c r="S270" s="1"/>
      <c r="T270" s="1"/>
      <c r="U270" s="1"/>
      <c r="V270" s="3"/>
      <c r="W270" s="1"/>
      <c r="X270" s="1"/>
    </row>
    <row r="271" ht="16.5" customHeight="1">
      <c r="A271" s="1"/>
      <c r="B271" s="1"/>
      <c r="C271" s="1"/>
      <c r="D271" s="8"/>
      <c r="E271" s="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"/>
      <c r="S271" s="1"/>
      <c r="T271" s="1"/>
      <c r="U271" s="1"/>
      <c r="V271" s="3"/>
      <c r="W271" s="1"/>
      <c r="X271" s="1"/>
    </row>
    <row r="272" ht="16.5" customHeight="1">
      <c r="A272" s="1"/>
      <c r="B272" s="1"/>
      <c r="C272" s="1"/>
      <c r="D272" s="8"/>
      <c r="E272" s="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"/>
      <c r="S272" s="1"/>
      <c r="T272" s="1"/>
      <c r="U272" s="1"/>
      <c r="V272" s="3"/>
      <c r="W272" s="1"/>
      <c r="X272" s="1"/>
    </row>
    <row r="273" ht="16.5" customHeight="1">
      <c r="A273" s="1"/>
      <c r="B273" s="1"/>
      <c r="C273" s="1"/>
      <c r="D273" s="8"/>
      <c r="E273" s="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"/>
      <c r="S273" s="1"/>
      <c r="T273" s="1"/>
      <c r="U273" s="1"/>
      <c r="V273" s="3"/>
      <c r="W273" s="1"/>
      <c r="X273" s="1"/>
    </row>
    <row r="274" ht="16.5" customHeight="1">
      <c r="A274" s="1"/>
      <c r="B274" s="1"/>
      <c r="C274" s="1"/>
      <c r="D274" s="8"/>
      <c r="E274" s="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"/>
      <c r="S274" s="1"/>
      <c r="T274" s="1"/>
      <c r="U274" s="1"/>
      <c r="V274" s="3"/>
      <c r="W274" s="1"/>
      <c r="X274" s="1"/>
    </row>
    <row r="275" ht="16.5" customHeight="1">
      <c r="A275" s="1"/>
      <c r="B275" s="1"/>
      <c r="C275" s="1"/>
      <c r="D275" s="8"/>
      <c r="E275" s="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"/>
      <c r="S275" s="1"/>
      <c r="T275" s="1"/>
      <c r="U275" s="1"/>
      <c r="V275" s="3"/>
      <c r="W275" s="1"/>
      <c r="X275" s="1"/>
    </row>
    <row r="276" ht="16.5" customHeight="1">
      <c r="A276" s="1"/>
      <c r="B276" s="1"/>
      <c r="C276" s="1"/>
      <c r="D276" s="8"/>
      <c r="E276" s="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"/>
      <c r="S276" s="1"/>
      <c r="T276" s="1"/>
      <c r="U276" s="1"/>
      <c r="V276" s="3"/>
      <c r="W276" s="1"/>
      <c r="X276" s="1"/>
    </row>
    <row r="277" ht="16.5" customHeight="1">
      <c r="A277" s="1"/>
      <c r="B277" s="1"/>
      <c r="C277" s="1"/>
      <c r="D277" s="8"/>
      <c r="E277" s="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"/>
      <c r="S277" s="1"/>
      <c r="T277" s="1"/>
      <c r="U277" s="1"/>
      <c r="V277" s="3"/>
      <c r="W277" s="1"/>
      <c r="X277" s="1"/>
    </row>
    <row r="278" ht="16.5" customHeight="1">
      <c r="A278" s="1"/>
      <c r="B278" s="1"/>
      <c r="C278" s="1"/>
      <c r="D278" s="8"/>
      <c r="E278" s="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"/>
      <c r="S278" s="1"/>
      <c r="T278" s="1"/>
      <c r="U278" s="1"/>
      <c r="V278" s="3"/>
      <c r="W278" s="1"/>
      <c r="X278" s="1"/>
    </row>
    <row r="279" ht="16.5" customHeight="1">
      <c r="A279" s="1"/>
      <c r="B279" s="1"/>
      <c r="C279" s="1"/>
      <c r="D279" s="8"/>
      <c r="E279" s="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"/>
      <c r="S279" s="1"/>
      <c r="T279" s="1"/>
      <c r="U279" s="1"/>
      <c r="V279" s="3"/>
      <c r="W279" s="1"/>
      <c r="X279" s="1"/>
    </row>
    <row r="280" ht="16.5" customHeight="1">
      <c r="A280" s="1"/>
      <c r="B280" s="1"/>
      <c r="C280" s="1"/>
      <c r="D280" s="8"/>
      <c r="E280" s="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"/>
      <c r="S280" s="1"/>
      <c r="T280" s="1"/>
      <c r="U280" s="1"/>
      <c r="V280" s="3"/>
      <c r="W280" s="1"/>
      <c r="X280" s="1"/>
    </row>
    <row r="281" ht="16.5" customHeight="1">
      <c r="A281" s="1"/>
      <c r="B281" s="1"/>
      <c r="C281" s="1"/>
      <c r="D281" s="8"/>
      <c r="E281" s="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"/>
      <c r="S281" s="1"/>
      <c r="T281" s="1"/>
      <c r="U281" s="1"/>
      <c r="V281" s="3"/>
      <c r="W281" s="1"/>
      <c r="X281" s="1"/>
    </row>
    <row r="282" ht="16.5" customHeight="1">
      <c r="A282" s="1"/>
      <c r="B282" s="1"/>
      <c r="C282" s="1"/>
      <c r="D282" s="8"/>
      <c r="E282" s="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"/>
      <c r="S282" s="1"/>
      <c r="T282" s="1"/>
      <c r="U282" s="1"/>
      <c r="V282" s="3"/>
      <c r="W282" s="1"/>
      <c r="X282" s="1"/>
    </row>
    <row r="283" ht="16.5" customHeight="1">
      <c r="A283" s="1"/>
      <c r="B283" s="1"/>
      <c r="C283" s="1"/>
      <c r="D283" s="8"/>
      <c r="E283" s="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"/>
      <c r="S283" s="1"/>
      <c r="T283" s="1"/>
      <c r="U283" s="1"/>
      <c r="V283" s="3"/>
      <c r="W283" s="1"/>
      <c r="X283" s="1"/>
    </row>
    <row r="284" ht="16.5" customHeight="1">
      <c r="A284" s="1"/>
      <c r="B284" s="1"/>
      <c r="C284" s="1"/>
      <c r="D284" s="8"/>
      <c r="E284" s="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"/>
      <c r="S284" s="1"/>
      <c r="T284" s="1"/>
      <c r="U284" s="1"/>
      <c r="V284" s="3"/>
      <c r="W284" s="1"/>
      <c r="X284" s="1"/>
    </row>
    <row r="285" ht="16.5" customHeight="1">
      <c r="A285" s="1"/>
      <c r="B285" s="1"/>
      <c r="C285" s="1"/>
      <c r="D285" s="8"/>
      <c r="E285" s="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"/>
      <c r="S285" s="1"/>
      <c r="T285" s="1"/>
      <c r="U285" s="1"/>
      <c r="V285" s="3"/>
      <c r="W285" s="1"/>
      <c r="X285" s="1"/>
    </row>
    <row r="286" ht="16.5" customHeight="1">
      <c r="A286" s="1"/>
      <c r="B286" s="1"/>
      <c r="C286" s="1"/>
      <c r="D286" s="8"/>
      <c r="E286" s="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"/>
      <c r="S286" s="1"/>
      <c r="T286" s="1"/>
      <c r="U286" s="1"/>
      <c r="V286" s="3"/>
      <c r="W286" s="1"/>
      <c r="X286" s="1"/>
    </row>
    <row r="287" ht="16.5" customHeight="1">
      <c r="A287" s="1"/>
      <c r="B287" s="1"/>
      <c r="C287" s="1"/>
      <c r="D287" s="8"/>
      <c r="E287" s="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"/>
      <c r="S287" s="1"/>
      <c r="T287" s="1"/>
      <c r="U287" s="1"/>
      <c r="V287" s="3"/>
      <c r="W287" s="1"/>
      <c r="X287" s="1"/>
    </row>
    <row r="288" ht="16.5" customHeight="1">
      <c r="A288" s="1"/>
      <c r="B288" s="1"/>
      <c r="C288" s="1"/>
      <c r="D288" s="8"/>
      <c r="E288" s="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"/>
      <c r="S288" s="1"/>
      <c r="T288" s="1"/>
      <c r="U288" s="1"/>
      <c r="V288" s="3"/>
      <c r="W288" s="1"/>
      <c r="X288" s="1"/>
    </row>
    <row r="289" ht="16.5" customHeight="1">
      <c r="A289" s="1"/>
      <c r="B289" s="1"/>
      <c r="C289" s="1"/>
      <c r="D289" s="8"/>
      <c r="E289" s="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"/>
      <c r="S289" s="1"/>
      <c r="T289" s="1"/>
      <c r="U289" s="1"/>
      <c r="V289" s="3"/>
      <c r="W289" s="1"/>
      <c r="X289" s="1"/>
    </row>
    <row r="290" ht="16.5" customHeight="1">
      <c r="A290" s="1"/>
      <c r="B290" s="1"/>
      <c r="C290" s="1"/>
      <c r="D290" s="8"/>
      <c r="E290" s="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"/>
      <c r="S290" s="1"/>
      <c r="T290" s="1"/>
      <c r="U290" s="1"/>
      <c r="V290" s="3"/>
      <c r="W290" s="1"/>
      <c r="X290" s="1"/>
    </row>
    <row r="291" ht="16.5" customHeight="1">
      <c r="A291" s="1"/>
      <c r="B291" s="1"/>
      <c r="C291" s="1"/>
      <c r="D291" s="8"/>
      <c r="E291" s="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"/>
      <c r="S291" s="1"/>
      <c r="T291" s="1"/>
      <c r="U291" s="1"/>
      <c r="V291" s="3"/>
      <c r="W291" s="1"/>
      <c r="X291" s="1"/>
    </row>
    <row r="292" ht="16.5" customHeight="1">
      <c r="A292" s="1"/>
      <c r="B292" s="1"/>
      <c r="C292" s="1"/>
      <c r="D292" s="8"/>
      <c r="E292" s="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"/>
      <c r="S292" s="1"/>
      <c r="T292" s="1"/>
      <c r="U292" s="1"/>
      <c r="V292" s="3"/>
      <c r="W292" s="1"/>
      <c r="X292" s="1"/>
    </row>
    <row r="293" ht="16.5" customHeight="1">
      <c r="A293" s="1"/>
      <c r="B293" s="1"/>
      <c r="C293" s="1"/>
      <c r="D293" s="8"/>
      <c r="E293" s="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"/>
      <c r="S293" s="1"/>
      <c r="T293" s="1"/>
      <c r="U293" s="1"/>
      <c r="V293" s="3"/>
      <c r="W293" s="1"/>
      <c r="X293" s="1"/>
    </row>
    <row r="294" ht="16.5" customHeight="1">
      <c r="A294" s="1"/>
      <c r="B294" s="1"/>
      <c r="C294" s="1"/>
      <c r="D294" s="8"/>
      <c r="E294" s="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"/>
      <c r="S294" s="1"/>
      <c r="T294" s="1"/>
      <c r="U294" s="1"/>
      <c r="V294" s="3"/>
      <c r="W294" s="1"/>
      <c r="X294" s="1"/>
    </row>
    <row r="295" ht="16.5" customHeight="1">
      <c r="A295" s="1"/>
      <c r="B295" s="1"/>
      <c r="C295" s="1"/>
      <c r="D295" s="8"/>
      <c r="E295" s="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"/>
      <c r="S295" s="1"/>
      <c r="T295" s="1"/>
      <c r="U295" s="1"/>
      <c r="V295" s="3"/>
      <c r="W295" s="1"/>
      <c r="X295" s="1"/>
    </row>
    <row r="296" ht="16.5" customHeight="1">
      <c r="A296" s="1"/>
      <c r="B296" s="1"/>
      <c r="C296" s="1"/>
      <c r="D296" s="8"/>
      <c r="E296" s="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"/>
      <c r="S296" s="1"/>
      <c r="T296" s="1"/>
      <c r="U296" s="1"/>
      <c r="V296" s="3"/>
      <c r="W296" s="1"/>
      <c r="X296" s="1"/>
    </row>
    <row r="297" ht="16.5" customHeight="1">
      <c r="A297" s="1"/>
      <c r="B297" s="1"/>
      <c r="C297" s="1"/>
      <c r="D297" s="8"/>
      <c r="E297" s="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"/>
      <c r="S297" s="1"/>
      <c r="T297" s="1"/>
      <c r="U297" s="1"/>
      <c r="V297" s="3"/>
      <c r="W297" s="1"/>
      <c r="X297" s="1"/>
    </row>
    <row r="298" ht="16.5" customHeight="1">
      <c r="A298" s="1"/>
      <c r="B298" s="1"/>
      <c r="C298" s="1"/>
      <c r="D298" s="8"/>
      <c r="E298" s="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"/>
      <c r="S298" s="1"/>
      <c r="T298" s="1"/>
      <c r="U298" s="1"/>
      <c r="V298" s="3"/>
      <c r="W298" s="1"/>
      <c r="X298" s="1"/>
    </row>
    <row r="299" ht="16.5" customHeight="1">
      <c r="A299" s="1"/>
      <c r="B299" s="1"/>
      <c r="C299" s="1"/>
      <c r="D299" s="8"/>
      <c r="E299" s="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"/>
      <c r="S299" s="1"/>
      <c r="T299" s="1"/>
      <c r="U299" s="1"/>
      <c r="V299" s="3"/>
      <c r="W299" s="1"/>
      <c r="X299" s="1"/>
    </row>
    <row r="300" ht="16.5" customHeight="1">
      <c r="A300" s="1"/>
      <c r="B300" s="1"/>
      <c r="C300" s="1"/>
      <c r="D300" s="8"/>
      <c r="E300" s="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"/>
      <c r="S300" s="1"/>
      <c r="T300" s="1"/>
      <c r="U300" s="1"/>
      <c r="V300" s="3"/>
      <c r="W300" s="1"/>
      <c r="X300" s="1"/>
    </row>
    <row r="301" ht="16.5" customHeight="1">
      <c r="A301" s="1"/>
      <c r="B301" s="1"/>
      <c r="C301" s="1"/>
      <c r="D301" s="8"/>
      <c r="E301" s="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"/>
      <c r="S301" s="1"/>
      <c r="T301" s="1"/>
      <c r="U301" s="1"/>
      <c r="V301" s="3"/>
      <c r="W301" s="1"/>
      <c r="X301" s="1"/>
    </row>
    <row r="302" ht="16.5" customHeight="1">
      <c r="A302" s="1"/>
      <c r="B302" s="1"/>
      <c r="C302" s="1"/>
      <c r="D302" s="8"/>
      <c r="E302" s="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"/>
      <c r="S302" s="1"/>
      <c r="T302" s="1"/>
      <c r="U302" s="1"/>
      <c r="V302" s="3"/>
      <c r="W302" s="1"/>
      <c r="X302" s="1"/>
    </row>
    <row r="303" ht="16.5" customHeight="1">
      <c r="A303" s="1"/>
      <c r="B303" s="1"/>
      <c r="C303" s="1"/>
      <c r="D303" s="8"/>
      <c r="E303" s="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"/>
      <c r="S303" s="1"/>
      <c r="T303" s="1"/>
      <c r="U303" s="1"/>
      <c r="V303" s="3"/>
      <c r="W303" s="1"/>
      <c r="X303" s="1"/>
    </row>
    <row r="304" ht="16.5" customHeight="1">
      <c r="A304" s="1"/>
      <c r="B304" s="1"/>
      <c r="C304" s="1"/>
      <c r="D304" s="8"/>
      <c r="E304" s="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"/>
      <c r="S304" s="1"/>
      <c r="T304" s="1"/>
      <c r="U304" s="1"/>
      <c r="V304" s="3"/>
      <c r="W304" s="1"/>
      <c r="X304" s="1"/>
    </row>
    <row r="305" ht="16.5" customHeight="1">
      <c r="A305" s="1"/>
      <c r="B305" s="1"/>
      <c r="C305" s="1"/>
      <c r="D305" s="8"/>
      <c r="E305" s="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"/>
      <c r="S305" s="1"/>
      <c r="T305" s="1"/>
      <c r="U305" s="1"/>
      <c r="V305" s="3"/>
      <c r="W305" s="1"/>
      <c r="X305" s="1"/>
    </row>
    <row r="306" ht="16.5" customHeight="1">
      <c r="A306" s="1"/>
      <c r="B306" s="1"/>
      <c r="C306" s="1"/>
      <c r="D306" s="8"/>
      <c r="E306" s="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"/>
      <c r="S306" s="1"/>
      <c r="T306" s="1"/>
      <c r="U306" s="1"/>
      <c r="V306" s="3"/>
      <c r="W306" s="1"/>
      <c r="X306" s="1"/>
    </row>
    <row r="307" ht="16.5" customHeight="1">
      <c r="A307" s="1"/>
      <c r="B307" s="1"/>
      <c r="C307" s="1"/>
      <c r="D307" s="8"/>
      <c r="E307" s="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"/>
      <c r="S307" s="1"/>
      <c r="T307" s="1"/>
      <c r="U307" s="1"/>
      <c r="V307" s="3"/>
      <c r="W307" s="1"/>
      <c r="X307" s="1"/>
    </row>
    <row r="308" ht="16.5" customHeight="1">
      <c r="A308" s="1"/>
      <c r="B308" s="1"/>
      <c r="C308" s="1"/>
      <c r="D308" s="8"/>
      <c r="E308" s="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"/>
      <c r="S308" s="1"/>
      <c r="T308" s="1"/>
      <c r="U308" s="1"/>
      <c r="V308" s="3"/>
      <c r="W308" s="1"/>
      <c r="X308" s="1"/>
    </row>
    <row r="309" ht="16.5" customHeight="1">
      <c r="A309" s="1"/>
      <c r="B309" s="1"/>
      <c r="C309" s="1"/>
      <c r="D309" s="8"/>
      <c r="E309" s="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"/>
      <c r="S309" s="1"/>
      <c r="T309" s="1"/>
      <c r="U309" s="1"/>
      <c r="V309" s="3"/>
      <c r="W309" s="1"/>
      <c r="X309" s="1"/>
    </row>
    <row r="310" ht="16.5" customHeight="1">
      <c r="A310" s="1"/>
      <c r="B310" s="1"/>
      <c r="C310" s="1"/>
      <c r="D310" s="8"/>
      <c r="E310" s="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"/>
      <c r="S310" s="1"/>
      <c r="T310" s="1"/>
      <c r="U310" s="1"/>
      <c r="V310" s="3"/>
      <c r="W310" s="1"/>
      <c r="X310" s="1"/>
    </row>
    <row r="311" ht="16.5" customHeight="1">
      <c r="A311" s="1"/>
      <c r="B311" s="1"/>
      <c r="C311" s="1"/>
      <c r="D311" s="8"/>
      <c r="E311" s="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"/>
      <c r="S311" s="1"/>
      <c r="T311" s="1"/>
      <c r="U311" s="1"/>
      <c r="V311" s="3"/>
      <c r="W311" s="1"/>
      <c r="X311" s="1"/>
    </row>
    <row r="312" ht="16.5" customHeight="1">
      <c r="A312" s="1"/>
      <c r="B312" s="1"/>
      <c r="C312" s="1"/>
      <c r="D312" s="8"/>
      <c r="E312" s="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"/>
      <c r="S312" s="1"/>
      <c r="T312" s="1"/>
      <c r="U312" s="1"/>
      <c r="V312" s="3"/>
      <c r="W312" s="1"/>
      <c r="X312" s="1"/>
    </row>
    <row r="313" ht="16.5" customHeight="1">
      <c r="A313" s="1"/>
      <c r="B313" s="1"/>
      <c r="C313" s="1"/>
      <c r="D313" s="8"/>
      <c r="E313" s="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"/>
      <c r="S313" s="1"/>
      <c r="T313" s="1"/>
      <c r="U313" s="1"/>
      <c r="V313" s="3"/>
      <c r="W313" s="1"/>
      <c r="X313" s="1"/>
    </row>
    <row r="314" ht="16.5" customHeight="1">
      <c r="A314" s="1"/>
      <c r="B314" s="1"/>
      <c r="C314" s="1"/>
      <c r="D314" s="8"/>
      <c r="E314" s="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"/>
      <c r="S314" s="1"/>
      <c r="T314" s="1"/>
      <c r="U314" s="1"/>
      <c r="V314" s="3"/>
      <c r="W314" s="1"/>
      <c r="X314" s="1"/>
    </row>
    <row r="315" ht="16.5" customHeight="1">
      <c r="A315" s="1"/>
      <c r="B315" s="1"/>
      <c r="C315" s="1"/>
      <c r="D315" s="8"/>
      <c r="E315" s="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"/>
      <c r="S315" s="1"/>
      <c r="T315" s="1"/>
      <c r="U315" s="1"/>
      <c r="V315" s="3"/>
      <c r="W315" s="1"/>
      <c r="X315" s="1"/>
    </row>
    <row r="316" ht="16.5" customHeight="1">
      <c r="A316" s="1"/>
      <c r="B316" s="1"/>
      <c r="C316" s="1"/>
      <c r="D316" s="8"/>
      <c r="E316" s="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"/>
      <c r="S316" s="1"/>
      <c r="T316" s="1"/>
      <c r="U316" s="1"/>
      <c r="V316" s="3"/>
      <c r="W316" s="1"/>
      <c r="X316" s="1"/>
    </row>
    <row r="317" ht="16.5" customHeight="1">
      <c r="A317" s="1"/>
      <c r="B317" s="1"/>
      <c r="C317" s="1"/>
      <c r="D317" s="8"/>
      <c r="E317" s="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"/>
      <c r="S317" s="1"/>
      <c r="T317" s="1"/>
      <c r="U317" s="1"/>
      <c r="V317" s="3"/>
      <c r="W317" s="1"/>
      <c r="X317" s="1"/>
    </row>
    <row r="318" ht="16.5" customHeight="1">
      <c r="A318" s="1"/>
      <c r="B318" s="1"/>
      <c r="C318" s="1"/>
      <c r="D318" s="8"/>
      <c r="E318" s="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"/>
      <c r="S318" s="1"/>
      <c r="T318" s="1"/>
      <c r="U318" s="1"/>
      <c r="V318" s="3"/>
      <c r="W318" s="1"/>
      <c r="X318" s="1"/>
    </row>
    <row r="319" ht="16.5" customHeight="1">
      <c r="A319" s="1"/>
      <c r="B319" s="1"/>
      <c r="C319" s="1"/>
      <c r="D319" s="8"/>
      <c r="E319" s="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"/>
      <c r="S319" s="1"/>
      <c r="T319" s="1"/>
      <c r="U319" s="1"/>
      <c r="V319" s="3"/>
      <c r="W319" s="1"/>
      <c r="X319" s="1"/>
    </row>
    <row r="320" ht="16.5" customHeight="1">
      <c r="A320" s="1"/>
      <c r="B320" s="1"/>
      <c r="C320" s="1"/>
      <c r="D320" s="8"/>
      <c r="E320" s="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"/>
      <c r="S320" s="1"/>
      <c r="T320" s="1"/>
      <c r="U320" s="1"/>
      <c r="V320" s="3"/>
      <c r="W320" s="1"/>
      <c r="X320" s="1"/>
    </row>
    <row r="321" ht="16.5" customHeight="1">
      <c r="A321" s="1"/>
      <c r="B321" s="1"/>
      <c r="C321" s="1"/>
      <c r="D321" s="8"/>
      <c r="E321" s="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"/>
      <c r="S321" s="1"/>
      <c r="T321" s="1"/>
      <c r="U321" s="1"/>
      <c r="V321" s="3"/>
      <c r="W321" s="1"/>
      <c r="X321" s="1"/>
    </row>
    <row r="322" ht="16.5" customHeight="1">
      <c r="A322" s="1"/>
      <c r="B322" s="1"/>
      <c r="C322" s="1"/>
      <c r="D322" s="8"/>
      <c r="E322" s="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"/>
      <c r="S322" s="1"/>
      <c r="T322" s="1"/>
      <c r="U322" s="1"/>
      <c r="V322" s="3"/>
      <c r="W322" s="1"/>
      <c r="X322" s="1"/>
    </row>
    <row r="323" ht="16.5" customHeight="1">
      <c r="A323" s="1"/>
      <c r="B323" s="1"/>
      <c r="C323" s="1"/>
      <c r="D323" s="8"/>
      <c r="E323" s="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"/>
      <c r="S323" s="1"/>
      <c r="T323" s="1"/>
      <c r="U323" s="1"/>
      <c r="V323" s="3"/>
      <c r="W323" s="1"/>
      <c r="X323" s="1"/>
    </row>
    <row r="324" ht="16.5" customHeight="1">
      <c r="A324" s="1"/>
      <c r="B324" s="1"/>
      <c r="C324" s="1"/>
      <c r="D324" s="8"/>
      <c r="E324" s="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"/>
      <c r="S324" s="1"/>
      <c r="T324" s="1"/>
      <c r="U324" s="1"/>
      <c r="V324" s="3"/>
      <c r="W324" s="1"/>
      <c r="X324" s="1"/>
    </row>
    <row r="325" ht="16.5" customHeight="1">
      <c r="A325" s="1"/>
      <c r="B325" s="1"/>
      <c r="C325" s="1"/>
      <c r="D325" s="8"/>
      <c r="E325" s="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"/>
      <c r="S325" s="1"/>
      <c r="T325" s="1"/>
      <c r="U325" s="1"/>
      <c r="V325" s="3"/>
      <c r="W325" s="1"/>
      <c r="X325" s="1"/>
    </row>
    <row r="326" ht="16.5" customHeight="1">
      <c r="A326" s="1"/>
      <c r="B326" s="1"/>
      <c r="C326" s="1"/>
      <c r="D326" s="8"/>
      <c r="E326" s="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"/>
      <c r="S326" s="1"/>
      <c r="T326" s="1"/>
      <c r="U326" s="1"/>
      <c r="V326" s="3"/>
      <c r="W326" s="1"/>
      <c r="X326" s="1"/>
    </row>
    <row r="327" ht="16.5" customHeight="1">
      <c r="A327" s="1"/>
      <c r="B327" s="1"/>
      <c r="C327" s="1"/>
      <c r="D327" s="8"/>
      <c r="E327" s="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"/>
      <c r="S327" s="1"/>
      <c r="T327" s="1"/>
      <c r="U327" s="1"/>
      <c r="V327" s="3"/>
      <c r="W327" s="1"/>
      <c r="X327" s="1"/>
    </row>
    <row r="328" ht="16.5" customHeight="1">
      <c r="A328" s="1"/>
      <c r="B328" s="1"/>
      <c r="C328" s="1"/>
      <c r="D328" s="8"/>
      <c r="E328" s="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"/>
      <c r="S328" s="1"/>
      <c r="T328" s="1"/>
      <c r="U328" s="1"/>
      <c r="V328" s="3"/>
      <c r="W328" s="1"/>
      <c r="X328" s="1"/>
    </row>
    <row r="329" ht="16.5" customHeight="1">
      <c r="A329" s="1"/>
      <c r="B329" s="1"/>
      <c r="C329" s="1"/>
      <c r="D329" s="8"/>
      <c r="E329" s="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"/>
      <c r="S329" s="1"/>
      <c r="T329" s="1"/>
      <c r="U329" s="1"/>
      <c r="V329" s="3"/>
      <c r="W329" s="1"/>
      <c r="X329" s="1"/>
    </row>
    <row r="330" ht="16.5" customHeight="1">
      <c r="A330" s="1"/>
      <c r="B330" s="1"/>
      <c r="C330" s="1"/>
      <c r="D330" s="8"/>
      <c r="E330" s="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"/>
      <c r="S330" s="1"/>
      <c r="T330" s="1"/>
      <c r="U330" s="1"/>
      <c r="V330" s="3"/>
      <c r="W330" s="1"/>
      <c r="X330" s="1"/>
    </row>
    <row r="331" ht="16.5" customHeight="1">
      <c r="A331" s="1"/>
      <c r="B331" s="1"/>
      <c r="C331" s="1"/>
      <c r="D331" s="8"/>
      <c r="E331" s="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"/>
      <c r="S331" s="1"/>
      <c r="T331" s="1"/>
      <c r="U331" s="1"/>
      <c r="V331" s="3"/>
      <c r="W331" s="1"/>
      <c r="X331" s="1"/>
    </row>
    <row r="332" ht="16.5" customHeight="1">
      <c r="A332" s="1"/>
      <c r="B332" s="1"/>
      <c r="C332" s="1"/>
      <c r="D332" s="8"/>
      <c r="E332" s="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"/>
      <c r="S332" s="1"/>
      <c r="T332" s="1"/>
      <c r="U332" s="1"/>
      <c r="V332" s="3"/>
      <c r="W332" s="1"/>
      <c r="X332" s="1"/>
    </row>
    <row r="333" ht="16.5" customHeight="1">
      <c r="A333" s="1"/>
      <c r="B333" s="1"/>
      <c r="C333" s="1"/>
      <c r="D333" s="8"/>
      <c r="E333" s="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"/>
      <c r="S333" s="1"/>
      <c r="T333" s="1"/>
      <c r="U333" s="1"/>
      <c r="V333" s="3"/>
      <c r="W333" s="1"/>
      <c r="X333" s="1"/>
    </row>
    <row r="334" ht="16.5" customHeight="1">
      <c r="A334" s="1"/>
      <c r="B334" s="1"/>
      <c r="C334" s="1"/>
      <c r="D334" s="8"/>
      <c r="E334" s="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"/>
      <c r="S334" s="1"/>
      <c r="T334" s="1"/>
      <c r="U334" s="1"/>
      <c r="V334" s="3"/>
      <c r="W334" s="1"/>
      <c r="X334" s="1"/>
    </row>
    <row r="335" ht="16.5" customHeight="1">
      <c r="A335" s="1"/>
      <c r="B335" s="1"/>
      <c r="C335" s="1"/>
      <c r="D335" s="8"/>
      <c r="E335" s="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"/>
      <c r="S335" s="1"/>
      <c r="T335" s="1"/>
      <c r="U335" s="1"/>
      <c r="V335" s="3"/>
      <c r="W335" s="1"/>
      <c r="X335" s="1"/>
    </row>
    <row r="336" ht="16.5" customHeight="1">
      <c r="A336" s="1"/>
      <c r="B336" s="1"/>
      <c r="C336" s="1"/>
      <c r="D336" s="8"/>
      <c r="E336" s="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"/>
      <c r="S336" s="1"/>
      <c r="T336" s="1"/>
      <c r="U336" s="1"/>
      <c r="V336" s="3"/>
      <c r="W336" s="1"/>
      <c r="X336" s="1"/>
    </row>
    <row r="337" ht="16.5" customHeight="1">
      <c r="A337" s="1"/>
      <c r="B337" s="1"/>
      <c r="C337" s="1"/>
      <c r="D337" s="8"/>
      <c r="E337" s="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"/>
      <c r="S337" s="1"/>
      <c r="T337" s="1"/>
      <c r="U337" s="1"/>
      <c r="V337" s="3"/>
      <c r="W337" s="1"/>
      <c r="X337" s="1"/>
    </row>
    <row r="338" ht="16.5" customHeight="1">
      <c r="A338" s="1"/>
      <c r="B338" s="1"/>
      <c r="C338" s="1"/>
      <c r="D338" s="8"/>
      <c r="E338" s="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"/>
      <c r="S338" s="1"/>
      <c r="T338" s="1"/>
      <c r="U338" s="1"/>
      <c r="V338" s="3"/>
      <c r="W338" s="1"/>
      <c r="X338" s="1"/>
    </row>
    <row r="339" ht="16.5" customHeight="1">
      <c r="A339" s="1"/>
      <c r="B339" s="1"/>
      <c r="C339" s="1"/>
      <c r="D339" s="8"/>
      <c r="E339" s="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"/>
      <c r="S339" s="1"/>
      <c r="T339" s="1"/>
      <c r="U339" s="1"/>
      <c r="V339" s="3"/>
      <c r="W339" s="1"/>
      <c r="X339" s="1"/>
    </row>
    <row r="340" ht="16.5" customHeight="1">
      <c r="A340" s="1"/>
      <c r="B340" s="1"/>
      <c r="C340" s="1"/>
      <c r="D340" s="8"/>
      <c r="E340" s="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"/>
      <c r="S340" s="1"/>
      <c r="T340" s="1"/>
      <c r="U340" s="1"/>
      <c r="V340" s="3"/>
      <c r="W340" s="1"/>
      <c r="X340" s="1"/>
    </row>
    <row r="341" ht="16.5" customHeight="1">
      <c r="A341" s="1"/>
      <c r="B341" s="1"/>
      <c r="C341" s="1"/>
      <c r="D341" s="8"/>
      <c r="E341" s="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"/>
      <c r="S341" s="1"/>
      <c r="T341" s="1"/>
      <c r="U341" s="1"/>
      <c r="V341" s="3"/>
      <c r="W341" s="1"/>
      <c r="X341" s="1"/>
    </row>
    <row r="342" ht="16.5" customHeight="1">
      <c r="A342" s="1"/>
      <c r="B342" s="1"/>
      <c r="C342" s="1"/>
      <c r="D342" s="8"/>
      <c r="E342" s="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"/>
      <c r="S342" s="1"/>
      <c r="T342" s="1"/>
      <c r="U342" s="1"/>
      <c r="V342" s="3"/>
      <c r="W342" s="1"/>
      <c r="X342" s="1"/>
    </row>
    <row r="343" ht="16.5" customHeight="1">
      <c r="A343" s="1"/>
      <c r="B343" s="1"/>
      <c r="C343" s="1"/>
      <c r="D343" s="8"/>
      <c r="E343" s="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"/>
      <c r="S343" s="1"/>
      <c r="T343" s="1"/>
      <c r="U343" s="1"/>
      <c r="V343" s="3"/>
      <c r="W343" s="1"/>
      <c r="X343" s="1"/>
    </row>
    <row r="344" ht="16.5" customHeight="1">
      <c r="A344" s="1"/>
      <c r="B344" s="1"/>
      <c r="C344" s="1"/>
      <c r="D344" s="8"/>
      <c r="E344" s="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"/>
      <c r="S344" s="1"/>
      <c r="T344" s="1"/>
      <c r="U344" s="1"/>
      <c r="V344" s="3"/>
      <c r="W344" s="1"/>
      <c r="X344" s="1"/>
    </row>
    <row r="345" ht="16.5" customHeight="1">
      <c r="A345" s="1"/>
      <c r="B345" s="1"/>
      <c r="C345" s="1"/>
      <c r="D345" s="8"/>
      <c r="E345" s="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"/>
      <c r="S345" s="1"/>
      <c r="T345" s="1"/>
      <c r="U345" s="1"/>
      <c r="V345" s="3"/>
      <c r="W345" s="1"/>
      <c r="X345" s="1"/>
    </row>
    <row r="346" ht="16.5" customHeight="1">
      <c r="A346" s="1"/>
      <c r="B346" s="1"/>
      <c r="C346" s="1"/>
      <c r="D346" s="8"/>
      <c r="E346" s="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"/>
      <c r="S346" s="1"/>
      <c r="T346" s="1"/>
      <c r="U346" s="1"/>
      <c r="V346" s="3"/>
      <c r="W346" s="1"/>
      <c r="X346" s="1"/>
    </row>
    <row r="347" ht="16.5" customHeight="1">
      <c r="A347" s="1"/>
      <c r="B347" s="1"/>
      <c r="C347" s="1"/>
      <c r="D347" s="8"/>
      <c r="E347" s="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"/>
      <c r="S347" s="1"/>
      <c r="T347" s="1"/>
      <c r="U347" s="1"/>
      <c r="V347" s="3"/>
      <c r="W347" s="1"/>
      <c r="X347" s="1"/>
    </row>
    <row r="348" ht="16.5" customHeight="1">
      <c r="A348" s="1"/>
      <c r="B348" s="1"/>
      <c r="C348" s="1"/>
      <c r="D348" s="8"/>
      <c r="E348" s="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"/>
      <c r="S348" s="1"/>
      <c r="T348" s="1"/>
      <c r="U348" s="1"/>
      <c r="V348" s="3"/>
      <c r="W348" s="1"/>
      <c r="X348" s="1"/>
    </row>
    <row r="349" ht="16.5" customHeight="1">
      <c r="A349" s="1"/>
      <c r="B349" s="1"/>
      <c r="C349" s="1"/>
      <c r="D349" s="8"/>
      <c r="E349" s="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"/>
      <c r="S349" s="1"/>
      <c r="T349" s="1"/>
      <c r="U349" s="1"/>
      <c r="V349" s="3"/>
      <c r="W349" s="1"/>
      <c r="X349" s="1"/>
    </row>
    <row r="350" ht="16.5" customHeight="1">
      <c r="A350" s="1"/>
      <c r="B350" s="1"/>
      <c r="C350" s="1"/>
      <c r="D350" s="8"/>
      <c r="E350" s="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"/>
      <c r="S350" s="1"/>
      <c r="T350" s="1"/>
      <c r="U350" s="1"/>
      <c r="V350" s="3"/>
      <c r="W350" s="1"/>
      <c r="X350" s="1"/>
    </row>
    <row r="351" ht="16.5" customHeight="1">
      <c r="A351" s="1"/>
      <c r="B351" s="1"/>
      <c r="C351" s="1"/>
      <c r="D351" s="8"/>
      <c r="E351" s="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"/>
      <c r="S351" s="1"/>
      <c r="T351" s="1"/>
      <c r="U351" s="1"/>
      <c r="V351" s="3"/>
      <c r="W351" s="1"/>
      <c r="X351" s="1"/>
    </row>
    <row r="352" ht="16.5" customHeight="1">
      <c r="A352" s="1"/>
      <c r="B352" s="1"/>
      <c r="C352" s="1"/>
      <c r="D352" s="8"/>
      <c r="E352" s="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"/>
      <c r="S352" s="1"/>
      <c r="T352" s="1"/>
      <c r="U352" s="1"/>
      <c r="V352" s="3"/>
      <c r="W352" s="1"/>
      <c r="X352" s="1"/>
    </row>
    <row r="353" ht="16.5" customHeight="1">
      <c r="A353" s="1"/>
      <c r="B353" s="1"/>
      <c r="C353" s="1"/>
      <c r="D353" s="8"/>
      <c r="E353" s="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"/>
      <c r="S353" s="1"/>
      <c r="T353" s="1"/>
      <c r="U353" s="1"/>
      <c r="V353" s="3"/>
      <c r="W353" s="1"/>
      <c r="X353" s="1"/>
    </row>
    <row r="354" ht="16.5" customHeight="1">
      <c r="A354" s="1"/>
      <c r="B354" s="1"/>
      <c r="C354" s="1"/>
      <c r="D354" s="8"/>
      <c r="E354" s="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"/>
      <c r="S354" s="1"/>
      <c r="T354" s="1"/>
      <c r="U354" s="1"/>
      <c r="V354" s="3"/>
      <c r="W354" s="1"/>
      <c r="X354" s="1"/>
    </row>
    <row r="355" ht="16.5" customHeight="1">
      <c r="A355" s="1"/>
      <c r="B355" s="1"/>
      <c r="C355" s="1"/>
      <c r="D355" s="8"/>
      <c r="E355" s="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"/>
      <c r="S355" s="1"/>
      <c r="T355" s="1"/>
      <c r="U355" s="1"/>
      <c r="V355" s="3"/>
      <c r="W355" s="1"/>
      <c r="X355" s="1"/>
    </row>
    <row r="356" ht="16.5" customHeight="1">
      <c r="A356" s="1"/>
      <c r="B356" s="1"/>
      <c r="C356" s="1"/>
      <c r="D356" s="8"/>
      <c r="E356" s="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"/>
      <c r="S356" s="1"/>
      <c r="T356" s="1"/>
      <c r="U356" s="1"/>
      <c r="V356" s="3"/>
      <c r="W356" s="1"/>
      <c r="X356" s="1"/>
    </row>
    <row r="357" ht="16.5" customHeight="1">
      <c r="A357" s="1"/>
      <c r="B357" s="1"/>
      <c r="C357" s="1"/>
      <c r="D357" s="8"/>
      <c r="E357" s="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"/>
      <c r="S357" s="1"/>
      <c r="T357" s="1"/>
      <c r="U357" s="1"/>
      <c r="V357" s="3"/>
      <c r="W357" s="1"/>
      <c r="X357" s="1"/>
    </row>
    <row r="358" ht="16.5" customHeight="1">
      <c r="A358" s="1"/>
      <c r="B358" s="1"/>
      <c r="C358" s="1"/>
      <c r="D358" s="8"/>
      <c r="E358" s="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"/>
      <c r="S358" s="1"/>
      <c r="T358" s="1"/>
      <c r="U358" s="1"/>
      <c r="V358" s="3"/>
      <c r="W358" s="1"/>
      <c r="X358" s="1"/>
    </row>
    <row r="359" ht="16.5" customHeight="1">
      <c r="A359" s="1"/>
      <c r="B359" s="1"/>
      <c r="C359" s="1"/>
      <c r="D359" s="8"/>
      <c r="E359" s="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"/>
      <c r="S359" s="1"/>
      <c r="T359" s="1"/>
      <c r="U359" s="1"/>
      <c r="V359" s="3"/>
      <c r="W359" s="1"/>
      <c r="X359" s="1"/>
    </row>
    <row r="360" ht="16.5" customHeight="1">
      <c r="A360" s="1"/>
      <c r="B360" s="1"/>
      <c r="C360" s="1"/>
      <c r="D360" s="8"/>
      <c r="E360" s="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"/>
      <c r="S360" s="1"/>
      <c r="T360" s="1"/>
      <c r="U360" s="1"/>
      <c r="V360" s="3"/>
      <c r="W360" s="1"/>
      <c r="X360" s="1"/>
    </row>
    <row r="361" ht="16.5" customHeight="1">
      <c r="A361" s="1"/>
      <c r="B361" s="1"/>
      <c r="C361" s="1"/>
      <c r="D361" s="8"/>
      <c r="E361" s="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"/>
      <c r="S361" s="1"/>
      <c r="T361" s="1"/>
      <c r="U361" s="1"/>
      <c r="V361" s="3"/>
      <c r="W361" s="1"/>
      <c r="X361" s="1"/>
    </row>
    <row r="362" ht="16.5" customHeight="1">
      <c r="A362" s="1"/>
      <c r="B362" s="1"/>
      <c r="C362" s="1"/>
      <c r="D362" s="8"/>
      <c r="E362" s="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"/>
      <c r="S362" s="1"/>
      <c r="T362" s="1"/>
      <c r="U362" s="1"/>
      <c r="V362" s="3"/>
      <c r="W362" s="1"/>
      <c r="X362" s="1"/>
    </row>
    <row r="363" ht="16.5" customHeight="1">
      <c r="A363" s="1"/>
      <c r="B363" s="1"/>
      <c r="C363" s="1"/>
      <c r="D363" s="8"/>
      <c r="E363" s="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"/>
      <c r="S363" s="1"/>
      <c r="T363" s="1"/>
      <c r="U363" s="1"/>
      <c r="V363" s="3"/>
      <c r="W363" s="1"/>
      <c r="X363" s="1"/>
    </row>
    <row r="364" ht="16.5" customHeight="1">
      <c r="A364" s="1"/>
      <c r="B364" s="1"/>
      <c r="C364" s="1"/>
      <c r="D364" s="8"/>
      <c r="E364" s="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"/>
      <c r="S364" s="1"/>
      <c r="T364" s="1"/>
      <c r="U364" s="1"/>
      <c r="V364" s="3"/>
      <c r="W364" s="1"/>
      <c r="X364" s="1"/>
    </row>
    <row r="365" ht="16.5" customHeight="1">
      <c r="A365" s="1"/>
      <c r="B365" s="1"/>
      <c r="C365" s="1"/>
      <c r="D365" s="8"/>
      <c r="E365" s="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"/>
      <c r="S365" s="1"/>
      <c r="T365" s="1"/>
      <c r="U365" s="1"/>
      <c r="V365" s="3"/>
      <c r="W365" s="1"/>
      <c r="X365" s="1"/>
    </row>
    <row r="366" ht="16.5" customHeight="1">
      <c r="A366" s="1"/>
      <c r="B366" s="1"/>
      <c r="C366" s="1"/>
      <c r="D366" s="8"/>
      <c r="E366" s="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"/>
      <c r="S366" s="1"/>
      <c r="T366" s="1"/>
      <c r="U366" s="1"/>
      <c r="V366" s="3"/>
      <c r="W366" s="1"/>
      <c r="X366" s="1"/>
    </row>
    <row r="367" ht="16.5" customHeight="1">
      <c r="A367" s="1"/>
      <c r="B367" s="1"/>
      <c r="C367" s="1"/>
      <c r="D367" s="8"/>
      <c r="E367" s="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"/>
      <c r="S367" s="1"/>
      <c r="T367" s="1"/>
      <c r="U367" s="1"/>
      <c r="V367" s="3"/>
      <c r="W367" s="1"/>
      <c r="X367" s="1"/>
    </row>
    <row r="368" ht="16.5" customHeight="1">
      <c r="A368" s="1"/>
      <c r="B368" s="1"/>
      <c r="C368" s="1"/>
      <c r="D368" s="8"/>
      <c r="E368" s="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"/>
      <c r="S368" s="1"/>
      <c r="T368" s="1"/>
      <c r="U368" s="1"/>
      <c r="V368" s="3"/>
      <c r="W368" s="1"/>
      <c r="X368" s="1"/>
    </row>
    <row r="369" ht="16.5" customHeight="1">
      <c r="A369" s="1"/>
      <c r="B369" s="1"/>
      <c r="C369" s="1"/>
      <c r="D369" s="8"/>
      <c r="E369" s="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"/>
      <c r="S369" s="1"/>
      <c r="T369" s="1"/>
      <c r="U369" s="1"/>
      <c r="V369" s="3"/>
      <c r="W369" s="1"/>
      <c r="X369" s="1"/>
    </row>
    <row r="370" ht="16.5" customHeight="1">
      <c r="A370" s="1"/>
      <c r="B370" s="1"/>
      <c r="C370" s="1"/>
      <c r="D370" s="8"/>
      <c r="E370" s="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"/>
      <c r="S370" s="1"/>
      <c r="T370" s="1"/>
      <c r="U370" s="1"/>
      <c r="V370" s="3"/>
      <c r="W370" s="1"/>
      <c r="X370" s="1"/>
    </row>
    <row r="371" ht="16.5" customHeight="1">
      <c r="A371" s="1"/>
      <c r="B371" s="1"/>
      <c r="C371" s="1"/>
      <c r="D371" s="8"/>
      <c r="E371" s="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"/>
      <c r="S371" s="1"/>
      <c r="T371" s="1"/>
      <c r="U371" s="1"/>
      <c r="V371" s="3"/>
      <c r="W371" s="1"/>
      <c r="X371" s="1"/>
    </row>
    <row r="372" ht="16.5" customHeight="1">
      <c r="A372" s="1"/>
      <c r="B372" s="1"/>
      <c r="C372" s="1"/>
      <c r="D372" s="8"/>
      <c r="E372" s="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"/>
      <c r="S372" s="1"/>
      <c r="T372" s="1"/>
      <c r="U372" s="1"/>
      <c r="V372" s="3"/>
      <c r="W372" s="1"/>
      <c r="X372" s="1"/>
    </row>
    <row r="373" ht="16.5" customHeight="1">
      <c r="A373" s="1"/>
      <c r="B373" s="1"/>
      <c r="C373" s="1"/>
      <c r="D373" s="8"/>
      <c r="E373" s="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"/>
      <c r="S373" s="1"/>
      <c r="T373" s="1"/>
      <c r="U373" s="1"/>
      <c r="V373" s="3"/>
      <c r="W373" s="1"/>
      <c r="X373" s="1"/>
    </row>
    <row r="374" ht="16.5" customHeight="1">
      <c r="A374" s="1"/>
      <c r="B374" s="1"/>
      <c r="C374" s="1"/>
      <c r="D374" s="8"/>
      <c r="E374" s="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"/>
      <c r="S374" s="1"/>
      <c r="T374" s="1"/>
      <c r="U374" s="1"/>
      <c r="V374" s="3"/>
      <c r="W374" s="1"/>
      <c r="X374" s="1"/>
    </row>
    <row r="375" ht="16.5" customHeight="1">
      <c r="A375" s="1"/>
      <c r="B375" s="1"/>
      <c r="C375" s="1"/>
      <c r="D375" s="8"/>
      <c r="E375" s="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"/>
      <c r="S375" s="1"/>
      <c r="T375" s="1"/>
      <c r="U375" s="1"/>
      <c r="V375" s="3"/>
      <c r="W375" s="1"/>
      <c r="X375" s="1"/>
    </row>
    <row r="376" ht="16.5" customHeight="1">
      <c r="A376" s="1"/>
      <c r="B376" s="1"/>
      <c r="C376" s="1"/>
      <c r="D376" s="8"/>
      <c r="E376" s="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"/>
      <c r="S376" s="1"/>
      <c r="T376" s="1"/>
      <c r="U376" s="1"/>
      <c r="V376" s="3"/>
      <c r="W376" s="1"/>
      <c r="X376" s="1"/>
    </row>
    <row r="377" ht="16.5" customHeight="1">
      <c r="A377" s="1"/>
      <c r="B377" s="1"/>
      <c r="C377" s="1"/>
      <c r="D377" s="8"/>
      <c r="E377" s="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"/>
      <c r="S377" s="1"/>
      <c r="T377" s="1"/>
      <c r="U377" s="1"/>
      <c r="V377" s="3"/>
      <c r="W377" s="1"/>
      <c r="X377" s="1"/>
    </row>
    <row r="378" ht="16.5" customHeight="1">
      <c r="A378" s="1"/>
      <c r="B378" s="1"/>
      <c r="C378" s="1"/>
      <c r="D378" s="8"/>
      <c r="E378" s="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"/>
      <c r="S378" s="1"/>
      <c r="T378" s="1"/>
      <c r="U378" s="1"/>
      <c r="V378" s="3"/>
      <c r="W378" s="1"/>
      <c r="X378" s="1"/>
    </row>
    <row r="379" ht="16.5" customHeight="1">
      <c r="A379" s="1"/>
      <c r="B379" s="1"/>
      <c r="C379" s="1"/>
      <c r="D379" s="8"/>
      <c r="E379" s="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"/>
      <c r="S379" s="1"/>
      <c r="T379" s="1"/>
      <c r="U379" s="1"/>
      <c r="V379" s="3"/>
      <c r="W379" s="1"/>
      <c r="X379" s="1"/>
    </row>
    <row r="380" ht="16.5" customHeight="1">
      <c r="A380" s="1"/>
      <c r="B380" s="1"/>
      <c r="C380" s="1"/>
      <c r="D380" s="8"/>
      <c r="E380" s="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"/>
      <c r="S380" s="1"/>
      <c r="T380" s="1"/>
      <c r="U380" s="1"/>
      <c r="V380" s="3"/>
      <c r="W380" s="1"/>
      <c r="X380" s="1"/>
    </row>
    <row r="381" ht="16.5" customHeight="1">
      <c r="A381" s="1"/>
      <c r="B381" s="1"/>
      <c r="C381" s="1"/>
      <c r="D381" s="8"/>
      <c r="E381" s="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"/>
      <c r="S381" s="1"/>
      <c r="T381" s="1"/>
      <c r="U381" s="1"/>
      <c r="V381" s="3"/>
      <c r="W381" s="1"/>
      <c r="X381" s="1"/>
    </row>
    <row r="382" ht="16.5" customHeight="1">
      <c r="A382" s="1"/>
      <c r="B382" s="1"/>
      <c r="C382" s="1"/>
      <c r="D382" s="8"/>
      <c r="E382" s="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"/>
      <c r="S382" s="1"/>
      <c r="T382" s="1"/>
      <c r="U382" s="1"/>
      <c r="V382" s="3"/>
      <c r="W382" s="1"/>
      <c r="X382" s="1"/>
    </row>
    <row r="383" ht="16.5" customHeight="1">
      <c r="A383" s="1"/>
      <c r="B383" s="1"/>
      <c r="C383" s="1"/>
      <c r="D383" s="8"/>
      <c r="E383" s="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"/>
      <c r="S383" s="1"/>
      <c r="T383" s="1"/>
      <c r="U383" s="1"/>
      <c r="V383" s="3"/>
      <c r="W383" s="1"/>
      <c r="X383" s="1"/>
    </row>
    <row r="384" ht="16.5" customHeight="1">
      <c r="A384" s="1"/>
      <c r="B384" s="1"/>
      <c r="C384" s="1"/>
      <c r="D384" s="8"/>
      <c r="E384" s="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"/>
      <c r="S384" s="1"/>
      <c r="T384" s="1"/>
      <c r="U384" s="1"/>
      <c r="V384" s="3"/>
      <c r="W384" s="1"/>
      <c r="X384" s="1"/>
    </row>
    <row r="385" ht="16.5" customHeight="1">
      <c r="A385" s="1"/>
      <c r="B385" s="1"/>
      <c r="C385" s="1"/>
      <c r="D385" s="8"/>
      <c r="E385" s="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"/>
      <c r="S385" s="1"/>
      <c r="T385" s="1"/>
      <c r="U385" s="1"/>
      <c r="V385" s="3"/>
      <c r="W385" s="1"/>
      <c r="X385" s="1"/>
    </row>
    <row r="386" ht="16.5" customHeight="1">
      <c r="A386" s="1"/>
      <c r="B386" s="1"/>
      <c r="C386" s="1"/>
      <c r="D386" s="8"/>
      <c r="E386" s="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"/>
      <c r="S386" s="1"/>
      <c r="T386" s="1"/>
      <c r="U386" s="1"/>
      <c r="V386" s="3"/>
      <c r="W386" s="1"/>
      <c r="X386" s="1"/>
    </row>
    <row r="387" ht="16.5" customHeight="1">
      <c r="A387" s="1"/>
      <c r="B387" s="1"/>
      <c r="C387" s="1"/>
      <c r="D387" s="8"/>
      <c r="E387" s="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"/>
      <c r="S387" s="1"/>
      <c r="T387" s="1"/>
      <c r="U387" s="1"/>
      <c r="V387" s="3"/>
      <c r="W387" s="1"/>
      <c r="X387" s="1"/>
    </row>
    <row r="388" ht="16.5" customHeight="1">
      <c r="A388" s="1"/>
      <c r="B388" s="1"/>
      <c r="C388" s="1"/>
      <c r="D388" s="8"/>
      <c r="E388" s="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"/>
      <c r="S388" s="1"/>
      <c r="T388" s="1"/>
      <c r="U388" s="1"/>
      <c r="V388" s="3"/>
      <c r="W388" s="1"/>
      <c r="X388" s="1"/>
    </row>
    <row r="389" ht="16.5" customHeight="1">
      <c r="A389" s="1"/>
      <c r="B389" s="1"/>
      <c r="C389" s="1"/>
      <c r="D389" s="8"/>
      <c r="E389" s="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"/>
      <c r="S389" s="1"/>
      <c r="T389" s="1"/>
      <c r="U389" s="1"/>
      <c r="V389" s="3"/>
      <c r="W389" s="1"/>
      <c r="X389" s="1"/>
    </row>
    <row r="390" ht="16.5" customHeight="1">
      <c r="A390" s="1"/>
      <c r="B390" s="1"/>
      <c r="C390" s="1"/>
      <c r="D390" s="8"/>
      <c r="E390" s="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"/>
      <c r="S390" s="1"/>
      <c r="T390" s="1"/>
      <c r="U390" s="1"/>
      <c r="V390" s="3"/>
      <c r="W390" s="1"/>
      <c r="X390" s="1"/>
    </row>
    <row r="391" ht="16.5" customHeight="1">
      <c r="A391" s="1"/>
      <c r="B391" s="1"/>
      <c r="C391" s="1"/>
      <c r="D391" s="8"/>
      <c r="E391" s="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"/>
      <c r="S391" s="1"/>
      <c r="T391" s="1"/>
      <c r="U391" s="1"/>
      <c r="V391" s="3"/>
      <c r="W391" s="1"/>
      <c r="X391" s="1"/>
    </row>
    <row r="392" ht="16.5" customHeight="1">
      <c r="A392" s="1"/>
      <c r="B392" s="1"/>
      <c r="C392" s="1"/>
      <c r="D392" s="8"/>
      <c r="E392" s="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"/>
      <c r="S392" s="1"/>
      <c r="T392" s="1"/>
      <c r="U392" s="1"/>
      <c r="V392" s="3"/>
      <c r="W392" s="1"/>
      <c r="X392" s="1"/>
    </row>
    <row r="393" ht="16.5" customHeight="1">
      <c r="A393" s="1"/>
      <c r="B393" s="1"/>
      <c r="C393" s="1"/>
      <c r="D393" s="8"/>
      <c r="E393" s="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"/>
      <c r="S393" s="1"/>
      <c r="T393" s="1"/>
      <c r="U393" s="1"/>
      <c r="V393" s="3"/>
      <c r="W393" s="1"/>
      <c r="X393" s="1"/>
    </row>
    <row r="394" ht="16.5" customHeight="1">
      <c r="A394" s="1"/>
      <c r="B394" s="1"/>
      <c r="C394" s="1"/>
      <c r="D394" s="8"/>
      <c r="E394" s="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"/>
      <c r="S394" s="1"/>
      <c r="T394" s="1"/>
      <c r="U394" s="1"/>
      <c r="V394" s="3"/>
      <c r="W394" s="1"/>
      <c r="X394" s="1"/>
    </row>
    <row r="395" ht="16.5" customHeight="1">
      <c r="A395" s="1"/>
      <c r="B395" s="1"/>
      <c r="C395" s="1"/>
      <c r="D395" s="8"/>
      <c r="E395" s="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"/>
      <c r="S395" s="1"/>
      <c r="T395" s="1"/>
      <c r="U395" s="1"/>
      <c r="V395" s="3"/>
      <c r="W395" s="1"/>
      <c r="X395" s="1"/>
    </row>
    <row r="396" ht="16.5" customHeight="1">
      <c r="A396" s="1"/>
      <c r="B396" s="1"/>
      <c r="C396" s="1"/>
      <c r="D396" s="8"/>
      <c r="E396" s="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"/>
      <c r="S396" s="1"/>
      <c r="T396" s="1"/>
      <c r="U396" s="1"/>
      <c r="V396" s="3"/>
      <c r="W396" s="1"/>
      <c r="X396" s="1"/>
    </row>
    <row r="397" ht="16.5" customHeight="1">
      <c r="A397" s="1"/>
      <c r="B397" s="1"/>
      <c r="C397" s="1"/>
      <c r="D397" s="8"/>
      <c r="E397" s="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"/>
      <c r="S397" s="1"/>
      <c r="T397" s="1"/>
      <c r="U397" s="1"/>
      <c r="V397" s="3"/>
      <c r="W397" s="1"/>
      <c r="X397" s="1"/>
    </row>
    <row r="398" ht="16.5" customHeight="1">
      <c r="A398" s="1"/>
      <c r="B398" s="1"/>
      <c r="C398" s="1"/>
      <c r="D398" s="8"/>
      <c r="E398" s="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"/>
      <c r="S398" s="1"/>
      <c r="T398" s="1"/>
      <c r="U398" s="1"/>
      <c r="V398" s="3"/>
      <c r="W398" s="1"/>
      <c r="X398" s="1"/>
    </row>
    <row r="399" ht="16.5" customHeight="1">
      <c r="A399" s="1"/>
      <c r="B399" s="1"/>
      <c r="C399" s="1"/>
      <c r="D399" s="8"/>
      <c r="E399" s="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"/>
      <c r="S399" s="1"/>
      <c r="T399" s="1"/>
      <c r="U399" s="1"/>
      <c r="V399" s="3"/>
      <c r="W399" s="1"/>
      <c r="X399" s="1"/>
    </row>
    <row r="400" ht="16.5" customHeight="1">
      <c r="A400" s="1"/>
      <c r="B400" s="1"/>
      <c r="C400" s="1"/>
      <c r="D400" s="8"/>
      <c r="E400" s="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"/>
      <c r="S400" s="1"/>
      <c r="T400" s="1"/>
      <c r="U400" s="1"/>
      <c r="V400" s="3"/>
      <c r="W400" s="1"/>
      <c r="X400" s="1"/>
    </row>
    <row r="401" ht="16.5" customHeight="1">
      <c r="A401" s="1"/>
      <c r="B401" s="1"/>
      <c r="C401" s="1"/>
      <c r="D401" s="8"/>
      <c r="E401" s="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"/>
      <c r="S401" s="1"/>
      <c r="T401" s="1"/>
      <c r="U401" s="1"/>
      <c r="V401" s="3"/>
      <c r="W401" s="1"/>
      <c r="X401" s="1"/>
    </row>
    <row r="402" ht="16.5" customHeight="1">
      <c r="A402" s="1"/>
      <c r="B402" s="1"/>
      <c r="C402" s="1"/>
      <c r="D402" s="8"/>
      <c r="E402" s="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"/>
      <c r="S402" s="1"/>
      <c r="T402" s="1"/>
      <c r="U402" s="1"/>
      <c r="V402" s="3"/>
      <c r="W402" s="1"/>
      <c r="X402" s="1"/>
    </row>
    <row r="403" ht="16.5" customHeight="1">
      <c r="A403" s="1"/>
      <c r="B403" s="1"/>
      <c r="C403" s="1"/>
      <c r="D403" s="8"/>
      <c r="E403" s="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"/>
      <c r="S403" s="1"/>
      <c r="T403" s="1"/>
      <c r="U403" s="1"/>
      <c r="V403" s="3"/>
      <c r="W403" s="1"/>
      <c r="X403" s="1"/>
    </row>
    <row r="404" ht="16.5" customHeight="1">
      <c r="A404" s="1"/>
      <c r="B404" s="1"/>
      <c r="C404" s="1"/>
      <c r="D404" s="8"/>
      <c r="E404" s="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"/>
      <c r="S404" s="1"/>
      <c r="T404" s="1"/>
      <c r="U404" s="1"/>
      <c r="V404" s="3"/>
      <c r="W404" s="1"/>
      <c r="X404" s="1"/>
    </row>
    <row r="405" ht="16.5" customHeight="1">
      <c r="A405" s="1"/>
      <c r="B405" s="1"/>
      <c r="C405" s="1"/>
      <c r="D405" s="8"/>
      <c r="E405" s="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"/>
      <c r="S405" s="1"/>
      <c r="T405" s="1"/>
      <c r="U405" s="1"/>
      <c r="V405" s="3"/>
      <c r="W405" s="1"/>
      <c r="X405" s="1"/>
    </row>
    <row r="406" ht="16.5" customHeight="1">
      <c r="A406" s="1"/>
      <c r="B406" s="1"/>
      <c r="C406" s="1"/>
      <c r="D406" s="8"/>
      <c r="E406" s="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"/>
      <c r="S406" s="1"/>
      <c r="T406" s="1"/>
      <c r="U406" s="1"/>
      <c r="V406" s="3"/>
      <c r="W406" s="1"/>
      <c r="X406" s="1"/>
    </row>
    <row r="407" ht="16.5" customHeight="1">
      <c r="A407" s="1"/>
      <c r="B407" s="1"/>
      <c r="C407" s="1"/>
      <c r="D407" s="8"/>
      <c r="E407" s="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"/>
      <c r="S407" s="1"/>
      <c r="T407" s="1"/>
      <c r="U407" s="1"/>
      <c r="V407" s="3"/>
      <c r="W407" s="1"/>
      <c r="X407" s="1"/>
    </row>
    <row r="408" ht="16.5" customHeight="1">
      <c r="A408" s="1"/>
      <c r="B408" s="1"/>
      <c r="C408" s="1"/>
      <c r="D408" s="8"/>
      <c r="E408" s="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"/>
      <c r="S408" s="1"/>
      <c r="T408" s="1"/>
      <c r="U408" s="1"/>
      <c r="V408" s="3"/>
      <c r="W408" s="1"/>
      <c r="X408" s="1"/>
    </row>
    <row r="409" ht="16.5" customHeight="1">
      <c r="A409" s="1"/>
      <c r="B409" s="1"/>
      <c r="C409" s="1"/>
      <c r="D409" s="8"/>
      <c r="E409" s="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"/>
      <c r="S409" s="1"/>
      <c r="T409" s="1"/>
      <c r="U409" s="1"/>
      <c r="V409" s="3"/>
      <c r="W409" s="1"/>
      <c r="X409" s="1"/>
    </row>
    <row r="410" ht="16.5" customHeight="1">
      <c r="A410" s="1"/>
      <c r="B410" s="1"/>
      <c r="C410" s="1"/>
      <c r="D410" s="8"/>
      <c r="E410" s="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"/>
      <c r="S410" s="1"/>
      <c r="T410" s="1"/>
      <c r="U410" s="1"/>
      <c r="V410" s="3"/>
      <c r="W410" s="1"/>
      <c r="X410" s="1"/>
    </row>
    <row r="411" ht="16.5" customHeight="1">
      <c r="A411" s="1"/>
      <c r="B411" s="1"/>
      <c r="C411" s="1"/>
      <c r="D411" s="8"/>
      <c r="E411" s="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"/>
      <c r="S411" s="1"/>
      <c r="T411" s="1"/>
      <c r="U411" s="1"/>
      <c r="V411" s="3"/>
      <c r="W411" s="1"/>
      <c r="X411" s="1"/>
    </row>
    <row r="412" ht="16.5" customHeight="1">
      <c r="A412" s="1"/>
      <c r="B412" s="1"/>
      <c r="C412" s="1"/>
      <c r="D412" s="8"/>
      <c r="E412" s="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"/>
      <c r="S412" s="1"/>
      <c r="T412" s="1"/>
      <c r="U412" s="1"/>
      <c r="V412" s="3"/>
      <c r="W412" s="1"/>
      <c r="X412" s="1"/>
    </row>
    <row r="413" ht="16.5" customHeight="1">
      <c r="A413" s="1"/>
      <c r="B413" s="1"/>
      <c r="C413" s="1"/>
      <c r="D413" s="8"/>
      <c r="E413" s="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"/>
      <c r="S413" s="1"/>
      <c r="T413" s="1"/>
      <c r="U413" s="1"/>
      <c r="V413" s="3"/>
      <c r="W413" s="1"/>
      <c r="X413" s="1"/>
    </row>
    <row r="414" ht="16.5" customHeight="1">
      <c r="A414" s="1"/>
      <c r="B414" s="1"/>
      <c r="C414" s="1"/>
      <c r="D414" s="8"/>
      <c r="E414" s="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"/>
      <c r="S414" s="1"/>
      <c r="T414" s="1"/>
      <c r="U414" s="1"/>
      <c r="V414" s="3"/>
      <c r="W414" s="1"/>
      <c r="X414" s="1"/>
    </row>
    <row r="415" ht="16.5" customHeight="1">
      <c r="A415" s="1"/>
      <c r="B415" s="1"/>
      <c r="C415" s="1"/>
      <c r="D415" s="8"/>
      <c r="E415" s="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"/>
      <c r="S415" s="1"/>
      <c r="T415" s="1"/>
      <c r="U415" s="1"/>
      <c r="V415" s="3"/>
      <c r="W415" s="1"/>
      <c r="X415" s="1"/>
    </row>
    <row r="416" ht="16.5" customHeight="1">
      <c r="A416" s="1"/>
      <c r="B416" s="1"/>
      <c r="C416" s="1"/>
      <c r="D416" s="8"/>
      <c r="E416" s="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"/>
      <c r="S416" s="1"/>
      <c r="T416" s="1"/>
      <c r="U416" s="1"/>
      <c r="V416" s="3"/>
      <c r="W416" s="1"/>
      <c r="X416" s="1"/>
    </row>
    <row r="417" ht="16.5" customHeight="1">
      <c r="A417" s="1"/>
      <c r="B417" s="1"/>
      <c r="C417" s="1"/>
      <c r="D417" s="8"/>
      <c r="E417" s="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"/>
      <c r="S417" s="1"/>
      <c r="T417" s="1"/>
      <c r="U417" s="1"/>
      <c r="V417" s="3"/>
      <c r="W417" s="1"/>
      <c r="X417" s="1"/>
    </row>
    <row r="418" ht="16.5" customHeight="1">
      <c r="A418" s="1"/>
      <c r="B418" s="1"/>
      <c r="C418" s="1"/>
      <c r="D418" s="8"/>
      <c r="E418" s="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"/>
      <c r="S418" s="1"/>
      <c r="T418" s="1"/>
      <c r="U418" s="1"/>
      <c r="V418" s="3"/>
      <c r="W418" s="1"/>
      <c r="X418" s="1"/>
    </row>
    <row r="419" ht="16.5" customHeight="1">
      <c r="A419" s="1"/>
      <c r="B419" s="1"/>
      <c r="C419" s="1"/>
      <c r="D419" s="8"/>
      <c r="E419" s="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"/>
      <c r="S419" s="1"/>
      <c r="T419" s="1"/>
      <c r="U419" s="1"/>
      <c r="V419" s="3"/>
      <c r="W419" s="1"/>
      <c r="X419" s="1"/>
    </row>
    <row r="420" ht="16.5" customHeight="1">
      <c r="A420" s="1"/>
      <c r="B420" s="1"/>
      <c r="C420" s="1"/>
      <c r="D420" s="8"/>
      <c r="E420" s="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"/>
      <c r="S420" s="1"/>
      <c r="T420" s="1"/>
      <c r="U420" s="1"/>
      <c r="V420" s="3"/>
      <c r="W420" s="1"/>
      <c r="X420" s="1"/>
    </row>
    <row r="421" ht="16.5" customHeight="1">
      <c r="A421" s="1"/>
      <c r="B421" s="1"/>
      <c r="C421" s="1"/>
      <c r="D421" s="8"/>
      <c r="E421" s="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"/>
      <c r="S421" s="1"/>
      <c r="T421" s="1"/>
      <c r="U421" s="1"/>
      <c r="V421" s="3"/>
      <c r="W421" s="1"/>
      <c r="X421" s="1"/>
    </row>
    <row r="422" ht="16.5" customHeight="1">
      <c r="A422" s="1"/>
      <c r="B422" s="1"/>
      <c r="C422" s="1"/>
      <c r="D422" s="8"/>
      <c r="E422" s="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"/>
      <c r="S422" s="1"/>
      <c r="T422" s="1"/>
      <c r="U422" s="1"/>
      <c r="V422" s="3"/>
      <c r="W422" s="1"/>
      <c r="X422" s="1"/>
    </row>
    <row r="423" ht="16.5" customHeight="1">
      <c r="A423" s="1"/>
      <c r="B423" s="1"/>
      <c r="C423" s="1"/>
      <c r="D423" s="8"/>
      <c r="E423" s="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"/>
      <c r="S423" s="1"/>
      <c r="T423" s="1"/>
      <c r="U423" s="1"/>
      <c r="V423" s="3"/>
      <c r="W423" s="1"/>
      <c r="X423" s="1"/>
    </row>
    <row r="424" ht="16.5" customHeight="1">
      <c r="A424" s="1"/>
      <c r="B424" s="1"/>
      <c r="C424" s="1"/>
      <c r="D424" s="8"/>
      <c r="E424" s="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"/>
      <c r="S424" s="1"/>
      <c r="T424" s="1"/>
      <c r="U424" s="1"/>
      <c r="V424" s="3"/>
      <c r="W424" s="1"/>
      <c r="X424" s="1"/>
    </row>
    <row r="425" ht="16.5" customHeight="1">
      <c r="A425" s="1"/>
      <c r="B425" s="1"/>
      <c r="C425" s="1"/>
      <c r="D425" s="8"/>
      <c r="E425" s="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"/>
      <c r="S425" s="1"/>
      <c r="T425" s="1"/>
      <c r="U425" s="1"/>
      <c r="V425" s="3"/>
      <c r="W425" s="1"/>
      <c r="X425" s="1"/>
    </row>
    <row r="426" ht="16.5" customHeight="1">
      <c r="A426" s="1"/>
      <c r="B426" s="1"/>
      <c r="C426" s="1"/>
      <c r="D426" s="8"/>
      <c r="E426" s="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"/>
      <c r="S426" s="1"/>
      <c r="T426" s="1"/>
      <c r="U426" s="1"/>
      <c r="V426" s="3"/>
      <c r="W426" s="1"/>
      <c r="X426" s="1"/>
    </row>
    <row r="427" ht="16.5" customHeight="1">
      <c r="A427" s="1"/>
      <c r="B427" s="1"/>
      <c r="C427" s="1"/>
      <c r="D427" s="8"/>
      <c r="E427" s="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"/>
      <c r="S427" s="1"/>
      <c r="T427" s="1"/>
      <c r="U427" s="1"/>
      <c r="V427" s="3"/>
      <c r="W427" s="1"/>
      <c r="X427" s="1"/>
    </row>
    <row r="428" ht="16.5" customHeight="1">
      <c r="A428" s="1"/>
      <c r="B428" s="1"/>
      <c r="C428" s="1"/>
      <c r="D428" s="8"/>
      <c r="E428" s="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"/>
      <c r="S428" s="1"/>
      <c r="T428" s="1"/>
      <c r="U428" s="1"/>
      <c r="V428" s="3"/>
      <c r="W428" s="1"/>
      <c r="X428" s="1"/>
    </row>
    <row r="429" ht="16.5" customHeight="1">
      <c r="A429" s="1"/>
      <c r="B429" s="1"/>
      <c r="C429" s="1"/>
      <c r="D429" s="8"/>
      <c r="E429" s="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"/>
      <c r="S429" s="1"/>
      <c r="T429" s="1"/>
      <c r="U429" s="1"/>
      <c r="V429" s="3"/>
      <c r="W429" s="1"/>
      <c r="X429" s="1"/>
    </row>
    <row r="430" ht="16.5" customHeight="1">
      <c r="A430" s="1"/>
      <c r="B430" s="1"/>
      <c r="C430" s="1"/>
      <c r="D430" s="8"/>
      <c r="E430" s="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"/>
      <c r="S430" s="1"/>
      <c r="T430" s="1"/>
      <c r="U430" s="1"/>
      <c r="V430" s="3"/>
      <c r="W430" s="1"/>
      <c r="X430" s="1"/>
    </row>
    <row r="431" ht="16.5" customHeight="1">
      <c r="A431" s="1"/>
      <c r="B431" s="1"/>
      <c r="C431" s="1"/>
      <c r="D431" s="8"/>
      <c r="E431" s="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"/>
      <c r="S431" s="1"/>
      <c r="T431" s="1"/>
      <c r="U431" s="1"/>
      <c r="V431" s="3"/>
      <c r="W431" s="1"/>
      <c r="X431" s="1"/>
    </row>
    <row r="432" ht="16.5" customHeight="1">
      <c r="A432" s="1"/>
      <c r="B432" s="1"/>
      <c r="C432" s="1"/>
      <c r="D432" s="8"/>
      <c r="E432" s="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"/>
      <c r="S432" s="1"/>
      <c r="T432" s="1"/>
      <c r="U432" s="1"/>
      <c r="V432" s="3"/>
      <c r="W432" s="1"/>
      <c r="X432" s="1"/>
    </row>
    <row r="433" ht="16.5" customHeight="1">
      <c r="A433" s="1"/>
      <c r="B433" s="1"/>
      <c r="C433" s="1"/>
      <c r="D433" s="8"/>
      <c r="E433" s="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"/>
      <c r="S433" s="1"/>
      <c r="T433" s="1"/>
      <c r="U433" s="1"/>
      <c r="V433" s="3"/>
      <c r="W433" s="1"/>
      <c r="X433" s="1"/>
    </row>
    <row r="434" ht="16.5" customHeight="1">
      <c r="A434" s="1"/>
      <c r="B434" s="1"/>
      <c r="C434" s="1"/>
      <c r="D434" s="8"/>
      <c r="E434" s="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"/>
      <c r="S434" s="1"/>
      <c r="T434" s="1"/>
      <c r="U434" s="1"/>
      <c r="V434" s="3"/>
      <c r="W434" s="1"/>
      <c r="X434" s="1"/>
    </row>
    <row r="435" ht="16.5" customHeight="1">
      <c r="A435" s="1"/>
      <c r="B435" s="1"/>
      <c r="C435" s="1"/>
      <c r="D435" s="8"/>
      <c r="E435" s="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"/>
      <c r="S435" s="1"/>
      <c r="T435" s="1"/>
      <c r="U435" s="1"/>
      <c r="V435" s="3"/>
      <c r="W435" s="1"/>
      <c r="X435" s="1"/>
    </row>
    <row r="436" ht="16.5" customHeight="1">
      <c r="A436" s="1"/>
      <c r="B436" s="1"/>
      <c r="C436" s="1"/>
      <c r="D436" s="8"/>
      <c r="E436" s="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"/>
      <c r="S436" s="1"/>
      <c r="T436" s="1"/>
      <c r="U436" s="1"/>
      <c r="V436" s="3"/>
      <c r="W436" s="1"/>
      <c r="X436" s="1"/>
    </row>
    <row r="437" ht="16.5" customHeight="1">
      <c r="A437" s="1"/>
      <c r="B437" s="1"/>
      <c r="C437" s="1"/>
      <c r="D437" s="8"/>
      <c r="E437" s="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"/>
      <c r="S437" s="1"/>
      <c r="T437" s="1"/>
      <c r="U437" s="1"/>
      <c r="V437" s="3"/>
      <c r="W437" s="1"/>
      <c r="X437" s="1"/>
    </row>
    <row r="438" ht="16.5" customHeight="1">
      <c r="A438" s="1"/>
      <c r="B438" s="1"/>
      <c r="C438" s="1"/>
      <c r="D438" s="8"/>
      <c r="E438" s="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"/>
      <c r="S438" s="1"/>
      <c r="T438" s="1"/>
      <c r="U438" s="1"/>
      <c r="V438" s="3"/>
      <c r="W438" s="1"/>
      <c r="X438" s="1"/>
    </row>
    <row r="439" ht="16.5" customHeight="1">
      <c r="A439" s="1"/>
      <c r="B439" s="1"/>
      <c r="C439" s="1"/>
      <c r="D439" s="8"/>
      <c r="E439" s="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"/>
      <c r="S439" s="1"/>
      <c r="T439" s="1"/>
      <c r="U439" s="1"/>
      <c r="V439" s="3"/>
      <c r="W439" s="1"/>
      <c r="X439" s="1"/>
    </row>
    <row r="440" ht="16.5" customHeight="1">
      <c r="A440" s="1"/>
      <c r="B440" s="1"/>
      <c r="C440" s="1"/>
      <c r="D440" s="8"/>
      <c r="E440" s="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"/>
      <c r="S440" s="1"/>
      <c r="T440" s="1"/>
      <c r="U440" s="1"/>
      <c r="V440" s="3"/>
      <c r="W440" s="1"/>
      <c r="X440" s="1"/>
    </row>
    <row r="441" ht="16.5" customHeight="1">
      <c r="A441" s="1"/>
      <c r="B441" s="1"/>
      <c r="C441" s="1"/>
      <c r="D441" s="8"/>
      <c r="E441" s="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"/>
      <c r="S441" s="1"/>
      <c r="T441" s="1"/>
      <c r="U441" s="1"/>
      <c r="V441" s="3"/>
      <c r="W441" s="1"/>
      <c r="X441" s="1"/>
    </row>
    <row r="442" ht="16.5" customHeight="1">
      <c r="A442" s="1"/>
      <c r="B442" s="1"/>
      <c r="C442" s="1"/>
      <c r="D442" s="8"/>
      <c r="E442" s="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"/>
      <c r="S442" s="1"/>
      <c r="T442" s="1"/>
      <c r="U442" s="1"/>
      <c r="V442" s="3"/>
      <c r="W442" s="1"/>
      <c r="X442" s="1"/>
    </row>
    <row r="443" ht="16.5" customHeight="1">
      <c r="A443" s="1"/>
      <c r="B443" s="1"/>
      <c r="C443" s="1"/>
      <c r="D443" s="8"/>
      <c r="E443" s="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"/>
      <c r="S443" s="1"/>
      <c r="T443" s="1"/>
      <c r="U443" s="1"/>
      <c r="V443" s="3"/>
      <c r="W443" s="1"/>
      <c r="X443" s="1"/>
    </row>
    <row r="444" ht="16.5" customHeight="1">
      <c r="A444" s="1"/>
      <c r="B444" s="1"/>
      <c r="C444" s="1"/>
      <c r="D444" s="8"/>
      <c r="E444" s="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"/>
      <c r="S444" s="1"/>
      <c r="T444" s="1"/>
      <c r="U444" s="1"/>
      <c r="V444" s="3"/>
      <c r="W444" s="1"/>
      <c r="X444" s="1"/>
    </row>
    <row r="445" ht="16.5" customHeight="1">
      <c r="A445" s="1"/>
      <c r="B445" s="1"/>
      <c r="C445" s="1"/>
      <c r="D445" s="8"/>
      <c r="E445" s="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"/>
      <c r="S445" s="1"/>
      <c r="T445" s="1"/>
      <c r="U445" s="1"/>
      <c r="V445" s="3"/>
      <c r="W445" s="1"/>
      <c r="X445" s="1"/>
    </row>
    <row r="446" ht="16.5" customHeight="1">
      <c r="A446" s="1"/>
      <c r="B446" s="1"/>
      <c r="C446" s="1"/>
      <c r="D446" s="8"/>
      <c r="E446" s="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"/>
      <c r="S446" s="1"/>
      <c r="T446" s="1"/>
      <c r="U446" s="1"/>
      <c r="V446" s="3"/>
      <c r="W446" s="1"/>
      <c r="X446" s="1"/>
    </row>
    <row r="447" ht="16.5" customHeight="1">
      <c r="A447" s="1"/>
      <c r="B447" s="1"/>
      <c r="C447" s="1"/>
      <c r="D447" s="8"/>
      <c r="E447" s="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"/>
      <c r="S447" s="1"/>
      <c r="T447" s="1"/>
      <c r="U447" s="1"/>
      <c r="V447" s="3"/>
      <c r="W447" s="1"/>
      <c r="X447" s="1"/>
    </row>
    <row r="448" ht="16.5" customHeight="1">
      <c r="A448" s="1"/>
      <c r="B448" s="1"/>
      <c r="C448" s="1"/>
      <c r="D448" s="8"/>
      <c r="E448" s="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"/>
      <c r="S448" s="1"/>
      <c r="T448" s="1"/>
      <c r="U448" s="1"/>
      <c r="V448" s="3"/>
      <c r="W448" s="1"/>
      <c r="X448" s="1"/>
    </row>
    <row r="449" ht="16.5" customHeight="1">
      <c r="A449" s="1"/>
      <c r="B449" s="1"/>
      <c r="C449" s="1"/>
      <c r="D449" s="8"/>
      <c r="E449" s="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"/>
      <c r="S449" s="1"/>
      <c r="T449" s="1"/>
      <c r="U449" s="1"/>
      <c r="V449" s="3"/>
      <c r="W449" s="1"/>
      <c r="X449" s="1"/>
    </row>
    <row r="450" ht="16.5" customHeight="1">
      <c r="A450" s="1"/>
      <c r="B450" s="1"/>
      <c r="C450" s="1"/>
      <c r="D450" s="8"/>
      <c r="E450" s="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"/>
      <c r="S450" s="1"/>
      <c r="T450" s="1"/>
      <c r="U450" s="1"/>
      <c r="V450" s="3"/>
      <c r="W450" s="1"/>
      <c r="X450" s="1"/>
    </row>
    <row r="451" ht="16.5" customHeight="1">
      <c r="A451" s="1"/>
      <c r="B451" s="1"/>
      <c r="C451" s="1"/>
      <c r="D451" s="8"/>
      <c r="E451" s="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"/>
      <c r="S451" s="1"/>
      <c r="T451" s="1"/>
      <c r="U451" s="1"/>
      <c r="V451" s="3"/>
      <c r="W451" s="1"/>
      <c r="X451" s="1"/>
    </row>
    <row r="452" ht="16.5" customHeight="1">
      <c r="A452" s="1"/>
      <c r="B452" s="1"/>
      <c r="C452" s="1"/>
      <c r="D452" s="8"/>
      <c r="E452" s="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"/>
      <c r="S452" s="1"/>
      <c r="T452" s="1"/>
      <c r="U452" s="1"/>
      <c r="V452" s="3"/>
      <c r="W452" s="1"/>
      <c r="X452" s="1"/>
    </row>
    <row r="453" ht="16.5" customHeight="1">
      <c r="A453" s="1"/>
      <c r="B453" s="1"/>
      <c r="C453" s="1"/>
      <c r="D453" s="8"/>
      <c r="E453" s="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"/>
      <c r="S453" s="1"/>
      <c r="T453" s="1"/>
      <c r="U453" s="1"/>
      <c r="V453" s="3"/>
      <c r="W453" s="1"/>
      <c r="X453" s="1"/>
    </row>
    <row r="454" ht="16.5" customHeight="1">
      <c r="A454" s="1"/>
      <c r="B454" s="1"/>
      <c r="C454" s="1"/>
      <c r="D454" s="8"/>
      <c r="E454" s="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"/>
      <c r="S454" s="1"/>
      <c r="T454" s="1"/>
      <c r="U454" s="1"/>
      <c r="V454" s="3"/>
      <c r="W454" s="1"/>
      <c r="X454" s="1"/>
    </row>
    <row r="455" ht="16.5" customHeight="1">
      <c r="A455" s="1"/>
      <c r="B455" s="1"/>
      <c r="C455" s="1"/>
      <c r="D455" s="8"/>
      <c r="E455" s="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"/>
      <c r="S455" s="1"/>
      <c r="T455" s="1"/>
      <c r="U455" s="1"/>
      <c r="V455" s="3"/>
      <c r="W455" s="1"/>
      <c r="X455" s="1"/>
    </row>
    <row r="456" ht="16.5" customHeight="1">
      <c r="A456" s="1"/>
      <c r="B456" s="1"/>
      <c r="C456" s="1"/>
      <c r="D456" s="8"/>
      <c r="E456" s="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"/>
      <c r="S456" s="1"/>
      <c r="T456" s="1"/>
      <c r="U456" s="1"/>
      <c r="V456" s="3"/>
      <c r="W456" s="1"/>
      <c r="X456" s="1"/>
    </row>
    <row r="457" ht="16.5" customHeight="1">
      <c r="A457" s="1"/>
      <c r="B457" s="1"/>
      <c r="C457" s="1"/>
      <c r="D457" s="8"/>
      <c r="E457" s="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"/>
      <c r="S457" s="1"/>
      <c r="T457" s="1"/>
      <c r="U457" s="1"/>
      <c r="V457" s="3"/>
      <c r="W457" s="1"/>
      <c r="X457" s="1"/>
    </row>
    <row r="458" ht="16.5" customHeight="1">
      <c r="A458" s="1"/>
      <c r="B458" s="1"/>
      <c r="C458" s="1"/>
      <c r="D458" s="8"/>
      <c r="E458" s="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"/>
      <c r="S458" s="1"/>
      <c r="T458" s="1"/>
      <c r="U458" s="1"/>
      <c r="V458" s="3"/>
      <c r="W458" s="1"/>
      <c r="X458" s="1"/>
    </row>
    <row r="459" ht="16.5" customHeight="1">
      <c r="A459" s="1"/>
      <c r="B459" s="1"/>
      <c r="C459" s="1"/>
      <c r="D459" s="8"/>
      <c r="E459" s="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"/>
      <c r="S459" s="1"/>
      <c r="T459" s="1"/>
      <c r="U459" s="1"/>
      <c r="V459" s="3"/>
      <c r="W459" s="1"/>
      <c r="X459" s="1"/>
    </row>
    <row r="460" ht="16.5" customHeight="1">
      <c r="A460" s="1"/>
      <c r="B460" s="1"/>
      <c r="C460" s="1"/>
      <c r="D460" s="8"/>
      <c r="E460" s="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"/>
      <c r="S460" s="1"/>
      <c r="T460" s="1"/>
      <c r="U460" s="1"/>
      <c r="V460" s="3"/>
      <c r="W460" s="1"/>
      <c r="X460" s="1"/>
    </row>
    <row r="461" ht="16.5" customHeight="1">
      <c r="A461" s="1"/>
      <c r="B461" s="1"/>
      <c r="C461" s="1"/>
      <c r="D461" s="8"/>
      <c r="E461" s="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"/>
      <c r="S461" s="1"/>
      <c r="T461" s="1"/>
      <c r="U461" s="1"/>
      <c r="V461" s="3"/>
      <c r="W461" s="1"/>
      <c r="X461" s="1"/>
    </row>
    <row r="462" ht="16.5" customHeight="1">
      <c r="A462" s="1"/>
      <c r="B462" s="1"/>
      <c r="C462" s="1"/>
      <c r="D462" s="8"/>
      <c r="E462" s="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"/>
      <c r="S462" s="1"/>
      <c r="T462" s="1"/>
      <c r="U462" s="1"/>
      <c r="V462" s="3"/>
      <c r="W462" s="1"/>
      <c r="X462" s="1"/>
    </row>
    <row r="463" ht="16.5" customHeight="1">
      <c r="A463" s="1"/>
      <c r="B463" s="1"/>
      <c r="C463" s="1"/>
      <c r="D463" s="8"/>
      <c r="E463" s="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"/>
      <c r="S463" s="1"/>
      <c r="T463" s="1"/>
      <c r="U463" s="1"/>
      <c r="V463" s="3"/>
      <c r="W463" s="1"/>
      <c r="X463" s="1"/>
    </row>
    <row r="464" ht="16.5" customHeight="1">
      <c r="A464" s="1"/>
      <c r="B464" s="1"/>
      <c r="C464" s="1"/>
      <c r="D464" s="8"/>
      <c r="E464" s="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"/>
      <c r="S464" s="1"/>
      <c r="T464" s="1"/>
      <c r="U464" s="1"/>
      <c r="V464" s="3"/>
      <c r="W464" s="1"/>
      <c r="X464" s="1"/>
    </row>
    <row r="465" ht="16.5" customHeight="1">
      <c r="A465" s="1"/>
      <c r="B465" s="1"/>
      <c r="C465" s="1"/>
      <c r="D465" s="8"/>
      <c r="E465" s="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"/>
      <c r="S465" s="1"/>
      <c r="T465" s="1"/>
      <c r="U465" s="1"/>
      <c r="V465" s="3"/>
      <c r="W465" s="1"/>
      <c r="X465" s="1"/>
    </row>
    <row r="466" ht="16.5" customHeight="1">
      <c r="A466" s="1"/>
      <c r="B466" s="1"/>
      <c r="C466" s="1"/>
      <c r="D466" s="8"/>
      <c r="E466" s="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"/>
      <c r="S466" s="1"/>
      <c r="T466" s="1"/>
      <c r="U466" s="1"/>
      <c r="V466" s="3"/>
      <c r="W466" s="1"/>
      <c r="X466" s="1"/>
    </row>
    <row r="467" ht="16.5" customHeight="1">
      <c r="A467" s="1"/>
      <c r="B467" s="1"/>
      <c r="C467" s="1"/>
      <c r="D467" s="8"/>
      <c r="E467" s="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"/>
      <c r="S467" s="1"/>
      <c r="T467" s="1"/>
      <c r="U467" s="1"/>
      <c r="V467" s="3"/>
      <c r="W467" s="1"/>
      <c r="X467" s="1"/>
    </row>
    <row r="468" ht="16.5" customHeight="1">
      <c r="A468" s="1"/>
      <c r="B468" s="1"/>
      <c r="C468" s="1"/>
      <c r="D468" s="8"/>
      <c r="E468" s="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"/>
      <c r="S468" s="1"/>
      <c r="T468" s="1"/>
      <c r="U468" s="1"/>
      <c r="V468" s="3"/>
      <c r="W468" s="1"/>
      <c r="X468" s="1"/>
    </row>
    <row r="469" ht="16.5" customHeight="1">
      <c r="A469" s="1"/>
      <c r="B469" s="1"/>
      <c r="C469" s="1"/>
      <c r="D469" s="8"/>
      <c r="E469" s="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"/>
      <c r="S469" s="1"/>
      <c r="T469" s="1"/>
      <c r="U469" s="1"/>
      <c r="V469" s="3"/>
      <c r="W469" s="1"/>
      <c r="X469" s="1"/>
    </row>
    <row r="470" ht="16.5" customHeight="1">
      <c r="A470" s="1"/>
      <c r="B470" s="1"/>
      <c r="C470" s="1"/>
      <c r="D470" s="8"/>
      <c r="E470" s="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"/>
      <c r="S470" s="1"/>
      <c r="T470" s="1"/>
      <c r="U470" s="1"/>
      <c r="V470" s="3"/>
      <c r="W470" s="1"/>
      <c r="X470" s="1"/>
    </row>
    <row r="471" ht="16.5" customHeight="1">
      <c r="A471" s="1"/>
      <c r="B471" s="1"/>
      <c r="C471" s="1"/>
      <c r="D471" s="8"/>
      <c r="E471" s="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"/>
      <c r="S471" s="1"/>
      <c r="T471" s="1"/>
      <c r="U471" s="1"/>
      <c r="V471" s="3"/>
      <c r="W471" s="1"/>
      <c r="X471" s="1"/>
    </row>
    <row r="472" ht="16.5" customHeight="1">
      <c r="A472" s="1"/>
      <c r="B472" s="1"/>
      <c r="C472" s="1"/>
      <c r="D472" s="8"/>
      <c r="E472" s="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"/>
      <c r="S472" s="1"/>
      <c r="T472" s="1"/>
      <c r="U472" s="1"/>
      <c r="V472" s="3"/>
      <c r="W472" s="1"/>
      <c r="X472" s="1"/>
    </row>
    <row r="473" ht="16.5" customHeight="1">
      <c r="A473" s="1"/>
      <c r="B473" s="1"/>
      <c r="C473" s="1"/>
      <c r="D473" s="8"/>
      <c r="E473" s="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"/>
      <c r="S473" s="1"/>
      <c r="T473" s="1"/>
      <c r="U473" s="1"/>
      <c r="V473" s="3"/>
      <c r="W473" s="1"/>
      <c r="X473" s="1"/>
    </row>
    <row r="474" ht="16.5" customHeight="1">
      <c r="A474" s="1"/>
      <c r="B474" s="1"/>
      <c r="C474" s="1"/>
      <c r="D474" s="8"/>
      <c r="E474" s="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"/>
      <c r="S474" s="1"/>
      <c r="T474" s="1"/>
      <c r="U474" s="1"/>
      <c r="V474" s="3"/>
      <c r="W474" s="1"/>
      <c r="X474" s="1"/>
    </row>
    <row r="475" ht="16.5" customHeight="1">
      <c r="A475" s="1"/>
      <c r="B475" s="1"/>
      <c r="C475" s="1"/>
      <c r="D475" s="8"/>
      <c r="E475" s="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"/>
      <c r="S475" s="1"/>
      <c r="T475" s="1"/>
      <c r="U475" s="1"/>
      <c r="V475" s="3"/>
      <c r="W475" s="1"/>
      <c r="X475" s="1"/>
    </row>
    <row r="476" ht="16.5" customHeight="1">
      <c r="A476" s="1"/>
      <c r="B476" s="1"/>
      <c r="C476" s="1"/>
      <c r="D476" s="8"/>
      <c r="E476" s="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"/>
      <c r="S476" s="1"/>
      <c r="T476" s="1"/>
      <c r="U476" s="1"/>
      <c r="V476" s="3"/>
      <c r="W476" s="1"/>
      <c r="X476" s="1"/>
    </row>
    <row r="477" ht="16.5" customHeight="1">
      <c r="A477" s="1"/>
      <c r="B477" s="1"/>
      <c r="C477" s="1"/>
      <c r="D477" s="8"/>
      <c r="E477" s="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"/>
      <c r="S477" s="1"/>
      <c r="T477" s="1"/>
      <c r="U477" s="1"/>
      <c r="V477" s="3"/>
      <c r="W477" s="1"/>
      <c r="X477" s="1"/>
    </row>
    <row r="478" ht="16.5" customHeight="1">
      <c r="A478" s="1"/>
      <c r="B478" s="1"/>
      <c r="C478" s="1"/>
      <c r="D478" s="8"/>
      <c r="E478" s="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"/>
      <c r="S478" s="1"/>
      <c r="T478" s="1"/>
      <c r="U478" s="1"/>
      <c r="V478" s="3"/>
      <c r="W478" s="1"/>
      <c r="X478" s="1"/>
    </row>
    <row r="479" ht="16.5" customHeight="1">
      <c r="A479" s="1"/>
      <c r="B479" s="1"/>
      <c r="C479" s="1"/>
      <c r="D479" s="8"/>
      <c r="E479" s="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"/>
      <c r="S479" s="1"/>
      <c r="T479" s="1"/>
      <c r="U479" s="1"/>
      <c r="V479" s="3"/>
      <c r="W479" s="1"/>
      <c r="X479" s="1"/>
    </row>
    <row r="480" ht="16.5" customHeight="1">
      <c r="A480" s="1"/>
      <c r="B480" s="1"/>
      <c r="C480" s="1"/>
      <c r="D480" s="8"/>
      <c r="E480" s="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"/>
      <c r="S480" s="1"/>
      <c r="T480" s="1"/>
      <c r="U480" s="1"/>
      <c r="V480" s="3"/>
      <c r="W480" s="1"/>
      <c r="X480" s="1"/>
    </row>
    <row r="481" ht="16.5" customHeight="1">
      <c r="A481" s="1"/>
      <c r="B481" s="1"/>
      <c r="C481" s="1"/>
      <c r="D481" s="8"/>
      <c r="E481" s="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"/>
      <c r="S481" s="1"/>
      <c r="T481" s="1"/>
      <c r="U481" s="1"/>
      <c r="V481" s="3"/>
      <c r="W481" s="1"/>
      <c r="X481" s="1"/>
    </row>
    <row r="482" ht="16.5" customHeight="1">
      <c r="A482" s="1"/>
      <c r="B482" s="1"/>
      <c r="C482" s="1"/>
      <c r="D482" s="8"/>
      <c r="E482" s="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"/>
      <c r="S482" s="1"/>
      <c r="T482" s="1"/>
      <c r="U482" s="1"/>
      <c r="V482" s="3"/>
      <c r="W482" s="1"/>
      <c r="X482" s="1"/>
    </row>
    <row r="483" ht="16.5" customHeight="1">
      <c r="A483" s="1"/>
      <c r="B483" s="1"/>
      <c r="C483" s="1"/>
      <c r="D483" s="8"/>
      <c r="E483" s="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"/>
      <c r="S483" s="1"/>
      <c r="T483" s="1"/>
      <c r="U483" s="1"/>
      <c r="V483" s="3"/>
      <c r="W483" s="1"/>
      <c r="X483" s="1"/>
    </row>
    <row r="484" ht="16.5" customHeight="1">
      <c r="A484" s="1"/>
      <c r="B484" s="1"/>
      <c r="C484" s="1"/>
      <c r="D484" s="8"/>
      <c r="E484" s="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"/>
      <c r="S484" s="1"/>
      <c r="T484" s="1"/>
      <c r="U484" s="1"/>
      <c r="V484" s="3"/>
      <c r="W484" s="1"/>
      <c r="X484" s="1"/>
    </row>
    <row r="485" ht="16.5" customHeight="1">
      <c r="A485" s="1"/>
      <c r="B485" s="1"/>
      <c r="C485" s="1"/>
      <c r="D485" s="8"/>
      <c r="E485" s="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"/>
      <c r="S485" s="1"/>
      <c r="T485" s="1"/>
      <c r="U485" s="1"/>
      <c r="V485" s="3"/>
      <c r="W485" s="1"/>
      <c r="X485" s="1"/>
    </row>
    <row r="486" ht="16.5" customHeight="1">
      <c r="A486" s="1"/>
      <c r="B486" s="1"/>
      <c r="C486" s="1"/>
      <c r="D486" s="8"/>
      <c r="E486" s="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"/>
      <c r="S486" s="1"/>
      <c r="T486" s="1"/>
      <c r="U486" s="1"/>
      <c r="V486" s="3"/>
      <c r="W486" s="1"/>
      <c r="X486" s="1"/>
    </row>
    <row r="487" ht="16.5" customHeight="1">
      <c r="A487" s="1"/>
      <c r="B487" s="1"/>
      <c r="C487" s="1"/>
      <c r="D487" s="8"/>
      <c r="E487" s="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"/>
      <c r="S487" s="1"/>
      <c r="T487" s="1"/>
      <c r="U487" s="1"/>
      <c r="V487" s="3"/>
      <c r="W487" s="1"/>
      <c r="X487" s="1"/>
    </row>
    <row r="488" ht="16.5" customHeight="1">
      <c r="A488" s="1"/>
      <c r="B488" s="1"/>
      <c r="C488" s="1"/>
      <c r="D488" s="8"/>
      <c r="E488" s="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"/>
      <c r="S488" s="1"/>
      <c r="T488" s="1"/>
      <c r="U488" s="1"/>
      <c r="V488" s="3"/>
      <c r="W488" s="1"/>
      <c r="X488" s="1"/>
    </row>
    <row r="489" ht="16.5" customHeight="1">
      <c r="A489" s="1"/>
      <c r="B489" s="1"/>
      <c r="C489" s="1"/>
      <c r="D489" s="8"/>
      <c r="E489" s="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"/>
      <c r="S489" s="1"/>
      <c r="T489" s="1"/>
      <c r="U489" s="1"/>
      <c r="V489" s="3"/>
      <c r="W489" s="1"/>
      <c r="X489" s="1"/>
    </row>
    <row r="490" ht="16.5" customHeight="1">
      <c r="A490" s="1"/>
      <c r="B490" s="1"/>
      <c r="C490" s="1"/>
      <c r="D490" s="8"/>
      <c r="E490" s="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"/>
      <c r="S490" s="1"/>
      <c r="T490" s="1"/>
      <c r="U490" s="1"/>
      <c r="V490" s="3"/>
      <c r="W490" s="1"/>
      <c r="X490" s="1"/>
    </row>
    <row r="491" ht="16.5" customHeight="1">
      <c r="A491" s="1"/>
      <c r="B491" s="1"/>
      <c r="C491" s="1"/>
      <c r="D491" s="8"/>
      <c r="E491" s="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"/>
      <c r="S491" s="1"/>
      <c r="T491" s="1"/>
      <c r="U491" s="1"/>
      <c r="V491" s="3"/>
      <c r="W491" s="1"/>
      <c r="X491" s="1"/>
    </row>
    <row r="492" ht="16.5" customHeight="1">
      <c r="A492" s="1"/>
      <c r="B492" s="1"/>
      <c r="C492" s="1"/>
      <c r="D492" s="8"/>
      <c r="E492" s="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"/>
      <c r="S492" s="1"/>
      <c r="T492" s="1"/>
      <c r="U492" s="1"/>
      <c r="V492" s="3"/>
      <c r="W492" s="1"/>
      <c r="X492" s="1"/>
    </row>
    <row r="493" ht="16.5" customHeight="1">
      <c r="A493" s="1"/>
      <c r="B493" s="1"/>
      <c r="C493" s="1"/>
      <c r="D493" s="8"/>
      <c r="E493" s="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"/>
      <c r="S493" s="1"/>
      <c r="T493" s="1"/>
      <c r="U493" s="1"/>
      <c r="V493" s="3"/>
      <c r="W493" s="1"/>
      <c r="X493" s="1"/>
    </row>
    <row r="494" ht="16.5" customHeight="1">
      <c r="A494" s="1"/>
      <c r="B494" s="1"/>
      <c r="C494" s="1"/>
      <c r="D494" s="8"/>
      <c r="E494" s="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"/>
      <c r="S494" s="1"/>
      <c r="T494" s="1"/>
      <c r="U494" s="1"/>
      <c r="V494" s="3"/>
      <c r="W494" s="1"/>
      <c r="X494" s="1"/>
    </row>
    <row r="495" ht="16.5" customHeight="1">
      <c r="A495" s="1"/>
      <c r="B495" s="1"/>
      <c r="C495" s="1"/>
      <c r="D495" s="8"/>
      <c r="E495" s="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"/>
      <c r="S495" s="1"/>
      <c r="T495" s="1"/>
      <c r="U495" s="1"/>
      <c r="V495" s="3"/>
      <c r="W495" s="1"/>
      <c r="X495" s="1"/>
    </row>
    <row r="496" ht="16.5" customHeight="1">
      <c r="A496" s="1"/>
      <c r="B496" s="1"/>
      <c r="C496" s="1"/>
      <c r="D496" s="8"/>
      <c r="E496" s="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"/>
      <c r="S496" s="1"/>
      <c r="T496" s="1"/>
      <c r="U496" s="1"/>
      <c r="V496" s="3"/>
      <c r="W496" s="1"/>
      <c r="X496" s="1"/>
    </row>
    <row r="497" ht="16.5" customHeight="1">
      <c r="A497" s="1"/>
      <c r="B497" s="1"/>
      <c r="C497" s="1"/>
      <c r="D497" s="8"/>
      <c r="E497" s="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"/>
      <c r="S497" s="1"/>
      <c r="T497" s="1"/>
      <c r="U497" s="1"/>
      <c r="V497" s="3"/>
      <c r="W497" s="1"/>
      <c r="X497" s="1"/>
    </row>
    <row r="498" ht="16.5" customHeight="1">
      <c r="A498" s="1"/>
      <c r="B498" s="1"/>
      <c r="C498" s="1"/>
      <c r="D498" s="8"/>
      <c r="E498" s="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"/>
      <c r="S498" s="1"/>
      <c r="T498" s="1"/>
      <c r="U498" s="1"/>
      <c r="V498" s="3"/>
      <c r="W498" s="1"/>
      <c r="X498" s="1"/>
    </row>
    <row r="499" ht="16.5" customHeight="1">
      <c r="A499" s="1"/>
      <c r="B499" s="1"/>
      <c r="C499" s="1"/>
      <c r="D499" s="8"/>
      <c r="E499" s="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"/>
      <c r="S499" s="1"/>
      <c r="T499" s="1"/>
      <c r="U499" s="1"/>
      <c r="V499" s="3"/>
      <c r="W499" s="1"/>
      <c r="X499" s="1"/>
    </row>
    <row r="500" ht="16.5" customHeight="1">
      <c r="A500" s="1"/>
      <c r="B500" s="1"/>
      <c r="C500" s="1"/>
      <c r="D500" s="8"/>
      <c r="E500" s="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"/>
      <c r="S500" s="1"/>
      <c r="T500" s="1"/>
      <c r="U500" s="1"/>
      <c r="V500" s="3"/>
      <c r="W500" s="1"/>
      <c r="X500" s="1"/>
    </row>
    <row r="501" ht="16.5" customHeight="1">
      <c r="A501" s="1"/>
      <c r="B501" s="1"/>
      <c r="C501" s="1"/>
      <c r="D501" s="8"/>
      <c r="E501" s="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"/>
      <c r="S501" s="1"/>
      <c r="T501" s="1"/>
      <c r="U501" s="1"/>
      <c r="V501" s="3"/>
      <c r="W501" s="1"/>
      <c r="X501" s="1"/>
    </row>
    <row r="502" ht="16.5" customHeight="1">
      <c r="A502" s="1"/>
      <c r="B502" s="1"/>
      <c r="C502" s="1"/>
      <c r="D502" s="8"/>
      <c r="E502" s="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"/>
      <c r="S502" s="1"/>
      <c r="T502" s="1"/>
      <c r="U502" s="1"/>
      <c r="V502" s="3"/>
      <c r="W502" s="1"/>
      <c r="X502" s="1"/>
    </row>
    <row r="503" ht="16.5" customHeight="1">
      <c r="A503" s="1"/>
      <c r="B503" s="1"/>
      <c r="C503" s="1"/>
      <c r="D503" s="8"/>
      <c r="E503" s="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"/>
      <c r="S503" s="1"/>
      <c r="T503" s="1"/>
      <c r="U503" s="1"/>
      <c r="V503" s="3"/>
      <c r="W503" s="1"/>
      <c r="X503" s="1"/>
    </row>
    <row r="504" ht="16.5" customHeight="1">
      <c r="A504" s="1"/>
      <c r="B504" s="1"/>
      <c r="C504" s="1"/>
      <c r="D504" s="8"/>
      <c r="E504" s="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"/>
      <c r="S504" s="1"/>
      <c r="T504" s="1"/>
      <c r="U504" s="1"/>
      <c r="V504" s="3"/>
      <c r="W504" s="1"/>
      <c r="X504" s="1"/>
    </row>
    <row r="505" ht="16.5" customHeight="1">
      <c r="A505" s="1"/>
      <c r="B505" s="1"/>
      <c r="C505" s="1"/>
      <c r="D505" s="8"/>
      <c r="E505" s="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"/>
      <c r="S505" s="1"/>
      <c r="T505" s="1"/>
      <c r="U505" s="1"/>
      <c r="V505" s="3"/>
      <c r="W505" s="1"/>
      <c r="X505" s="1"/>
    </row>
    <row r="506" ht="16.5" customHeight="1">
      <c r="A506" s="1"/>
      <c r="B506" s="1"/>
      <c r="C506" s="1"/>
      <c r="D506" s="8"/>
      <c r="E506" s="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"/>
      <c r="S506" s="1"/>
      <c r="T506" s="1"/>
      <c r="U506" s="1"/>
      <c r="V506" s="3"/>
      <c r="W506" s="1"/>
      <c r="X506" s="1"/>
    </row>
    <row r="507" ht="16.5" customHeight="1">
      <c r="A507" s="1"/>
      <c r="B507" s="1"/>
      <c r="C507" s="1"/>
      <c r="D507" s="8"/>
      <c r="E507" s="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"/>
      <c r="S507" s="1"/>
      <c r="T507" s="1"/>
      <c r="U507" s="1"/>
      <c r="V507" s="3"/>
      <c r="W507" s="1"/>
      <c r="X507" s="1"/>
    </row>
    <row r="508" ht="16.5" customHeight="1">
      <c r="A508" s="1"/>
      <c r="B508" s="1"/>
      <c r="C508" s="1"/>
      <c r="D508" s="8"/>
      <c r="E508" s="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"/>
      <c r="S508" s="1"/>
      <c r="T508" s="1"/>
      <c r="U508" s="1"/>
      <c r="V508" s="3"/>
      <c r="W508" s="1"/>
      <c r="X508" s="1"/>
    </row>
    <row r="509" ht="16.5" customHeight="1">
      <c r="A509" s="1"/>
      <c r="B509" s="1"/>
      <c r="C509" s="1"/>
      <c r="D509" s="8"/>
      <c r="E509" s="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"/>
      <c r="S509" s="1"/>
      <c r="T509" s="1"/>
      <c r="U509" s="1"/>
      <c r="V509" s="3"/>
      <c r="W509" s="1"/>
      <c r="X509" s="1"/>
    </row>
    <row r="510" ht="16.5" customHeight="1">
      <c r="A510" s="1"/>
      <c r="B510" s="1"/>
      <c r="C510" s="1"/>
      <c r="D510" s="8"/>
      <c r="E510" s="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"/>
      <c r="S510" s="1"/>
      <c r="T510" s="1"/>
      <c r="U510" s="1"/>
      <c r="V510" s="3"/>
      <c r="W510" s="1"/>
      <c r="X510" s="1"/>
    </row>
    <row r="511" ht="16.5" customHeight="1">
      <c r="A511" s="1"/>
      <c r="B511" s="1"/>
      <c r="C511" s="1"/>
      <c r="D511" s="8"/>
      <c r="E511" s="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"/>
      <c r="S511" s="1"/>
      <c r="T511" s="1"/>
      <c r="U511" s="1"/>
      <c r="V511" s="3"/>
      <c r="W511" s="1"/>
      <c r="X511" s="1"/>
    </row>
    <row r="512" ht="16.5" customHeight="1">
      <c r="A512" s="1"/>
      <c r="B512" s="1"/>
      <c r="C512" s="1"/>
      <c r="D512" s="8"/>
      <c r="E512" s="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"/>
      <c r="S512" s="1"/>
      <c r="T512" s="1"/>
      <c r="U512" s="1"/>
      <c r="V512" s="3"/>
      <c r="W512" s="1"/>
      <c r="X512" s="1"/>
    </row>
    <row r="513" ht="16.5" customHeight="1">
      <c r="A513" s="1"/>
      <c r="B513" s="1"/>
      <c r="C513" s="1"/>
      <c r="D513" s="8"/>
      <c r="E513" s="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"/>
      <c r="S513" s="1"/>
      <c r="T513" s="1"/>
      <c r="U513" s="1"/>
      <c r="V513" s="3"/>
      <c r="W513" s="1"/>
      <c r="X513" s="1"/>
    </row>
    <row r="514" ht="16.5" customHeight="1">
      <c r="A514" s="1"/>
      <c r="B514" s="1"/>
      <c r="C514" s="1"/>
      <c r="D514" s="8"/>
      <c r="E514" s="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"/>
      <c r="S514" s="1"/>
      <c r="T514" s="1"/>
      <c r="U514" s="1"/>
      <c r="V514" s="3"/>
      <c r="W514" s="1"/>
      <c r="X514" s="1"/>
    </row>
    <row r="515" ht="16.5" customHeight="1">
      <c r="A515" s="1"/>
      <c r="B515" s="1"/>
      <c r="C515" s="1"/>
      <c r="D515" s="8"/>
      <c r="E515" s="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"/>
      <c r="S515" s="1"/>
      <c r="T515" s="1"/>
      <c r="U515" s="1"/>
      <c r="V515" s="3"/>
      <c r="W515" s="1"/>
      <c r="X515" s="1"/>
    </row>
    <row r="516" ht="16.5" customHeight="1">
      <c r="A516" s="1"/>
      <c r="B516" s="1"/>
      <c r="C516" s="1"/>
      <c r="D516" s="8"/>
      <c r="E516" s="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"/>
      <c r="S516" s="1"/>
      <c r="T516" s="1"/>
      <c r="U516" s="1"/>
      <c r="V516" s="3"/>
      <c r="W516" s="1"/>
      <c r="X516" s="1"/>
    </row>
    <row r="517" ht="16.5" customHeight="1">
      <c r="A517" s="1"/>
      <c r="B517" s="1"/>
      <c r="C517" s="1"/>
      <c r="D517" s="8"/>
      <c r="E517" s="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"/>
      <c r="S517" s="1"/>
      <c r="T517" s="1"/>
      <c r="U517" s="1"/>
      <c r="V517" s="3"/>
      <c r="W517" s="1"/>
      <c r="X517" s="1"/>
    </row>
    <row r="518" ht="16.5" customHeight="1">
      <c r="A518" s="1"/>
      <c r="B518" s="1"/>
      <c r="C518" s="1"/>
      <c r="D518" s="8"/>
      <c r="E518" s="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"/>
      <c r="S518" s="1"/>
      <c r="T518" s="1"/>
      <c r="U518" s="1"/>
      <c r="V518" s="3"/>
      <c r="W518" s="1"/>
      <c r="X518" s="1"/>
    </row>
    <row r="519" ht="16.5" customHeight="1">
      <c r="A519" s="1"/>
      <c r="B519" s="1"/>
      <c r="C519" s="1"/>
      <c r="D519" s="8"/>
      <c r="E519" s="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"/>
      <c r="S519" s="1"/>
      <c r="T519" s="1"/>
      <c r="U519" s="1"/>
      <c r="V519" s="3"/>
      <c r="W519" s="1"/>
      <c r="X519" s="1"/>
    </row>
    <row r="520" ht="16.5" customHeight="1">
      <c r="A520" s="1"/>
      <c r="B520" s="1"/>
      <c r="C520" s="1"/>
      <c r="D520" s="8"/>
      <c r="E520" s="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"/>
      <c r="S520" s="1"/>
      <c r="T520" s="1"/>
      <c r="U520" s="1"/>
      <c r="V520" s="3"/>
      <c r="W520" s="1"/>
      <c r="X520" s="1"/>
    </row>
    <row r="521" ht="16.5" customHeight="1">
      <c r="A521" s="1"/>
      <c r="B521" s="1"/>
      <c r="C521" s="1"/>
      <c r="D521" s="8"/>
      <c r="E521" s="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"/>
      <c r="S521" s="1"/>
      <c r="T521" s="1"/>
      <c r="U521" s="1"/>
      <c r="V521" s="3"/>
      <c r="W521" s="1"/>
      <c r="X521" s="1"/>
    </row>
    <row r="522" ht="16.5" customHeight="1">
      <c r="A522" s="1"/>
      <c r="B522" s="1"/>
      <c r="C522" s="1"/>
      <c r="D522" s="8"/>
      <c r="E522" s="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"/>
      <c r="S522" s="1"/>
      <c r="T522" s="1"/>
      <c r="U522" s="1"/>
      <c r="V522" s="3"/>
      <c r="W522" s="1"/>
      <c r="X522" s="1"/>
    </row>
    <row r="523" ht="16.5" customHeight="1">
      <c r="A523" s="1"/>
      <c r="B523" s="1"/>
      <c r="C523" s="1"/>
      <c r="D523" s="8"/>
      <c r="E523" s="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"/>
      <c r="S523" s="1"/>
      <c r="T523" s="1"/>
      <c r="U523" s="1"/>
      <c r="V523" s="3"/>
      <c r="W523" s="1"/>
      <c r="X523" s="1"/>
    </row>
    <row r="524" ht="16.5" customHeight="1">
      <c r="A524" s="1"/>
      <c r="B524" s="1"/>
      <c r="C524" s="1"/>
      <c r="D524" s="8"/>
      <c r="E524" s="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"/>
      <c r="S524" s="1"/>
      <c r="T524" s="1"/>
      <c r="U524" s="1"/>
      <c r="V524" s="3"/>
      <c r="W524" s="1"/>
      <c r="X524" s="1"/>
    </row>
    <row r="525" ht="16.5" customHeight="1">
      <c r="A525" s="1"/>
      <c r="B525" s="1"/>
      <c r="C525" s="1"/>
      <c r="D525" s="8"/>
      <c r="E525" s="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"/>
      <c r="S525" s="1"/>
      <c r="T525" s="1"/>
      <c r="U525" s="1"/>
      <c r="V525" s="3"/>
      <c r="W525" s="1"/>
      <c r="X525" s="1"/>
    </row>
    <row r="526" ht="16.5" customHeight="1">
      <c r="A526" s="1"/>
      <c r="B526" s="1"/>
      <c r="C526" s="1"/>
      <c r="D526" s="8"/>
      <c r="E526" s="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"/>
      <c r="S526" s="1"/>
      <c r="T526" s="1"/>
      <c r="U526" s="1"/>
      <c r="V526" s="3"/>
      <c r="W526" s="1"/>
      <c r="X526" s="1"/>
    </row>
    <row r="527" ht="16.5" customHeight="1">
      <c r="A527" s="1"/>
      <c r="B527" s="1"/>
      <c r="C527" s="1"/>
      <c r="D527" s="8"/>
      <c r="E527" s="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"/>
      <c r="S527" s="1"/>
      <c r="T527" s="1"/>
      <c r="U527" s="1"/>
      <c r="V527" s="3"/>
      <c r="W527" s="1"/>
      <c r="X527" s="1"/>
    </row>
    <row r="528" ht="16.5" customHeight="1">
      <c r="A528" s="1"/>
      <c r="B528" s="1"/>
      <c r="C528" s="1"/>
      <c r="D528" s="8"/>
      <c r="E528" s="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"/>
      <c r="S528" s="1"/>
      <c r="T528" s="1"/>
      <c r="U528" s="1"/>
      <c r="V528" s="3"/>
      <c r="W528" s="1"/>
      <c r="X528" s="1"/>
    </row>
    <row r="529" ht="16.5" customHeight="1">
      <c r="A529" s="1"/>
      <c r="B529" s="1"/>
      <c r="C529" s="1"/>
      <c r="D529" s="8"/>
      <c r="E529" s="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"/>
      <c r="S529" s="1"/>
      <c r="T529" s="1"/>
      <c r="U529" s="1"/>
      <c r="V529" s="3"/>
      <c r="W529" s="1"/>
      <c r="X529" s="1"/>
    </row>
    <row r="530" ht="16.5" customHeight="1">
      <c r="A530" s="1"/>
      <c r="B530" s="1"/>
      <c r="C530" s="1"/>
      <c r="D530" s="8"/>
      <c r="E530" s="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"/>
      <c r="S530" s="1"/>
      <c r="T530" s="1"/>
      <c r="U530" s="1"/>
      <c r="V530" s="3"/>
      <c r="W530" s="1"/>
      <c r="X530" s="1"/>
    </row>
    <row r="531" ht="16.5" customHeight="1">
      <c r="A531" s="1"/>
      <c r="B531" s="1"/>
      <c r="C531" s="1"/>
      <c r="D531" s="8"/>
      <c r="E531" s="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"/>
      <c r="S531" s="1"/>
      <c r="T531" s="1"/>
      <c r="U531" s="1"/>
      <c r="V531" s="3"/>
      <c r="W531" s="1"/>
      <c r="X531" s="1"/>
    </row>
    <row r="532" ht="16.5" customHeight="1">
      <c r="A532" s="1"/>
      <c r="B532" s="1"/>
      <c r="C532" s="1"/>
      <c r="D532" s="8"/>
      <c r="E532" s="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"/>
      <c r="S532" s="1"/>
      <c r="T532" s="1"/>
      <c r="U532" s="1"/>
      <c r="V532" s="3"/>
      <c r="W532" s="1"/>
      <c r="X532" s="1"/>
    </row>
    <row r="533" ht="16.5" customHeight="1">
      <c r="A533" s="1"/>
      <c r="B533" s="1"/>
      <c r="C533" s="1"/>
      <c r="D533" s="8"/>
      <c r="E533" s="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"/>
      <c r="S533" s="1"/>
      <c r="T533" s="1"/>
      <c r="U533" s="1"/>
      <c r="V533" s="3"/>
      <c r="W533" s="1"/>
      <c r="X533" s="1"/>
    </row>
    <row r="534" ht="16.5" customHeight="1">
      <c r="A534" s="1"/>
      <c r="B534" s="1"/>
      <c r="C534" s="1"/>
      <c r="D534" s="8"/>
      <c r="E534" s="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"/>
      <c r="S534" s="1"/>
      <c r="T534" s="1"/>
      <c r="U534" s="1"/>
      <c r="V534" s="3"/>
      <c r="W534" s="1"/>
      <c r="X534" s="1"/>
    </row>
    <row r="535" ht="16.5" customHeight="1">
      <c r="A535" s="1"/>
      <c r="B535" s="1"/>
      <c r="C535" s="1"/>
      <c r="D535" s="8"/>
      <c r="E535" s="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"/>
      <c r="S535" s="1"/>
      <c r="T535" s="1"/>
      <c r="U535" s="1"/>
      <c r="V535" s="3"/>
      <c r="W535" s="1"/>
      <c r="X535" s="1"/>
    </row>
    <row r="536" ht="16.5" customHeight="1">
      <c r="A536" s="1"/>
      <c r="B536" s="1"/>
      <c r="C536" s="1"/>
      <c r="D536" s="8"/>
      <c r="E536" s="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"/>
      <c r="S536" s="1"/>
      <c r="T536" s="1"/>
      <c r="U536" s="1"/>
      <c r="V536" s="3"/>
      <c r="W536" s="1"/>
      <c r="X536" s="1"/>
    </row>
    <row r="537" ht="16.5" customHeight="1">
      <c r="A537" s="1"/>
      <c r="B537" s="1"/>
      <c r="C537" s="1"/>
      <c r="D537" s="8"/>
      <c r="E537" s="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"/>
      <c r="S537" s="1"/>
      <c r="T537" s="1"/>
      <c r="U537" s="1"/>
      <c r="V537" s="3"/>
      <c r="W537" s="1"/>
      <c r="X537" s="1"/>
    </row>
    <row r="538" ht="16.5" customHeight="1">
      <c r="A538" s="1"/>
      <c r="B538" s="1"/>
      <c r="C538" s="1"/>
      <c r="D538" s="8"/>
      <c r="E538" s="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"/>
      <c r="S538" s="1"/>
      <c r="T538" s="1"/>
      <c r="U538" s="1"/>
      <c r="V538" s="3"/>
      <c r="W538" s="1"/>
      <c r="X538" s="1"/>
    </row>
    <row r="539" ht="16.5" customHeight="1">
      <c r="A539" s="1"/>
      <c r="B539" s="1"/>
      <c r="C539" s="1"/>
      <c r="D539" s="8"/>
      <c r="E539" s="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"/>
      <c r="S539" s="1"/>
      <c r="T539" s="1"/>
      <c r="U539" s="1"/>
      <c r="V539" s="3"/>
      <c r="W539" s="1"/>
      <c r="X539" s="1"/>
    </row>
    <row r="540" ht="16.5" customHeight="1">
      <c r="A540" s="1"/>
      <c r="B540" s="1"/>
      <c r="C540" s="1"/>
      <c r="D540" s="8"/>
      <c r="E540" s="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"/>
      <c r="S540" s="1"/>
      <c r="T540" s="1"/>
      <c r="U540" s="1"/>
      <c r="V540" s="3"/>
      <c r="W540" s="1"/>
      <c r="X540" s="1"/>
    </row>
    <row r="541" ht="16.5" customHeight="1">
      <c r="A541" s="1"/>
      <c r="B541" s="1"/>
      <c r="C541" s="1"/>
      <c r="D541" s="8"/>
      <c r="E541" s="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"/>
      <c r="S541" s="1"/>
      <c r="T541" s="1"/>
      <c r="U541" s="1"/>
      <c r="V541" s="3"/>
      <c r="W541" s="1"/>
      <c r="X541" s="1"/>
    </row>
    <row r="542" ht="16.5" customHeight="1">
      <c r="A542" s="1"/>
      <c r="B542" s="1"/>
      <c r="C542" s="1"/>
      <c r="D542" s="8"/>
      <c r="E542" s="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"/>
      <c r="S542" s="1"/>
      <c r="T542" s="1"/>
      <c r="U542" s="1"/>
      <c r="V542" s="3"/>
      <c r="W542" s="1"/>
      <c r="X542" s="1"/>
    </row>
    <row r="543" ht="16.5" customHeight="1">
      <c r="A543" s="1"/>
      <c r="B543" s="1"/>
      <c r="C543" s="1"/>
      <c r="D543" s="8"/>
      <c r="E543" s="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"/>
      <c r="S543" s="1"/>
      <c r="T543" s="1"/>
      <c r="U543" s="1"/>
      <c r="V543" s="3"/>
      <c r="W543" s="1"/>
      <c r="X543" s="1"/>
    </row>
    <row r="544" ht="16.5" customHeight="1">
      <c r="A544" s="1"/>
      <c r="B544" s="1"/>
      <c r="C544" s="1"/>
      <c r="D544" s="8"/>
      <c r="E544" s="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"/>
      <c r="S544" s="1"/>
      <c r="T544" s="1"/>
      <c r="U544" s="1"/>
      <c r="V544" s="3"/>
      <c r="W544" s="1"/>
      <c r="X544" s="1"/>
    </row>
    <row r="545" ht="16.5" customHeight="1">
      <c r="A545" s="1"/>
      <c r="B545" s="1"/>
      <c r="C545" s="1"/>
      <c r="D545" s="8"/>
      <c r="E545" s="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"/>
      <c r="S545" s="1"/>
      <c r="T545" s="1"/>
      <c r="U545" s="1"/>
      <c r="V545" s="3"/>
      <c r="W545" s="1"/>
      <c r="X545" s="1"/>
    </row>
    <row r="546" ht="16.5" customHeight="1">
      <c r="A546" s="1"/>
      <c r="B546" s="1"/>
      <c r="C546" s="1"/>
      <c r="D546" s="8"/>
      <c r="E546" s="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"/>
      <c r="S546" s="1"/>
      <c r="T546" s="1"/>
      <c r="U546" s="1"/>
      <c r="V546" s="3"/>
      <c r="W546" s="1"/>
      <c r="X546" s="1"/>
    </row>
    <row r="547" ht="16.5" customHeight="1">
      <c r="A547" s="1"/>
      <c r="B547" s="1"/>
      <c r="C547" s="1"/>
      <c r="D547" s="8"/>
      <c r="E547" s="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"/>
      <c r="S547" s="1"/>
      <c r="T547" s="1"/>
      <c r="U547" s="1"/>
      <c r="V547" s="3"/>
      <c r="W547" s="1"/>
      <c r="X547" s="1"/>
    </row>
    <row r="548" ht="16.5" customHeight="1">
      <c r="A548" s="1"/>
      <c r="B548" s="1"/>
      <c r="C548" s="1"/>
      <c r="D548" s="8"/>
      <c r="E548" s="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"/>
      <c r="S548" s="1"/>
      <c r="T548" s="1"/>
      <c r="U548" s="1"/>
      <c r="V548" s="3"/>
      <c r="W548" s="1"/>
      <c r="X548" s="1"/>
    </row>
    <row r="549" ht="16.5" customHeight="1">
      <c r="A549" s="1"/>
      <c r="B549" s="1"/>
      <c r="C549" s="1"/>
      <c r="D549" s="8"/>
      <c r="E549" s="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"/>
      <c r="S549" s="1"/>
      <c r="T549" s="1"/>
      <c r="U549" s="1"/>
      <c r="V549" s="3"/>
      <c r="W549" s="1"/>
      <c r="X549" s="1"/>
    </row>
    <row r="550" ht="16.5" customHeight="1">
      <c r="A550" s="1"/>
      <c r="B550" s="1"/>
      <c r="C550" s="1"/>
      <c r="D550" s="8"/>
      <c r="E550" s="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"/>
      <c r="S550" s="1"/>
      <c r="T550" s="1"/>
      <c r="U550" s="1"/>
      <c r="V550" s="3"/>
      <c r="W550" s="1"/>
      <c r="X550" s="1"/>
    </row>
    <row r="551" ht="16.5" customHeight="1">
      <c r="A551" s="1"/>
      <c r="B551" s="1"/>
      <c r="C551" s="1"/>
      <c r="D551" s="8"/>
      <c r="E551" s="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"/>
      <c r="S551" s="1"/>
      <c r="T551" s="1"/>
      <c r="U551" s="1"/>
      <c r="V551" s="3"/>
      <c r="W551" s="1"/>
      <c r="X551" s="1"/>
    </row>
    <row r="552" ht="16.5" customHeight="1">
      <c r="A552" s="1"/>
      <c r="B552" s="1"/>
      <c r="C552" s="1"/>
      <c r="D552" s="8"/>
      <c r="E552" s="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"/>
      <c r="S552" s="1"/>
      <c r="T552" s="1"/>
      <c r="U552" s="1"/>
      <c r="V552" s="3"/>
      <c r="W552" s="1"/>
      <c r="X552" s="1"/>
    </row>
    <row r="553" ht="16.5" customHeight="1">
      <c r="A553" s="1"/>
      <c r="B553" s="1"/>
      <c r="C553" s="1"/>
      <c r="D553" s="8"/>
      <c r="E553" s="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"/>
      <c r="S553" s="1"/>
      <c r="T553" s="1"/>
      <c r="U553" s="1"/>
      <c r="V553" s="3"/>
      <c r="W553" s="1"/>
      <c r="X553" s="1"/>
    </row>
    <row r="554" ht="16.5" customHeight="1">
      <c r="A554" s="1"/>
      <c r="B554" s="1"/>
      <c r="C554" s="1"/>
      <c r="D554" s="8"/>
      <c r="E554" s="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"/>
      <c r="S554" s="1"/>
      <c r="T554" s="1"/>
      <c r="U554" s="1"/>
      <c r="V554" s="3"/>
      <c r="W554" s="1"/>
      <c r="X554" s="1"/>
    </row>
    <row r="555" ht="16.5" customHeight="1">
      <c r="A555" s="1"/>
      <c r="B555" s="1"/>
      <c r="C555" s="1"/>
      <c r="D555" s="8"/>
      <c r="E555" s="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"/>
      <c r="S555" s="1"/>
      <c r="T555" s="1"/>
      <c r="U555" s="1"/>
      <c r="V555" s="3"/>
      <c r="W555" s="1"/>
      <c r="X555" s="1"/>
    </row>
    <row r="556" ht="16.5" customHeight="1">
      <c r="A556" s="1"/>
      <c r="B556" s="1"/>
      <c r="C556" s="1"/>
      <c r="D556" s="8"/>
      <c r="E556" s="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"/>
      <c r="S556" s="1"/>
      <c r="T556" s="1"/>
      <c r="U556" s="1"/>
      <c r="V556" s="3"/>
      <c r="W556" s="1"/>
      <c r="X556" s="1"/>
    </row>
    <row r="557" ht="16.5" customHeight="1">
      <c r="A557" s="1"/>
      <c r="B557" s="1"/>
      <c r="C557" s="1"/>
      <c r="D557" s="8"/>
      <c r="E557" s="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"/>
      <c r="S557" s="1"/>
      <c r="T557" s="1"/>
      <c r="U557" s="1"/>
      <c r="V557" s="3"/>
      <c r="W557" s="1"/>
      <c r="X557" s="1"/>
    </row>
    <row r="558" ht="16.5" customHeight="1">
      <c r="A558" s="1"/>
      <c r="B558" s="1"/>
      <c r="C558" s="1"/>
      <c r="D558" s="8"/>
      <c r="E558" s="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"/>
      <c r="S558" s="1"/>
      <c r="T558" s="1"/>
      <c r="U558" s="1"/>
      <c r="V558" s="3"/>
      <c r="W558" s="1"/>
      <c r="X558" s="1"/>
    </row>
    <row r="559" ht="16.5" customHeight="1">
      <c r="A559" s="1"/>
      <c r="B559" s="1"/>
      <c r="C559" s="1"/>
      <c r="D559" s="8"/>
      <c r="E559" s="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"/>
      <c r="S559" s="1"/>
      <c r="T559" s="1"/>
      <c r="U559" s="1"/>
      <c r="V559" s="3"/>
      <c r="W559" s="1"/>
      <c r="X559" s="1"/>
    </row>
    <row r="560" ht="16.5" customHeight="1">
      <c r="A560" s="1"/>
      <c r="B560" s="1"/>
      <c r="C560" s="1"/>
      <c r="D560" s="8"/>
      <c r="E560" s="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"/>
      <c r="S560" s="1"/>
      <c r="T560" s="1"/>
      <c r="U560" s="1"/>
      <c r="V560" s="3"/>
      <c r="W560" s="1"/>
      <c r="X560" s="1"/>
    </row>
    <row r="561" ht="16.5" customHeight="1">
      <c r="A561" s="1"/>
      <c r="B561" s="1"/>
      <c r="C561" s="1"/>
      <c r="D561" s="8"/>
      <c r="E561" s="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"/>
      <c r="S561" s="1"/>
      <c r="T561" s="1"/>
      <c r="U561" s="1"/>
      <c r="V561" s="3"/>
      <c r="W561" s="1"/>
      <c r="X561" s="1"/>
    </row>
    <row r="562" ht="16.5" customHeight="1">
      <c r="A562" s="1"/>
      <c r="B562" s="1"/>
      <c r="C562" s="1"/>
      <c r="D562" s="8"/>
      <c r="E562" s="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"/>
      <c r="S562" s="1"/>
      <c r="T562" s="1"/>
      <c r="U562" s="1"/>
      <c r="V562" s="3"/>
      <c r="W562" s="1"/>
      <c r="X562" s="1"/>
    </row>
    <row r="563" ht="16.5" customHeight="1">
      <c r="A563" s="1"/>
      <c r="B563" s="1"/>
      <c r="C563" s="1"/>
      <c r="D563" s="8"/>
      <c r="E563" s="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"/>
      <c r="S563" s="1"/>
      <c r="T563" s="1"/>
      <c r="U563" s="1"/>
      <c r="V563" s="3"/>
      <c r="W563" s="1"/>
      <c r="X563" s="1"/>
    </row>
    <row r="564" ht="16.5" customHeight="1">
      <c r="A564" s="1"/>
      <c r="B564" s="1"/>
      <c r="C564" s="1"/>
      <c r="D564" s="8"/>
      <c r="E564" s="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"/>
      <c r="S564" s="1"/>
      <c r="T564" s="1"/>
      <c r="U564" s="1"/>
      <c r="V564" s="3"/>
      <c r="W564" s="1"/>
      <c r="X564" s="1"/>
    </row>
    <row r="565" ht="16.5" customHeight="1">
      <c r="A565" s="1"/>
      <c r="B565" s="1"/>
      <c r="C565" s="1"/>
      <c r="D565" s="8"/>
      <c r="E565" s="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"/>
      <c r="S565" s="1"/>
      <c r="T565" s="1"/>
      <c r="U565" s="1"/>
      <c r="V565" s="3"/>
      <c r="W565" s="1"/>
      <c r="X565" s="1"/>
    </row>
    <row r="566" ht="16.5" customHeight="1">
      <c r="A566" s="1"/>
      <c r="B566" s="1"/>
      <c r="C566" s="1"/>
      <c r="D566" s="8"/>
      <c r="E566" s="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"/>
      <c r="S566" s="1"/>
      <c r="T566" s="1"/>
      <c r="U566" s="1"/>
      <c r="V566" s="3"/>
      <c r="W566" s="1"/>
      <c r="X566" s="1"/>
    </row>
    <row r="567" ht="16.5" customHeight="1">
      <c r="A567" s="1"/>
      <c r="B567" s="1"/>
      <c r="C567" s="1"/>
      <c r="D567" s="8"/>
      <c r="E567" s="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"/>
      <c r="S567" s="1"/>
      <c r="T567" s="1"/>
      <c r="U567" s="1"/>
      <c r="V567" s="3"/>
      <c r="W567" s="1"/>
      <c r="X567" s="1"/>
    </row>
    <row r="568" ht="16.5" customHeight="1">
      <c r="A568" s="1"/>
      <c r="B568" s="1"/>
      <c r="C568" s="1"/>
      <c r="D568" s="8"/>
      <c r="E568" s="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"/>
      <c r="S568" s="1"/>
      <c r="T568" s="1"/>
      <c r="U568" s="1"/>
      <c r="V568" s="3"/>
      <c r="W568" s="1"/>
      <c r="X568" s="1"/>
    </row>
    <row r="569" ht="16.5" customHeight="1">
      <c r="A569" s="1"/>
      <c r="B569" s="1"/>
      <c r="C569" s="1"/>
      <c r="D569" s="8"/>
      <c r="E569" s="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"/>
      <c r="S569" s="1"/>
      <c r="T569" s="1"/>
      <c r="U569" s="1"/>
      <c r="V569" s="3"/>
      <c r="W569" s="1"/>
      <c r="X569" s="1"/>
    </row>
    <row r="570" ht="16.5" customHeight="1">
      <c r="A570" s="1"/>
      <c r="B570" s="1"/>
      <c r="C570" s="1"/>
      <c r="D570" s="8"/>
      <c r="E570" s="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"/>
      <c r="S570" s="1"/>
      <c r="T570" s="1"/>
      <c r="U570" s="1"/>
      <c r="V570" s="3"/>
      <c r="W570" s="1"/>
      <c r="X570" s="1"/>
    </row>
    <row r="571" ht="16.5" customHeight="1">
      <c r="A571" s="1"/>
      <c r="B571" s="1"/>
      <c r="C571" s="1"/>
      <c r="D571" s="8"/>
      <c r="E571" s="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"/>
      <c r="S571" s="1"/>
      <c r="T571" s="1"/>
      <c r="U571" s="1"/>
      <c r="V571" s="3"/>
      <c r="W571" s="1"/>
      <c r="X571" s="1"/>
    </row>
    <row r="572" ht="16.5" customHeight="1">
      <c r="A572" s="1"/>
      <c r="B572" s="1"/>
      <c r="C572" s="1"/>
      <c r="D572" s="8"/>
      <c r="E572" s="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"/>
      <c r="S572" s="1"/>
      <c r="T572" s="1"/>
      <c r="U572" s="1"/>
      <c r="V572" s="3"/>
      <c r="W572" s="1"/>
      <c r="X572" s="1"/>
    </row>
    <row r="573" ht="16.5" customHeight="1">
      <c r="A573" s="1"/>
      <c r="B573" s="1"/>
      <c r="C573" s="1"/>
      <c r="D573" s="8"/>
      <c r="E573" s="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"/>
      <c r="S573" s="1"/>
      <c r="T573" s="1"/>
      <c r="U573" s="1"/>
      <c r="V573" s="3"/>
      <c r="W573" s="1"/>
      <c r="X573" s="1"/>
    </row>
    <row r="574" ht="16.5" customHeight="1">
      <c r="A574" s="1"/>
      <c r="B574" s="1"/>
      <c r="C574" s="1"/>
      <c r="D574" s="8"/>
      <c r="E574" s="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"/>
      <c r="S574" s="1"/>
      <c r="T574" s="1"/>
      <c r="U574" s="1"/>
      <c r="V574" s="3"/>
      <c r="W574" s="1"/>
      <c r="X574" s="1"/>
    </row>
    <row r="575" ht="16.5" customHeight="1">
      <c r="A575" s="1"/>
      <c r="B575" s="1"/>
      <c r="C575" s="1"/>
      <c r="D575" s="8"/>
      <c r="E575" s="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"/>
      <c r="S575" s="1"/>
      <c r="T575" s="1"/>
      <c r="U575" s="1"/>
      <c r="V575" s="3"/>
      <c r="W575" s="1"/>
      <c r="X575" s="1"/>
    </row>
    <row r="576" ht="16.5" customHeight="1">
      <c r="A576" s="1"/>
      <c r="B576" s="1"/>
      <c r="C576" s="1"/>
      <c r="D576" s="8"/>
      <c r="E576" s="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"/>
      <c r="S576" s="1"/>
      <c r="T576" s="1"/>
      <c r="U576" s="1"/>
      <c r="V576" s="3"/>
      <c r="W576" s="1"/>
      <c r="X576" s="1"/>
    </row>
    <row r="577" ht="16.5" customHeight="1">
      <c r="A577" s="1"/>
      <c r="B577" s="1"/>
      <c r="C577" s="1"/>
      <c r="D577" s="8"/>
      <c r="E577" s="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"/>
      <c r="S577" s="1"/>
      <c r="T577" s="1"/>
      <c r="U577" s="1"/>
      <c r="V577" s="3"/>
      <c r="W577" s="1"/>
      <c r="X577" s="1"/>
    </row>
    <row r="578" ht="16.5" customHeight="1">
      <c r="A578" s="1"/>
      <c r="B578" s="1"/>
      <c r="C578" s="1"/>
      <c r="D578" s="8"/>
      <c r="E578" s="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"/>
      <c r="S578" s="1"/>
      <c r="T578" s="1"/>
      <c r="U578" s="1"/>
      <c r="V578" s="3"/>
      <c r="W578" s="1"/>
      <c r="X578" s="1"/>
    </row>
    <row r="579" ht="16.5" customHeight="1">
      <c r="A579" s="1"/>
      <c r="B579" s="1"/>
      <c r="C579" s="1"/>
      <c r="D579" s="8"/>
      <c r="E579" s="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"/>
      <c r="S579" s="1"/>
      <c r="T579" s="1"/>
      <c r="U579" s="1"/>
      <c r="V579" s="3"/>
      <c r="W579" s="1"/>
      <c r="X579" s="1"/>
    </row>
    <row r="580" ht="16.5" customHeight="1">
      <c r="A580" s="1"/>
      <c r="B580" s="1"/>
      <c r="C580" s="1"/>
      <c r="D580" s="8"/>
      <c r="E580" s="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"/>
      <c r="S580" s="1"/>
      <c r="T580" s="1"/>
      <c r="U580" s="1"/>
      <c r="V580" s="3"/>
      <c r="W580" s="1"/>
      <c r="X580" s="1"/>
    </row>
    <row r="581" ht="16.5" customHeight="1">
      <c r="A581" s="1"/>
      <c r="B581" s="1"/>
      <c r="C581" s="1"/>
      <c r="D581" s="8"/>
      <c r="E581" s="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"/>
      <c r="S581" s="1"/>
      <c r="T581" s="1"/>
      <c r="U581" s="1"/>
      <c r="V581" s="3"/>
      <c r="W581" s="1"/>
      <c r="X581" s="1"/>
    </row>
    <row r="582" ht="16.5" customHeight="1">
      <c r="A582" s="1"/>
      <c r="B582" s="1"/>
      <c r="C582" s="1"/>
      <c r="D582" s="8"/>
      <c r="E582" s="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"/>
      <c r="S582" s="1"/>
      <c r="T582" s="1"/>
      <c r="U582" s="1"/>
      <c r="V582" s="3"/>
      <c r="W582" s="1"/>
      <c r="X582" s="1"/>
    </row>
    <row r="583" ht="16.5" customHeight="1">
      <c r="A583" s="1"/>
      <c r="B583" s="1"/>
      <c r="C583" s="1"/>
      <c r="D583" s="8"/>
      <c r="E583" s="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"/>
      <c r="S583" s="1"/>
      <c r="T583" s="1"/>
      <c r="U583" s="1"/>
      <c r="V583" s="3"/>
      <c r="W583" s="1"/>
      <c r="X583" s="1"/>
    </row>
    <row r="584" ht="16.5" customHeight="1">
      <c r="A584" s="1"/>
      <c r="B584" s="1"/>
      <c r="C584" s="1"/>
      <c r="D584" s="8"/>
      <c r="E584" s="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"/>
      <c r="S584" s="1"/>
      <c r="T584" s="1"/>
      <c r="U584" s="1"/>
      <c r="V584" s="3"/>
      <c r="W584" s="1"/>
      <c r="X584" s="1"/>
    </row>
    <row r="585" ht="16.5" customHeight="1">
      <c r="A585" s="1"/>
      <c r="B585" s="1"/>
      <c r="C585" s="1"/>
      <c r="D585" s="8"/>
      <c r="E585" s="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"/>
      <c r="S585" s="1"/>
      <c r="T585" s="1"/>
      <c r="U585" s="1"/>
      <c r="V585" s="3"/>
      <c r="W585" s="1"/>
      <c r="X585" s="1"/>
    </row>
    <row r="586" ht="16.5" customHeight="1">
      <c r="A586" s="1"/>
      <c r="B586" s="1"/>
      <c r="C586" s="1"/>
      <c r="D586" s="8"/>
      <c r="E586" s="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"/>
      <c r="S586" s="1"/>
      <c r="T586" s="1"/>
      <c r="U586" s="1"/>
      <c r="V586" s="3"/>
      <c r="W586" s="1"/>
      <c r="X586" s="1"/>
    </row>
    <row r="587" ht="16.5" customHeight="1">
      <c r="A587" s="1"/>
      <c r="B587" s="1"/>
      <c r="C587" s="1"/>
      <c r="D587" s="8"/>
      <c r="E587" s="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"/>
      <c r="S587" s="1"/>
      <c r="T587" s="1"/>
      <c r="U587" s="1"/>
      <c r="V587" s="3"/>
      <c r="W587" s="1"/>
      <c r="X587" s="1"/>
    </row>
    <row r="588" ht="16.5" customHeight="1">
      <c r="A588" s="1"/>
      <c r="B588" s="1"/>
      <c r="C588" s="1"/>
      <c r="D588" s="8"/>
      <c r="E588" s="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"/>
      <c r="S588" s="1"/>
      <c r="T588" s="1"/>
      <c r="U588" s="1"/>
      <c r="V588" s="3"/>
      <c r="W588" s="1"/>
      <c r="X588" s="1"/>
    </row>
    <row r="589" ht="16.5" customHeight="1">
      <c r="A589" s="1"/>
      <c r="B589" s="1"/>
      <c r="C589" s="1"/>
      <c r="D589" s="8"/>
      <c r="E589" s="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"/>
      <c r="S589" s="1"/>
      <c r="T589" s="1"/>
      <c r="U589" s="1"/>
      <c r="V589" s="3"/>
      <c r="W589" s="1"/>
      <c r="X589" s="1"/>
    </row>
    <row r="590" ht="16.5" customHeight="1">
      <c r="A590" s="1"/>
      <c r="B590" s="1"/>
      <c r="C590" s="1"/>
      <c r="D590" s="8"/>
      <c r="E590" s="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"/>
      <c r="S590" s="1"/>
      <c r="T590" s="1"/>
      <c r="U590" s="1"/>
      <c r="V590" s="3"/>
      <c r="W590" s="1"/>
      <c r="X590" s="1"/>
    </row>
    <row r="591" ht="16.5" customHeight="1">
      <c r="A591" s="1"/>
      <c r="B591" s="1"/>
      <c r="C591" s="1"/>
      <c r="D591" s="8"/>
      <c r="E591" s="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"/>
      <c r="S591" s="1"/>
      <c r="T591" s="1"/>
      <c r="U591" s="1"/>
      <c r="V591" s="3"/>
      <c r="W591" s="1"/>
      <c r="X591" s="1"/>
    </row>
    <row r="592" ht="16.5" customHeight="1">
      <c r="A592" s="1"/>
      <c r="B592" s="1"/>
      <c r="C592" s="1"/>
      <c r="D592" s="8"/>
      <c r="E592" s="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"/>
      <c r="S592" s="1"/>
      <c r="T592" s="1"/>
      <c r="U592" s="1"/>
      <c r="V592" s="3"/>
      <c r="W592" s="1"/>
      <c r="X592" s="1"/>
    </row>
    <row r="593" ht="16.5" customHeight="1">
      <c r="A593" s="1"/>
      <c r="B593" s="1"/>
      <c r="C593" s="1"/>
      <c r="D593" s="8"/>
      <c r="E593" s="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"/>
      <c r="S593" s="1"/>
      <c r="T593" s="1"/>
      <c r="U593" s="1"/>
      <c r="V593" s="3"/>
      <c r="W593" s="1"/>
      <c r="X593" s="1"/>
    </row>
    <row r="594" ht="16.5" customHeight="1">
      <c r="A594" s="1"/>
      <c r="B594" s="1"/>
      <c r="C594" s="1"/>
      <c r="D594" s="8"/>
      <c r="E594" s="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"/>
      <c r="S594" s="1"/>
      <c r="T594" s="1"/>
      <c r="U594" s="1"/>
      <c r="V594" s="3"/>
      <c r="W594" s="1"/>
      <c r="X594" s="1"/>
    </row>
    <row r="595" ht="16.5" customHeight="1">
      <c r="A595" s="1"/>
      <c r="B595" s="1"/>
      <c r="C595" s="1"/>
      <c r="D595" s="8"/>
      <c r="E595" s="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"/>
      <c r="S595" s="1"/>
      <c r="T595" s="1"/>
      <c r="U595" s="1"/>
      <c r="V595" s="3"/>
      <c r="W595" s="1"/>
      <c r="X595" s="1"/>
    </row>
    <row r="596" ht="16.5" customHeight="1">
      <c r="A596" s="1"/>
      <c r="B596" s="1"/>
      <c r="C596" s="1"/>
      <c r="D596" s="8"/>
      <c r="E596" s="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"/>
      <c r="S596" s="1"/>
      <c r="T596" s="1"/>
      <c r="U596" s="1"/>
      <c r="V596" s="3"/>
      <c r="W596" s="1"/>
      <c r="X596" s="1"/>
    </row>
    <row r="597" ht="16.5" customHeight="1">
      <c r="A597" s="1"/>
      <c r="B597" s="1"/>
      <c r="C597" s="1"/>
      <c r="D597" s="8"/>
      <c r="E597" s="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"/>
      <c r="S597" s="1"/>
      <c r="T597" s="1"/>
      <c r="U597" s="1"/>
      <c r="V597" s="3"/>
      <c r="W597" s="1"/>
      <c r="X597" s="1"/>
    </row>
    <row r="598" ht="16.5" customHeight="1">
      <c r="A598" s="1"/>
      <c r="B598" s="1"/>
      <c r="C598" s="1"/>
      <c r="D598" s="8"/>
      <c r="E598" s="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"/>
      <c r="S598" s="1"/>
      <c r="T598" s="1"/>
      <c r="U598" s="1"/>
      <c r="V598" s="3"/>
      <c r="W598" s="1"/>
      <c r="X598" s="1"/>
    </row>
    <row r="599" ht="16.5" customHeight="1">
      <c r="A599" s="1"/>
      <c r="B599" s="1"/>
      <c r="C599" s="1"/>
      <c r="D599" s="8"/>
      <c r="E599" s="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"/>
      <c r="S599" s="1"/>
      <c r="T599" s="1"/>
      <c r="U599" s="1"/>
      <c r="V599" s="3"/>
      <c r="W599" s="1"/>
      <c r="X599" s="1"/>
    </row>
    <row r="600" ht="16.5" customHeight="1">
      <c r="A600" s="1"/>
      <c r="B600" s="1"/>
      <c r="C600" s="1"/>
      <c r="D600" s="8"/>
      <c r="E600" s="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"/>
      <c r="S600" s="1"/>
      <c r="T600" s="1"/>
      <c r="U600" s="1"/>
      <c r="V600" s="3"/>
      <c r="W600" s="1"/>
      <c r="X600" s="1"/>
    </row>
    <row r="601" ht="16.5" customHeight="1">
      <c r="A601" s="1"/>
      <c r="B601" s="1"/>
      <c r="C601" s="1"/>
      <c r="D601" s="8"/>
      <c r="E601" s="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"/>
      <c r="S601" s="1"/>
      <c r="T601" s="1"/>
      <c r="U601" s="1"/>
      <c r="V601" s="3"/>
      <c r="W601" s="1"/>
      <c r="X601" s="1"/>
    </row>
    <row r="602" ht="16.5" customHeight="1">
      <c r="A602" s="1"/>
      <c r="B602" s="1"/>
      <c r="C602" s="1"/>
      <c r="D602" s="8"/>
      <c r="E602" s="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"/>
      <c r="S602" s="1"/>
      <c r="T602" s="1"/>
      <c r="U602" s="1"/>
      <c r="V602" s="3"/>
      <c r="W602" s="1"/>
      <c r="X602" s="1"/>
    </row>
    <row r="603" ht="16.5" customHeight="1">
      <c r="A603" s="1"/>
      <c r="B603" s="1"/>
      <c r="C603" s="1"/>
      <c r="D603" s="8"/>
      <c r="E603" s="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"/>
      <c r="S603" s="1"/>
      <c r="T603" s="1"/>
      <c r="U603" s="1"/>
      <c r="V603" s="3"/>
      <c r="W603" s="1"/>
      <c r="X603" s="1"/>
    </row>
    <row r="604" ht="16.5" customHeight="1">
      <c r="A604" s="1"/>
      <c r="B604" s="1"/>
      <c r="C604" s="1"/>
      <c r="D604" s="8"/>
      <c r="E604" s="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"/>
      <c r="S604" s="1"/>
      <c r="T604" s="1"/>
      <c r="U604" s="1"/>
      <c r="V604" s="3"/>
      <c r="W604" s="1"/>
      <c r="X604" s="1"/>
    </row>
    <row r="605" ht="16.5" customHeight="1">
      <c r="A605" s="1"/>
      <c r="B605" s="1"/>
      <c r="C605" s="1"/>
      <c r="D605" s="8"/>
      <c r="E605" s="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"/>
      <c r="S605" s="1"/>
      <c r="T605" s="1"/>
      <c r="U605" s="1"/>
      <c r="V605" s="3"/>
      <c r="W605" s="1"/>
      <c r="X605" s="1"/>
    </row>
    <row r="606" ht="16.5" customHeight="1">
      <c r="A606" s="1"/>
      <c r="B606" s="1"/>
      <c r="C606" s="1"/>
      <c r="D606" s="8"/>
      <c r="E606" s="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"/>
      <c r="S606" s="1"/>
      <c r="T606" s="1"/>
      <c r="U606" s="1"/>
      <c r="V606" s="3"/>
      <c r="W606" s="1"/>
      <c r="X606" s="1"/>
    </row>
    <row r="607" ht="16.5" customHeight="1">
      <c r="A607" s="1"/>
      <c r="B607" s="1"/>
      <c r="C607" s="1"/>
      <c r="D607" s="8"/>
      <c r="E607" s="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"/>
      <c r="S607" s="1"/>
      <c r="T607" s="1"/>
      <c r="U607" s="1"/>
      <c r="V607" s="3"/>
      <c r="W607" s="1"/>
      <c r="X607" s="1"/>
    </row>
    <row r="608" ht="16.5" customHeight="1">
      <c r="A608" s="1"/>
      <c r="B608" s="1"/>
      <c r="C608" s="1"/>
      <c r="D608" s="8"/>
      <c r="E608" s="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"/>
      <c r="S608" s="1"/>
      <c r="T608" s="1"/>
      <c r="U608" s="1"/>
      <c r="V608" s="3"/>
      <c r="W608" s="1"/>
      <c r="X608" s="1"/>
    </row>
    <row r="609" ht="16.5" customHeight="1">
      <c r="A609" s="1"/>
      <c r="B609" s="1"/>
      <c r="C609" s="1"/>
      <c r="D609" s="8"/>
      <c r="E609" s="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"/>
      <c r="S609" s="1"/>
      <c r="T609" s="1"/>
      <c r="U609" s="1"/>
      <c r="V609" s="3"/>
      <c r="W609" s="1"/>
      <c r="X609" s="1"/>
    </row>
    <row r="610" ht="16.5" customHeight="1">
      <c r="A610" s="1"/>
      <c r="B610" s="1"/>
      <c r="C610" s="1"/>
      <c r="D610" s="8"/>
      <c r="E610" s="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"/>
      <c r="S610" s="1"/>
      <c r="T610" s="1"/>
      <c r="U610" s="1"/>
      <c r="V610" s="3"/>
      <c r="W610" s="1"/>
      <c r="X610" s="1"/>
    </row>
    <row r="611" ht="16.5" customHeight="1">
      <c r="A611" s="1"/>
      <c r="B611" s="1"/>
      <c r="C611" s="1"/>
      <c r="D611" s="8"/>
      <c r="E611" s="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"/>
      <c r="S611" s="1"/>
      <c r="T611" s="1"/>
      <c r="U611" s="1"/>
      <c r="V611" s="3"/>
      <c r="W611" s="1"/>
      <c r="X611" s="1"/>
    </row>
    <row r="612" ht="16.5" customHeight="1">
      <c r="A612" s="1"/>
      <c r="B612" s="1"/>
      <c r="C612" s="1"/>
      <c r="D612" s="8"/>
      <c r="E612" s="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"/>
      <c r="S612" s="1"/>
      <c r="T612" s="1"/>
      <c r="U612" s="1"/>
      <c r="V612" s="3"/>
      <c r="W612" s="1"/>
      <c r="X612" s="1"/>
    </row>
    <row r="613" ht="16.5" customHeight="1">
      <c r="A613" s="1"/>
      <c r="B613" s="1"/>
      <c r="C613" s="1"/>
      <c r="D613" s="8"/>
      <c r="E613" s="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"/>
      <c r="S613" s="1"/>
      <c r="T613" s="1"/>
      <c r="U613" s="1"/>
      <c r="V613" s="3"/>
      <c r="W613" s="1"/>
      <c r="X613" s="1"/>
    </row>
    <row r="614" ht="16.5" customHeight="1">
      <c r="A614" s="1"/>
      <c r="B614" s="1"/>
      <c r="C614" s="1"/>
      <c r="D614" s="8"/>
      <c r="E614" s="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"/>
      <c r="S614" s="1"/>
      <c r="T614" s="1"/>
      <c r="U614" s="1"/>
      <c r="V614" s="3"/>
      <c r="W614" s="1"/>
      <c r="X614" s="1"/>
    </row>
    <row r="615" ht="16.5" customHeight="1">
      <c r="A615" s="1"/>
      <c r="B615" s="1"/>
      <c r="C615" s="1"/>
      <c r="D615" s="8"/>
      <c r="E615" s="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"/>
      <c r="S615" s="1"/>
      <c r="T615" s="1"/>
      <c r="U615" s="1"/>
      <c r="V615" s="3"/>
      <c r="W615" s="1"/>
      <c r="X615" s="1"/>
    </row>
    <row r="616" ht="16.5" customHeight="1">
      <c r="A616" s="1"/>
      <c r="B616" s="1"/>
      <c r="C616" s="1"/>
      <c r="D616" s="8"/>
      <c r="E616" s="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"/>
      <c r="S616" s="1"/>
      <c r="T616" s="1"/>
      <c r="U616" s="1"/>
      <c r="V616" s="3"/>
      <c r="W616" s="1"/>
      <c r="X616" s="1"/>
    </row>
    <row r="617" ht="16.5" customHeight="1">
      <c r="A617" s="1"/>
      <c r="B617" s="1"/>
      <c r="C617" s="1"/>
      <c r="D617" s="8"/>
      <c r="E617" s="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"/>
      <c r="S617" s="1"/>
      <c r="T617" s="1"/>
      <c r="U617" s="1"/>
      <c r="V617" s="3"/>
      <c r="W617" s="1"/>
      <c r="X617" s="1"/>
    </row>
    <row r="618" ht="16.5" customHeight="1">
      <c r="A618" s="1"/>
      <c r="B618" s="1"/>
      <c r="C618" s="1"/>
      <c r="D618" s="8"/>
      <c r="E618" s="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"/>
      <c r="S618" s="1"/>
      <c r="T618" s="1"/>
      <c r="U618" s="1"/>
      <c r="V618" s="3"/>
      <c r="W618" s="1"/>
      <c r="X618" s="1"/>
    </row>
    <row r="619" ht="16.5" customHeight="1">
      <c r="A619" s="1"/>
      <c r="B619" s="1"/>
      <c r="C619" s="1"/>
      <c r="D619" s="8"/>
      <c r="E619" s="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"/>
      <c r="S619" s="1"/>
      <c r="T619" s="1"/>
      <c r="U619" s="1"/>
      <c r="V619" s="3"/>
      <c r="W619" s="1"/>
      <c r="X619" s="1"/>
    </row>
    <row r="620" ht="16.5" customHeight="1">
      <c r="A620" s="1"/>
      <c r="B620" s="1"/>
      <c r="C620" s="1"/>
      <c r="D620" s="8"/>
      <c r="E620" s="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"/>
      <c r="S620" s="1"/>
      <c r="T620" s="1"/>
      <c r="U620" s="1"/>
      <c r="V620" s="3"/>
      <c r="W620" s="1"/>
      <c r="X620" s="1"/>
    </row>
    <row r="621" ht="16.5" customHeight="1">
      <c r="A621" s="1"/>
      <c r="B621" s="1"/>
      <c r="C621" s="1"/>
      <c r="D621" s="8"/>
      <c r="E621" s="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"/>
      <c r="S621" s="1"/>
      <c r="T621" s="1"/>
      <c r="U621" s="1"/>
      <c r="V621" s="3"/>
      <c r="W621" s="1"/>
      <c r="X621" s="1"/>
    </row>
    <row r="622" ht="16.5" customHeight="1">
      <c r="A622" s="1"/>
      <c r="B622" s="1"/>
      <c r="C622" s="1"/>
      <c r="D622" s="8"/>
      <c r="E622" s="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"/>
      <c r="S622" s="1"/>
      <c r="T622" s="1"/>
      <c r="U622" s="1"/>
      <c r="V622" s="3"/>
      <c r="W622" s="1"/>
      <c r="X622" s="1"/>
    </row>
    <row r="623" ht="16.5" customHeight="1">
      <c r="A623" s="1"/>
      <c r="B623" s="1"/>
      <c r="C623" s="1"/>
      <c r="D623" s="8"/>
      <c r="E623" s="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"/>
      <c r="S623" s="1"/>
      <c r="T623" s="1"/>
      <c r="U623" s="1"/>
      <c r="V623" s="3"/>
      <c r="W623" s="1"/>
      <c r="X623" s="1"/>
    </row>
    <row r="624" ht="16.5" customHeight="1">
      <c r="A624" s="1"/>
      <c r="B624" s="1"/>
      <c r="C624" s="1"/>
      <c r="D624" s="8"/>
      <c r="E624" s="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"/>
      <c r="S624" s="1"/>
      <c r="T624" s="1"/>
      <c r="U624" s="1"/>
      <c r="V624" s="3"/>
      <c r="W624" s="1"/>
      <c r="X624" s="1"/>
    </row>
    <row r="625" ht="16.5" customHeight="1">
      <c r="A625" s="1"/>
      <c r="B625" s="1"/>
      <c r="C625" s="1"/>
      <c r="D625" s="8"/>
      <c r="E625" s="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"/>
      <c r="S625" s="1"/>
      <c r="T625" s="1"/>
      <c r="U625" s="1"/>
      <c r="V625" s="3"/>
      <c r="W625" s="1"/>
      <c r="X625" s="1"/>
    </row>
    <row r="626" ht="16.5" customHeight="1">
      <c r="A626" s="1"/>
      <c r="B626" s="1"/>
      <c r="C626" s="1"/>
      <c r="D626" s="8"/>
      <c r="E626" s="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"/>
      <c r="S626" s="1"/>
      <c r="T626" s="1"/>
      <c r="U626" s="1"/>
      <c r="V626" s="3"/>
      <c r="W626" s="1"/>
      <c r="X626" s="1"/>
    </row>
    <row r="627" ht="16.5" customHeight="1">
      <c r="A627" s="1"/>
      <c r="B627" s="1"/>
      <c r="C627" s="1"/>
      <c r="D627" s="8"/>
      <c r="E627" s="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"/>
      <c r="S627" s="1"/>
      <c r="T627" s="1"/>
      <c r="U627" s="1"/>
      <c r="V627" s="3"/>
      <c r="W627" s="1"/>
      <c r="X627" s="1"/>
    </row>
    <row r="628" ht="16.5" customHeight="1">
      <c r="A628" s="1"/>
      <c r="B628" s="1"/>
      <c r="C628" s="1"/>
      <c r="D628" s="8"/>
      <c r="E628" s="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"/>
      <c r="S628" s="1"/>
      <c r="T628" s="1"/>
      <c r="U628" s="1"/>
      <c r="V628" s="3"/>
      <c r="W628" s="1"/>
      <c r="X628" s="1"/>
    </row>
    <row r="629" ht="16.5" customHeight="1">
      <c r="A629" s="1"/>
      <c r="B629" s="1"/>
      <c r="C629" s="1"/>
      <c r="D629" s="8"/>
      <c r="E629" s="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"/>
      <c r="S629" s="1"/>
      <c r="T629" s="1"/>
      <c r="U629" s="1"/>
      <c r="V629" s="3"/>
      <c r="W629" s="1"/>
      <c r="X629" s="1"/>
    </row>
    <row r="630" ht="16.5" customHeight="1">
      <c r="A630" s="1"/>
      <c r="B630" s="1"/>
      <c r="C630" s="1"/>
      <c r="D630" s="8"/>
      <c r="E630" s="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"/>
      <c r="S630" s="1"/>
      <c r="T630" s="1"/>
      <c r="U630" s="1"/>
      <c r="V630" s="3"/>
      <c r="W630" s="1"/>
      <c r="X630" s="1"/>
    </row>
    <row r="631" ht="16.5" customHeight="1">
      <c r="A631" s="1"/>
      <c r="B631" s="1"/>
      <c r="C631" s="1"/>
      <c r="D631" s="8"/>
      <c r="E631" s="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"/>
      <c r="S631" s="1"/>
      <c r="T631" s="1"/>
      <c r="U631" s="1"/>
      <c r="V631" s="3"/>
      <c r="W631" s="1"/>
      <c r="X631" s="1"/>
    </row>
    <row r="632" ht="16.5" customHeight="1">
      <c r="A632" s="1"/>
      <c r="B632" s="1"/>
      <c r="C632" s="1"/>
      <c r="D632" s="8"/>
      <c r="E632" s="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"/>
      <c r="S632" s="1"/>
      <c r="T632" s="1"/>
      <c r="U632" s="1"/>
      <c r="V632" s="3"/>
      <c r="W632" s="1"/>
      <c r="X632" s="1"/>
    </row>
    <row r="633" ht="16.5" customHeight="1">
      <c r="A633" s="1"/>
      <c r="B633" s="1"/>
      <c r="C633" s="1"/>
      <c r="D633" s="8"/>
      <c r="E633" s="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"/>
      <c r="S633" s="1"/>
      <c r="T633" s="1"/>
      <c r="U633" s="1"/>
      <c r="V633" s="3"/>
      <c r="W633" s="1"/>
      <c r="X633" s="1"/>
    </row>
    <row r="634" ht="16.5" customHeight="1">
      <c r="A634" s="1"/>
      <c r="B634" s="1"/>
      <c r="C634" s="1"/>
      <c r="D634" s="8"/>
      <c r="E634" s="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"/>
      <c r="S634" s="1"/>
      <c r="T634" s="1"/>
      <c r="U634" s="1"/>
      <c r="V634" s="3"/>
      <c r="W634" s="1"/>
      <c r="X634" s="1"/>
    </row>
    <row r="635" ht="16.5" customHeight="1">
      <c r="A635" s="1"/>
      <c r="B635" s="1"/>
      <c r="C635" s="1"/>
      <c r="D635" s="8"/>
      <c r="E635" s="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"/>
      <c r="S635" s="1"/>
      <c r="T635" s="1"/>
      <c r="U635" s="1"/>
      <c r="V635" s="3"/>
      <c r="W635" s="1"/>
      <c r="X635" s="1"/>
    </row>
    <row r="636" ht="16.5" customHeight="1">
      <c r="A636" s="1"/>
      <c r="B636" s="1"/>
      <c r="C636" s="1"/>
      <c r="D636" s="8"/>
      <c r="E636" s="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"/>
      <c r="S636" s="1"/>
      <c r="T636" s="1"/>
      <c r="U636" s="1"/>
      <c r="V636" s="3"/>
      <c r="W636" s="1"/>
      <c r="X636" s="1"/>
    </row>
    <row r="637" ht="16.5" customHeight="1">
      <c r="A637" s="1"/>
      <c r="B637" s="1"/>
      <c r="C637" s="1"/>
      <c r="D637" s="8"/>
      <c r="E637" s="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"/>
      <c r="S637" s="1"/>
      <c r="T637" s="1"/>
      <c r="U637" s="1"/>
      <c r="V637" s="3"/>
      <c r="W637" s="1"/>
      <c r="X637" s="1"/>
    </row>
    <row r="638" ht="16.5" customHeight="1">
      <c r="A638" s="1"/>
      <c r="B638" s="1"/>
      <c r="C638" s="1"/>
      <c r="D638" s="8"/>
      <c r="E638" s="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"/>
      <c r="S638" s="1"/>
      <c r="T638" s="1"/>
      <c r="U638" s="1"/>
      <c r="V638" s="3"/>
      <c r="W638" s="1"/>
      <c r="X638" s="1"/>
    </row>
    <row r="639" ht="16.5" customHeight="1">
      <c r="A639" s="1"/>
      <c r="B639" s="1"/>
      <c r="C639" s="1"/>
      <c r="D639" s="8"/>
      <c r="E639" s="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"/>
      <c r="S639" s="1"/>
      <c r="T639" s="1"/>
      <c r="U639" s="1"/>
      <c r="V639" s="3"/>
      <c r="W639" s="1"/>
      <c r="X639" s="1"/>
    </row>
    <row r="640" ht="16.5" customHeight="1">
      <c r="A640" s="1"/>
      <c r="B640" s="1"/>
      <c r="C640" s="1"/>
      <c r="D640" s="8"/>
      <c r="E640" s="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"/>
      <c r="S640" s="1"/>
      <c r="T640" s="1"/>
      <c r="U640" s="1"/>
      <c r="V640" s="3"/>
      <c r="W640" s="1"/>
      <c r="X640" s="1"/>
    </row>
    <row r="641" ht="16.5" customHeight="1">
      <c r="A641" s="1"/>
      <c r="B641" s="1"/>
      <c r="C641" s="1"/>
      <c r="D641" s="8"/>
      <c r="E641" s="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"/>
      <c r="S641" s="1"/>
      <c r="T641" s="1"/>
      <c r="U641" s="1"/>
      <c r="V641" s="3"/>
      <c r="W641" s="1"/>
      <c r="X641" s="1"/>
    </row>
    <row r="642" ht="16.5" customHeight="1">
      <c r="A642" s="1"/>
      <c r="B642" s="1"/>
      <c r="C642" s="1"/>
      <c r="D642" s="8"/>
      <c r="E642" s="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"/>
      <c r="S642" s="1"/>
      <c r="T642" s="1"/>
      <c r="U642" s="1"/>
      <c r="V642" s="3"/>
      <c r="W642" s="1"/>
      <c r="X642" s="1"/>
    </row>
    <row r="643" ht="16.5" customHeight="1">
      <c r="A643" s="1"/>
      <c r="B643" s="1"/>
      <c r="C643" s="1"/>
      <c r="D643" s="8"/>
      <c r="E643" s="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"/>
      <c r="S643" s="1"/>
      <c r="T643" s="1"/>
      <c r="U643" s="1"/>
      <c r="V643" s="3"/>
      <c r="W643" s="1"/>
      <c r="X643" s="1"/>
    </row>
    <row r="644" ht="16.5" customHeight="1">
      <c r="A644" s="1"/>
      <c r="B644" s="1"/>
      <c r="C644" s="1"/>
      <c r="D644" s="8"/>
      <c r="E644" s="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"/>
      <c r="S644" s="1"/>
      <c r="T644" s="1"/>
      <c r="U644" s="1"/>
      <c r="V644" s="3"/>
      <c r="W644" s="1"/>
      <c r="X644" s="1"/>
    </row>
    <row r="645" ht="16.5" customHeight="1">
      <c r="A645" s="1"/>
      <c r="B645" s="1"/>
      <c r="C645" s="1"/>
      <c r="D645" s="8"/>
      <c r="E645" s="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"/>
      <c r="S645" s="1"/>
      <c r="T645" s="1"/>
      <c r="U645" s="1"/>
      <c r="V645" s="3"/>
      <c r="W645" s="1"/>
      <c r="X645" s="1"/>
    </row>
    <row r="646" ht="16.5" customHeight="1">
      <c r="A646" s="1"/>
      <c r="B646" s="1"/>
      <c r="C646" s="1"/>
      <c r="D646" s="8"/>
      <c r="E646" s="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"/>
      <c r="S646" s="1"/>
      <c r="T646" s="1"/>
      <c r="U646" s="1"/>
      <c r="V646" s="3"/>
      <c r="W646" s="1"/>
      <c r="X646" s="1"/>
    </row>
    <row r="647" ht="16.5" customHeight="1">
      <c r="A647" s="1"/>
      <c r="B647" s="1"/>
      <c r="C647" s="1"/>
      <c r="D647" s="8"/>
      <c r="E647" s="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"/>
      <c r="S647" s="1"/>
      <c r="T647" s="1"/>
      <c r="U647" s="1"/>
      <c r="V647" s="3"/>
      <c r="W647" s="1"/>
      <c r="X647" s="1"/>
    </row>
    <row r="648" ht="16.5" customHeight="1">
      <c r="A648" s="1"/>
      <c r="B648" s="1"/>
      <c r="C648" s="1"/>
      <c r="D648" s="8"/>
      <c r="E648" s="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"/>
      <c r="S648" s="1"/>
      <c r="T648" s="1"/>
      <c r="U648" s="1"/>
      <c r="V648" s="3"/>
      <c r="W648" s="1"/>
      <c r="X648" s="1"/>
    </row>
    <row r="649" ht="16.5" customHeight="1">
      <c r="A649" s="1"/>
      <c r="B649" s="1"/>
      <c r="C649" s="1"/>
      <c r="D649" s="8"/>
      <c r="E649" s="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"/>
      <c r="S649" s="1"/>
      <c r="T649" s="1"/>
      <c r="U649" s="1"/>
      <c r="V649" s="3"/>
      <c r="W649" s="1"/>
      <c r="X649" s="1"/>
    </row>
    <row r="650" ht="16.5" customHeight="1">
      <c r="A650" s="1"/>
      <c r="B650" s="1"/>
      <c r="C650" s="1"/>
      <c r="D650" s="8"/>
      <c r="E650" s="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"/>
      <c r="S650" s="1"/>
      <c r="T650" s="1"/>
      <c r="U650" s="1"/>
      <c r="V650" s="3"/>
      <c r="W650" s="1"/>
      <c r="X650" s="1"/>
    </row>
    <row r="651" ht="16.5" customHeight="1">
      <c r="A651" s="1"/>
      <c r="B651" s="1"/>
      <c r="C651" s="1"/>
      <c r="D651" s="8"/>
      <c r="E651" s="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"/>
      <c r="S651" s="1"/>
      <c r="T651" s="1"/>
      <c r="U651" s="1"/>
      <c r="V651" s="3"/>
      <c r="W651" s="1"/>
      <c r="X651" s="1"/>
    </row>
    <row r="652" ht="16.5" customHeight="1">
      <c r="A652" s="1"/>
      <c r="B652" s="1"/>
      <c r="C652" s="1"/>
      <c r="D652" s="8"/>
      <c r="E652" s="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"/>
      <c r="S652" s="1"/>
      <c r="T652" s="1"/>
      <c r="U652" s="1"/>
      <c r="V652" s="3"/>
      <c r="W652" s="1"/>
      <c r="X652" s="1"/>
    </row>
    <row r="653" ht="16.5" customHeight="1">
      <c r="A653" s="1"/>
      <c r="B653" s="1"/>
      <c r="C653" s="1"/>
      <c r="D653" s="8"/>
      <c r="E653" s="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"/>
      <c r="S653" s="1"/>
      <c r="T653" s="1"/>
      <c r="U653" s="1"/>
      <c r="V653" s="3"/>
      <c r="W653" s="1"/>
      <c r="X653" s="1"/>
    </row>
    <row r="654" ht="16.5" customHeight="1">
      <c r="A654" s="1"/>
      <c r="B654" s="1"/>
      <c r="C654" s="1"/>
      <c r="D654" s="8"/>
      <c r="E654" s="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"/>
      <c r="S654" s="1"/>
      <c r="T654" s="1"/>
      <c r="U654" s="1"/>
      <c r="V654" s="3"/>
      <c r="W654" s="1"/>
      <c r="X654" s="1"/>
    </row>
    <row r="655" ht="16.5" customHeight="1">
      <c r="A655" s="1"/>
      <c r="B655" s="1"/>
      <c r="C655" s="1"/>
      <c r="D655" s="8"/>
      <c r="E655" s="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"/>
      <c r="S655" s="1"/>
      <c r="T655" s="1"/>
      <c r="U655" s="1"/>
      <c r="V655" s="3"/>
      <c r="W655" s="1"/>
      <c r="X655" s="1"/>
    </row>
    <row r="656" ht="16.5" customHeight="1">
      <c r="A656" s="1"/>
      <c r="B656" s="1"/>
      <c r="C656" s="1"/>
      <c r="D656" s="8"/>
      <c r="E656" s="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"/>
      <c r="S656" s="1"/>
      <c r="T656" s="1"/>
      <c r="U656" s="1"/>
      <c r="V656" s="3"/>
      <c r="W656" s="1"/>
      <c r="X656" s="1"/>
    </row>
    <row r="657" ht="16.5" customHeight="1">
      <c r="A657" s="1"/>
      <c r="B657" s="1"/>
      <c r="C657" s="1"/>
      <c r="D657" s="8"/>
      <c r="E657" s="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"/>
      <c r="S657" s="1"/>
      <c r="T657" s="1"/>
      <c r="U657" s="1"/>
      <c r="V657" s="3"/>
      <c r="W657" s="1"/>
      <c r="X657" s="1"/>
    </row>
    <row r="658" ht="16.5" customHeight="1">
      <c r="A658" s="1"/>
      <c r="B658" s="1"/>
      <c r="C658" s="1"/>
      <c r="D658" s="8"/>
      <c r="E658" s="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"/>
      <c r="S658" s="1"/>
      <c r="T658" s="1"/>
      <c r="U658" s="1"/>
      <c r="V658" s="3"/>
      <c r="W658" s="1"/>
      <c r="X658" s="1"/>
    </row>
    <row r="659" ht="16.5" customHeight="1">
      <c r="A659" s="1"/>
      <c r="B659" s="1"/>
      <c r="C659" s="1"/>
      <c r="D659" s="8"/>
      <c r="E659" s="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"/>
      <c r="S659" s="1"/>
      <c r="T659" s="1"/>
      <c r="U659" s="1"/>
      <c r="V659" s="3"/>
      <c r="W659" s="1"/>
      <c r="X659" s="1"/>
    </row>
    <row r="660" ht="16.5" customHeight="1">
      <c r="A660" s="1"/>
      <c r="B660" s="1"/>
      <c r="C660" s="1"/>
      <c r="D660" s="8"/>
      <c r="E660" s="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"/>
      <c r="S660" s="1"/>
      <c r="T660" s="1"/>
      <c r="U660" s="1"/>
      <c r="V660" s="3"/>
      <c r="W660" s="1"/>
      <c r="X660" s="1"/>
    </row>
    <row r="661" ht="16.5" customHeight="1">
      <c r="A661" s="1"/>
      <c r="B661" s="1"/>
      <c r="C661" s="1"/>
      <c r="D661" s="8"/>
      <c r="E661" s="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"/>
      <c r="S661" s="1"/>
      <c r="T661" s="1"/>
      <c r="U661" s="1"/>
      <c r="V661" s="3"/>
      <c r="W661" s="1"/>
      <c r="X661" s="1"/>
    </row>
    <row r="662" ht="16.5" customHeight="1">
      <c r="A662" s="1"/>
      <c r="B662" s="1"/>
      <c r="C662" s="1"/>
      <c r="D662" s="8"/>
      <c r="E662" s="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"/>
      <c r="S662" s="1"/>
      <c r="T662" s="1"/>
      <c r="U662" s="1"/>
      <c r="V662" s="3"/>
      <c r="W662" s="1"/>
      <c r="X662" s="1"/>
    </row>
    <row r="663" ht="16.5" customHeight="1">
      <c r="A663" s="1"/>
      <c r="B663" s="1"/>
      <c r="C663" s="1"/>
      <c r="D663" s="8"/>
      <c r="E663" s="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"/>
      <c r="S663" s="1"/>
      <c r="T663" s="1"/>
      <c r="U663" s="1"/>
      <c r="V663" s="3"/>
      <c r="W663" s="1"/>
      <c r="X663" s="1"/>
    </row>
    <row r="664" ht="16.5" customHeight="1">
      <c r="A664" s="1"/>
      <c r="B664" s="1"/>
      <c r="C664" s="1"/>
      <c r="D664" s="8"/>
      <c r="E664" s="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"/>
      <c r="S664" s="1"/>
      <c r="T664" s="1"/>
      <c r="U664" s="1"/>
      <c r="V664" s="3"/>
      <c r="W664" s="1"/>
      <c r="X664" s="1"/>
    </row>
    <row r="665" ht="16.5" customHeight="1">
      <c r="A665" s="1"/>
      <c r="B665" s="1"/>
      <c r="C665" s="1"/>
      <c r="D665" s="8"/>
      <c r="E665" s="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"/>
      <c r="S665" s="1"/>
      <c r="T665" s="1"/>
      <c r="U665" s="1"/>
      <c r="V665" s="3"/>
      <c r="W665" s="1"/>
      <c r="X665" s="1"/>
    </row>
    <row r="666" ht="16.5" customHeight="1">
      <c r="A666" s="1"/>
      <c r="B666" s="1"/>
      <c r="C666" s="1"/>
      <c r="D666" s="8"/>
      <c r="E666" s="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"/>
      <c r="S666" s="1"/>
      <c r="T666" s="1"/>
      <c r="U666" s="1"/>
      <c r="V666" s="3"/>
      <c r="W666" s="1"/>
      <c r="X666" s="1"/>
    </row>
    <row r="667" ht="16.5" customHeight="1">
      <c r="A667" s="1"/>
      <c r="B667" s="1"/>
      <c r="C667" s="1"/>
      <c r="D667" s="8"/>
      <c r="E667" s="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"/>
      <c r="S667" s="1"/>
      <c r="T667" s="1"/>
      <c r="U667" s="1"/>
      <c r="V667" s="3"/>
      <c r="W667" s="1"/>
      <c r="X667" s="1"/>
    </row>
    <row r="668" ht="16.5" customHeight="1">
      <c r="A668" s="1"/>
      <c r="B668" s="1"/>
      <c r="C668" s="1"/>
      <c r="D668" s="8"/>
      <c r="E668" s="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"/>
      <c r="S668" s="1"/>
      <c r="T668" s="1"/>
      <c r="U668" s="1"/>
      <c r="V668" s="3"/>
      <c r="W668" s="1"/>
      <c r="X668" s="1"/>
    </row>
    <row r="669" ht="16.5" customHeight="1">
      <c r="A669" s="1"/>
      <c r="B669" s="1"/>
      <c r="C669" s="1"/>
      <c r="D669" s="8"/>
      <c r="E669" s="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"/>
      <c r="S669" s="1"/>
      <c r="T669" s="1"/>
      <c r="U669" s="1"/>
      <c r="V669" s="3"/>
      <c r="W669" s="1"/>
      <c r="X669" s="1"/>
    </row>
    <row r="670" ht="16.5" customHeight="1">
      <c r="A670" s="1"/>
      <c r="B670" s="1"/>
      <c r="C670" s="1"/>
      <c r="D670" s="8"/>
      <c r="E670" s="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"/>
      <c r="S670" s="1"/>
      <c r="T670" s="1"/>
      <c r="U670" s="1"/>
      <c r="V670" s="3"/>
      <c r="W670" s="1"/>
      <c r="X670" s="1"/>
    </row>
    <row r="671" ht="16.5" customHeight="1">
      <c r="A671" s="1"/>
      <c r="B671" s="1"/>
      <c r="C671" s="1"/>
      <c r="D671" s="8"/>
      <c r="E671" s="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"/>
      <c r="S671" s="1"/>
      <c r="T671" s="1"/>
      <c r="U671" s="1"/>
      <c r="V671" s="3"/>
      <c r="W671" s="1"/>
      <c r="X671" s="1"/>
    </row>
    <row r="672" ht="16.5" customHeight="1">
      <c r="A672" s="1"/>
      <c r="B672" s="1"/>
      <c r="C672" s="1"/>
      <c r="D672" s="8"/>
      <c r="E672" s="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"/>
      <c r="S672" s="1"/>
      <c r="T672" s="1"/>
      <c r="U672" s="1"/>
      <c r="V672" s="3"/>
      <c r="W672" s="1"/>
      <c r="X672" s="1"/>
    </row>
    <row r="673" ht="16.5" customHeight="1">
      <c r="A673" s="1"/>
      <c r="B673" s="1"/>
      <c r="C673" s="1"/>
      <c r="D673" s="8"/>
      <c r="E673" s="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"/>
      <c r="S673" s="1"/>
      <c r="T673" s="1"/>
      <c r="U673" s="1"/>
      <c r="V673" s="3"/>
      <c r="W673" s="1"/>
      <c r="X673" s="1"/>
    </row>
    <row r="674" ht="16.5" customHeight="1">
      <c r="A674" s="1"/>
      <c r="B674" s="1"/>
      <c r="C674" s="1"/>
      <c r="D674" s="8"/>
      <c r="E674" s="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"/>
      <c r="S674" s="1"/>
      <c r="T674" s="1"/>
      <c r="U674" s="1"/>
      <c r="V674" s="3"/>
      <c r="W674" s="1"/>
      <c r="X674" s="1"/>
    </row>
    <row r="675" ht="16.5" customHeight="1">
      <c r="A675" s="1"/>
      <c r="B675" s="1"/>
      <c r="C675" s="1"/>
      <c r="D675" s="8"/>
      <c r="E675" s="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"/>
      <c r="S675" s="1"/>
      <c r="T675" s="1"/>
      <c r="U675" s="1"/>
      <c r="V675" s="3"/>
      <c r="W675" s="1"/>
      <c r="X675" s="1"/>
    </row>
    <row r="676" ht="16.5" customHeight="1">
      <c r="A676" s="1"/>
      <c r="B676" s="1"/>
      <c r="C676" s="1"/>
      <c r="D676" s="8"/>
      <c r="E676" s="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"/>
      <c r="S676" s="1"/>
      <c r="T676" s="1"/>
      <c r="U676" s="1"/>
      <c r="V676" s="3"/>
      <c r="W676" s="1"/>
      <c r="X676" s="1"/>
    </row>
    <row r="677" ht="16.5" customHeight="1">
      <c r="A677" s="1"/>
      <c r="B677" s="1"/>
      <c r="C677" s="1"/>
      <c r="D677" s="8"/>
      <c r="E677" s="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"/>
      <c r="S677" s="1"/>
      <c r="T677" s="1"/>
      <c r="U677" s="1"/>
      <c r="V677" s="3"/>
      <c r="W677" s="1"/>
      <c r="X677" s="1"/>
    </row>
    <row r="678" ht="16.5" customHeight="1">
      <c r="A678" s="1"/>
      <c r="B678" s="1"/>
      <c r="C678" s="1"/>
      <c r="D678" s="8"/>
      <c r="E678" s="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"/>
      <c r="S678" s="1"/>
      <c r="T678" s="1"/>
      <c r="U678" s="1"/>
      <c r="V678" s="3"/>
      <c r="W678" s="1"/>
      <c r="X678" s="1"/>
    </row>
    <row r="679" ht="16.5" customHeight="1">
      <c r="A679" s="1"/>
      <c r="B679" s="1"/>
      <c r="C679" s="1"/>
      <c r="D679" s="8"/>
      <c r="E679" s="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"/>
      <c r="S679" s="1"/>
      <c r="T679" s="1"/>
      <c r="U679" s="1"/>
      <c r="V679" s="3"/>
      <c r="W679" s="1"/>
      <c r="X679" s="1"/>
    </row>
    <row r="680" ht="16.5" customHeight="1">
      <c r="A680" s="1"/>
      <c r="B680" s="1"/>
      <c r="C680" s="1"/>
      <c r="D680" s="8"/>
      <c r="E680" s="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"/>
      <c r="S680" s="1"/>
      <c r="T680" s="1"/>
      <c r="U680" s="1"/>
      <c r="V680" s="3"/>
      <c r="W680" s="1"/>
      <c r="X680" s="1"/>
    </row>
    <row r="681" ht="16.5" customHeight="1">
      <c r="A681" s="1"/>
      <c r="B681" s="1"/>
      <c r="C681" s="1"/>
      <c r="D681" s="8"/>
      <c r="E681" s="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"/>
      <c r="S681" s="1"/>
      <c r="T681" s="1"/>
      <c r="U681" s="1"/>
      <c r="V681" s="3"/>
      <c r="W681" s="1"/>
      <c r="X681" s="1"/>
    </row>
    <row r="682" ht="16.5" customHeight="1">
      <c r="A682" s="1"/>
      <c r="B682" s="1"/>
      <c r="C682" s="1"/>
      <c r="D682" s="8"/>
      <c r="E682" s="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"/>
      <c r="S682" s="1"/>
      <c r="T682" s="1"/>
      <c r="U682" s="1"/>
      <c r="V682" s="3"/>
      <c r="W682" s="1"/>
      <c r="X682" s="1"/>
    </row>
    <row r="683" ht="16.5" customHeight="1">
      <c r="A683" s="1"/>
      <c r="B683" s="1"/>
      <c r="C683" s="1"/>
      <c r="D683" s="8"/>
      <c r="E683" s="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"/>
      <c r="S683" s="1"/>
      <c r="T683" s="1"/>
      <c r="U683" s="1"/>
      <c r="V683" s="3"/>
      <c r="W683" s="1"/>
      <c r="X683" s="1"/>
    </row>
    <row r="684" ht="16.5" customHeight="1">
      <c r="A684" s="1"/>
      <c r="B684" s="1"/>
      <c r="C684" s="1"/>
      <c r="D684" s="8"/>
      <c r="E684" s="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"/>
      <c r="S684" s="1"/>
      <c r="T684" s="1"/>
      <c r="U684" s="1"/>
      <c r="V684" s="3"/>
      <c r="W684" s="1"/>
      <c r="X684" s="1"/>
    </row>
    <row r="685" ht="16.5" customHeight="1">
      <c r="A685" s="1"/>
      <c r="B685" s="1"/>
      <c r="C685" s="1"/>
      <c r="D685" s="8"/>
      <c r="E685" s="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"/>
      <c r="S685" s="1"/>
      <c r="T685" s="1"/>
      <c r="U685" s="1"/>
      <c r="V685" s="3"/>
      <c r="W685" s="1"/>
      <c r="X685" s="1"/>
    </row>
    <row r="686" ht="16.5" customHeight="1">
      <c r="A686" s="1"/>
      <c r="B686" s="1"/>
      <c r="C686" s="1"/>
      <c r="D686" s="8"/>
      <c r="E686" s="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"/>
      <c r="S686" s="1"/>
      <c r="T686" s="1"/>
      <c r="U686" s="1"/>
      <c r="V686" s="3"/>
      <c r="W686" s="1"/>
      <c r="X686" s="1"/>
    </row>
    <row r="687" ht="16.5" customHeight="1">
      <c r="A687" s="1"/>
      <c r="B687" s="1"/>
      <c r="C687" s="1"/>
      <c r="D687" s="8"/>
      <c r="E687" s="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"/>
      <c r="S687" s="1"/>
      <c r="T687" s="1"/>
      <c r="U687" s="1"/>
      <c r="V687" s="3"/>
      <c r="W687" s="1"/>
      <c r="X687" s="1"/>
    </row>
    <row r="688" ht="16.5" customHeight="1">
      <c r="A688" s="1"/>
      <c r="B688" s="1"/>
      <c r="C688" s="1"/>
      <c r="D688" s="8"/>
      <c r="E688" s="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"/>
      <c r="S688" s="1"/>
      <c r="T688" s="1"/>
      <c r="U688" s="1"/>
      <c r="V688" s="3"/>
      <c r="W688" s="1"/>
      <c r="X688" s="1"/>
    </row>
    <row r="689" ht="16.5" customHeight="1">
      <c r="A689" s="1"/>
      <c r="B689" s="1"/>
      <c r="C689" s="1"/>
      <c r="D689" s="8"/>
      <c r="E689" s="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"/>
      <c r="S689" s="1"/>
      <c r="T689" s="1"/>
      <c r="U689" s="1"/>
      <c r="V689" s="3"/>
      <c r="W689" s="1"/>
      <c r="X689" s="1"/>
    </row>
    <row r="690" ht="16.5" customHeight="1">
      <c r="A690" s="1"/>
      <c r="B690" s="1"/>
      <c r="C690" s="1"/>
      <c r="D690" s="8"/>
      <c r="E690" s="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"/>
      <c r="S690" s="1"/>
      <c r="T690" s="1"/>
      <c r="U690" s="1"/>
      <c r="V690" s="3"/>
      <c r="W690" s="1"/>
      <c r="X690" s="1"/>
    </row>
    <row r="691" ht="16.5" customHeight="1">
      <c r="A691" s="1"/>
      <c r="B691" s="1"/>
      <c r="C691" s="1"/>
      <c r="D691" s="8"/>
      <c r="E691" s="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"/>
      <c r="S691" s="1"/>
      <c r="T691" s="1"/>
      <c r="U691" s="1"/>
      <c r="V691" s="3"/>
      <c r="W691" s="1"/>
      <c r="X691" s="1"/>
    </row>
    <row r="692" ht="16.5" customHeight="1">
      <c r="A692" s="1"/>
      <c r="B692" s="1"/>
      <c r="C692" s="1"/>
      <c r="D692" s="8"/>
      <c r="E692" s="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"/>
      <c r="S692" s="1"/>
      <c r="T692" s="1"/>
      <c r="U692" s="1"/>
      <c r="V692" s="3"/>
      <c r="W692" s="1"/>
      <c r="X692" s="1"/>
    </row>
    <row r="693" ht="16.5" customHeight="1">
      <c r="A693" s="1"/>
      <c r="B693" s="1"/>
      <c r="C693" s="1"/>
      <c r="D693" s="8"/>
      <c r="E693" s="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"/>
      <c r="S693" s="1"/>
      <c r="T693" s="1"/>
      <c r="U693" s="1"/>
      <c r="V693" s="3"/>
      <c r="W693" s="1"/>
      <c r="X693" s="1"/>
    </row>
    <row r="694" ht="16.5" customHeight="1">
      <c r="A694" s="1"/>
      <c r="B694" s="1"/>
      <c r="C694" s="1"/>
      <c r="D694" s="8"/>
      <c r="E694" s="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"/>
      <c r="S694" s="1"/>
      <c r="T694" s="1"/>
      <c r="U694" s="1"/>
      <c r="V694" s="3"/>
      <c r="W694" s="1"/>
      <c r="X694" s="1"/>
    </row>
    <row r="695" ht="16.5" customHeight="1">
      <c r="A695" s="1"/>
      <c r="B695" s="1"/>
      <c r="C695" s="1"/>
      <c r="D695" s="8"/>
      <c r="E695" s="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"/>
      <c r="S695" s="1"/>
      <c r="T695" s="1"/>
      <c r="U695" s="1"/>
      <c r="V695" s="3"/>
      <c r="W695" s="1"/>
      <c r="X695" s="1"/>
    </row>
    <row r="696" ht="16.5" customHeight="1">
      <c r="A696" s="1"/>
      <c r="B696" s="1"/>
      <c r="C696" s="1"/>
      <c r="D696" s="8"/>
      <c r="E696" s="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"/>
      <c r="S696" s="1"/>
      <c r="T696" s="1"/>
      <c r="U696" s="1"/>
      <c r="V696" s="3"/>
      <c r="W696" s="1"/>
      <c r="X696" s="1"/>
    </row>
    <row r="697" ht="16.5" customHeight="1">
      <c r="A697" s="1"/>
      <c r="B697" s="1"/>
      <c r="C697" s="1"/>
      <c r="D697" s="8"/>
      <c r="E697" s="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"/>
      <c r="S697" s="1"/>
      <c r="T697" s="1"/>
      <c r="U697" s="1"/>
      <c r="V697" s="3"/>
      <c r="W697" s="1"/>
      <c r="X697" s="1"/>
    </row>
    <row r="698" ht="16.5" customHeight="1">
      <c r="A698" s="1"/>
      <c r="B698" s="1"/>
      <c r="C698" s="1"/>
      <c r="D698" s="8"/>
      <c r="E698" s="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"/>
      <c r="S698" s="1"/>
      <c r="T698" s="1"/>
      <c r="U698" s="1"/>
      <c r="V698" s="3"/>
      <c r="W698" s="1"/>
      <c r="X698" s="1"/>
    </row>
    <row r="699" ht="16.5" customHeight="1">
      <c r="A699" s="1"/>
      <c r="B699" s="1"/>
      <c r="C699" s="1"/>
      <c r="D699" s="8"/>
      <c r="E699" s="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"/>
      <c r="S699" s="1"/>
      <c r="T699" s="1"/>
      <c r="U699" s="1"/>
      <c r="V699" s="3"/>
      <c r="W699" s="1"/>
      <c r="X699" s="1"/>
    </row>
    <row r="700" ht="16.5" customHeight="1">
      <c r="A700" s="1"/>
      <c r="B700" s="1"/>
      <c r="C700" s="1"/>
      <c r="D700" s="8"/>
      <c r="E700" s="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"/>
      <c r="S700" s="1"/>
      <c r="T700" s="1"/>
      <c r="U700" s="1"/>
      <c r="V700" s="3"/>
      <c r="W700" s="1"/>
      <c r="X700" s="1"/>
    </row>
    <row r="701" ht="16.5" customHeight="1">
      <c r="A701" s="1"/>
      <c r="B701" s="1"/>
      <c r="C701" s="1"/>
      <c r="D701" s="8"/>
      <c r="E701" s="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"/>
      <c r="S701" s="1"/>
      <c r="T701" s="1"/>
      <c r="U701" s="1"/>
      <c r="V701" s="3"/>
      <c r="W701" s="1"/>
      <c r="X701" s="1"/>
    </row>
    <row r="702" ht="16.5" customHeight="1">
      <c r="A702" s="1"/>
      <c r="B702" s="1"/>
      <c r="C702" s="1"/>
      <c r="D702" s="8"/>
      <c r="E702" s="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"/>
      <c r="S702" s="1"/>
      <c r="T702" s="1"/>
      <c r="U702" s="1"/>
      <c r="V702" s="3"/>
      <c r="W702" s="1"/>
      <c r="X702" s="1"/>
    </row>
    <row r="703" ht="16.5" customHeight="1">
      <c r="A703" s="1"/>
      <c r="B703" s="1"/>
      <c r="C703" s="1"/>
      <c r="D703" s="8"/>
      <c r="E703" s="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"/>
      <c r="S703" s="1"/>
      <c r="T703" s="1"/>
      <c r="U703" s="1"/>
      <c r="V703" s="3"/>
      <c r="W703" s="1"/>
      <c r="X703" s="1"/>
    </row>
    <row r="704" ht="16.5" customHeight="1">
      <c r="A704" s="1"/>
      <c r="B704" s="1"/>
      <c r="C704" s="1"/>
      <c r="D704" s="8"/>
      <c r="E704" s="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"/>
      <c r="S704" s="1"/>
      <c r="T704" s="1"/>
      <c r="U704" s="1"/>
      <c r="V704" s="3"/>
      <c r="W704" s="1"/>
      <c r="X704" s="1"/>
    </row>
    <row r="705" ht="16.5" customHeight="1">
      <c r="A705" s="1"/>
      <c r="B705" s="1"/>
      <c r="C705" s="1"/>
      <c r="D705" s="8"/>
      <c r="E705" s="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"/>
      <c r="S705" s="1"/>
      <c r="T705" s="1"/>
      <c r="U705" s="1"/>
      <c r="V705" s="3"/>
      <c r="W705" s="1"/>
      <c r="X705" s="1"/>
    </row>
    <row r="706" ht="16.5" customHeight="1">
      <c r="A706" s="1"/>
      <c r="B706" s="1"/>
      <c r="C706" s="1"/>
      <c r="D706" s="8"/>
      <c r="E706" s="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"/>
      <c r="S706" s="1"/>
      <c r="T706" s="1"/>
      <c r="U706" s="1"/>
      <c r="V706" s="3"/>
      <c r="W706" s="1"/>
      <c r="X706" s="1"/>
    </row>
    <row r="707" ht="16.5" customHeight="1">
      <c r="A707" s="1"/>
      <c r="B707" s="1"/>
      <c r="C707" s="1"/>
      <c r="D707" s="8"/>
      <c r="E707" s="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"/>
      <c r="S707" s="1"/>
      <c r="T707" s="1"/>
      <c r="U707" s="1"/>
      <c r="V707" s="3"/>
      <c r="W707" s="1"/>
      <c r="X707" s="1"/>
    </row>
    <row r="708" ht="16.5" customHeight="1">
      <c r="A708" s="1"/>
      <c r="B708" s="1"/>
      <c r="C708" s="1"/>
      <c r="D708" s="8"/>
      <c r="E708" s="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"/>
      <c r="S708" s="1"/>
      <c r="T708" s="1"/>
      <c r="U708" s="1"/>
      <c r="V708" s="3"/>
      <c r="W708" s="1"/>
      <c r="X708" s="1"/>
    </row>
    <row r="709" ht="16.5" customHeight="1">
      <c r="A709" s="1"/>
      <c r="B709" s="1"/>
      <c r="C709" s="1"/>
      <c r="D709" s="8"/>
      <c r="E709" s="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"/>
      <c r="S709" s="1"/>
      <c r="T709" s="1"/>
      <c r="U709" s="1"/>
      <c r="V709" s="3"/>
      <c r="W709" s="1"/>
      <c r="X709" s="1"/>
    </row>
    <row r="710" ht="16.5" customHeight="1">
      <c r="A710" s="1"/>
      <c r="B710" s="1"/>
      <c r="C710" s="1"/>
      <c r="D710" s="8"/>
      <c r="E710" s="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"/>
      <c r="S710" s="1"/>
      <c r="T710" s="1"/>
      <c r="U710" s="1"/>
      <c r="V710" s="3"/>
      <c r="W710" s="1"/>
      <c r="X710" s="1"/>
    </row>
    <row r="711" ht="16.5" customHeight="1">
      <c r="A711" s="1"/>
      <c r="B711" s="1"/>
      <c r="C711" s="1"/>
      <c r="D711" s="8"/>
      <c r="E711" s="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"/>
      <c r="S711" s="1"/>
      <c r="T711" s="1"/>
      <c r="U711" s="1"/>
      <c r="V711" s="3"/>
      <c r="W711" s="1"/>
      <c r="X711" s="1"/>
    </row>
    <row r="712" ht="16.5" customHeight="1">
      <c r="A712" s="1"/>
      <c r="B712" s="1"/>
      <c r="C712" s="1"/>
      <c r="D712" s="8"/>
      <c r="E712" s="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"/>
      <c r="S712" s="1"/>
      <c r="T712" s="1"/>
      <c r="U712" s="1"/>
      <c r="V712" s="3"/>
      <c r="W712" s="1"/>
      <c r="X712" s="1"/>
    </row>
    <row r="713" ht="16.5" customHeight="1">
      <c r="A713" s="1"/>
      <c r="B713" s="1"/>
      <c r="C713" s="1"/>
      <c r="D713" s="8"/>
      <c r="E713" s="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"/>
      <c r="S713" s="1"/>
      <c r="T713" s="1"/>
      <c r="U713" s="1"/>
      <c r="V713" s="3"/>
      <c r="W713" s="1"/>
      <c r="X713" s="1"/>
    </row>
    <row r="714" ht="16.5" customHeight="1">
      <c r="A714" s="1"/>
      <c r="B714" s="1"/>
      <c r="C714" s="1"/>
      <c r="D714" s="8"/>
      <c r="E714" s="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"/>
      <c r="S714" s="1"/>
      <c r="T714" s="1"/>
      <c r="U714" s="1"/>
      <c r="V714" s="3"/>
      <c r="W714" s="1"/>
      <c r="X714" s="1"/>
    </row>
    <row r="715" ht="16.5" customHeight="1">
      <c r="A715" s="1"/>
      <c r="B715" s="1"/>
      <c r="C715" s="1"/>
      <c r="D715" s="8"/>
      <c r="E715" s="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"/>
      <c r="S715" s="1"/>
      <c r="T715" s="1"/>
      <c r="U715" s="1"/>
      <c r="V715" s="3"/>
      <c r="W715" s="1"/>
      <c r="X715" s="1"/>
    </row>
    <row r="716" ht="16.5" customHeight="1">
      <c r="A716" s="1"/>
      <c r="B716" s="1"/>
      <c r="C716" s="1"/>
      <c r="D716" s="8"/>
      <c r="E716" s="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"/>
      <c r="S716" s="1"/>
      <c r="T716" s="1"/>
      <c r="U716" s="1"/>
      <c r="V716" s="3"/>
      <c r="W716" s="1"/>
      <c r="X716" s="1"/>
    </row>
    <row r="717" ht="16.5" customHeight="1">
      <c r="A717" s="1"/>
      <c r="B717" s="1"/>
      <c r="C717" s="1"/>
      <c r="D717" s="8"/>
      <c r="E717" s="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"/>
      <c r="S717" s="1"/>
      <c r="T717" s="1"/>
      <c r="U717" s="1"/>
      <c r="V717" s="3"/>
      <c r="W717" s="1"/>
      <c r="X717" s="1"/>
    </row>
    <row r="718" ht="16.5" customHeight="1">
      <c r="A718" s="1"/>
      <c r="B718" s="1"/>
      <c r="C718" s="1"/>
      <c r="D718" s="8"/>
      <c r="E718" s="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"/>
      <c r="S718" s="1"/>
      <c r="T718" s="1"/>
      <c r="U718" s="1"/>
      <c r="V718" s="3"/>
      <c r="W718" s="1"/>
      <c r="X718" s="1"/>
    </row>
    <row r="719" ht="16.5" customHeight="1">
      <c r="A719" s="1"/>
      <c r="B719" s="1"/>
      <c r="C719" s="1"/>
      <c r="D719" s="8"/>
      <c r="E719" s="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"/>
      <c r="S719" s="1"/>
      <c r="T719" s="1"/>
      <c r="U719" s="1"/>
      <c r="V719" s="3"/>
      <c r="W719" s="1"/>
      <c r="X719" s="1"/>
    </row>
    <row r="720" ht="16.5" customHeight="1">
      <c r="A720" s="1"/>
      <c r="B720" s="1"/>
      <c r="C720" s="1"/>
      <c r="D720" s="8"/>
      <c r="E720" s="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"/>
      <c r="S720" s="1"/>
      <c r="T720" s="1"/>
      <c r="U720" s="1"/>
      <c r="V720" s="3"/>
      <c r="W720" s="1"/>
      <c r="X720" s="1"/>
    </row>
    <row r="721" ht="16.5" customHeight="1">
      <c r="A721" s="1"/>
      <c r="B721" s="1"/>
      <c r="C721" s="1"/>
      <c r="D721" s="8"/>
      <c r="E721" s="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"/>
      <c r="S721" s="1"/>
      <c r="T721" s="1"/>
      <c r="U721" s="1"/>
      <c r="V721" s="3"/>
      <c r="W721" s="1"/>
      <c r="X721" s="1"/>
    </row>
    <row r="722" ht="16.5" customHeight="1">
      <c r="A722" s="1"/>
      <c r="B722" s="1"/>
      <c r="C722" s="1"/>
      <c r="D722" s="8"/>
      <c r="E722" s="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"/>
      <c r="S722" s="1"/>
      <c r="T722" s="1"/>
      <c r="U722" s="1"/>
      <c r="V722" s="3"/>
      <c r="W722" s="1"/>
      <c r="X722" s="1"/>
    </row>
    <row r="723" ht="16.5" customHeight="1">
      <c r="A723" s="1"/>
      <c r="B723" s="1"/>
      <c r="C723" s="1"/>
      <c r="D723" s="8"/>
      <c r="E723" s="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"/>
      <c r="S723" s="1"/>
      <c r="T723" s="1"/>
      <c r="U723" s="1"/>
      <c r="V723" s="3"/>
      <c r="W723" s="1"/>
      <c r="X723" s="1"/>
    </row>
    <row r="724" ht="16.5" customHeight="1">
      <c r="A724" s="1"/>
      <c r="B724" s="1"/>
      <c r="C724" s="1"/>
      <c r="D724" s="8"/>
      <c r="E724" s="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"/>
      <c r="S724" s="1"/>
      <c r="T724" s="1"/>
      <c r="U724" s="1"/>
      <c r="V724" s="3"/>
      <c r="W724" s="1"/>
      <c r="X724" s="1"/>
    </row>
    <row r="725" ht="16.5" customHeight="1">
      <c r="A725" s="1"/>
      <c r="B725" s="1"/>
      <c r="C725" s="1"/>
      <c r="D725" s="8"/>
      <c r="E725" s="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"/>
      <c r="S725" s="1"/>
      <c r="T725" s="1"/>
      <c r="U725" s="1"/>
      <c r="V725" s="3"/>
      <c r="W725" s="1"/>
      <c r="X725" s="1"/>
    </row>
    <row r="726" ht="16.5" customHeight="1">
      <c r="A726" s="1"/>
      <c r="B726" s="1"/>
      <c r="C726" s="1"/>
      <c r="D726" s="8"/>
      <c r="E726" s="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"/>
      <c r="S726" s="1"/>
      <c r="T726" s="1"/>
      <c r="U726" s="1"/>
      <c r="V726" s="3"/>
      <c r="W726" s="1"/>
      <c r="X726" s="1"/>
    </row>
    <row r="727" ht="16.5" customHeight="1">
      <c r="A727" s="1"/>
      <c r="B727" s="1"/>
      <c r="C727" s="1"/>
      <c r="D727" s="8"/>
      <c r="E727" s="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"/>
      <c r="S727" s="1"/>
      <c r="T727" s="1"/>
      <c r="U727" s="1"/>
      <c r="V727" s="3"/>
      <c r="W727" s="1"/>
      <c r="X727" s="1"/>
    </row>
    <row r="728" ht="16.5" customHeight="1">
      <c r="A728" s="1"/>
      <c r="B728" s="1"/>
      <c r="C728" s="1"/>
      <c r="D728" s="8"/>
      <c r="E728" s="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"/>
      <c r="S728" s="1"/>
      <c r="T728" s="1"/>
      <c r="U728" s="1"/>
      <c r="V728" s="3"/>
      <c r="W728" s="1"/>
      <c r="X728" s="1"/>
    </row>
    <row r="729" ht="16.5" customHeight="1">
      <c r="A729" s="1"/>
      <c r="B729" s="1"/>
      <c r="C729" s="1"/>
      <c r="D729" s="8"/>
      <c r="E729" s="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"/>
      <c r="S729" s="1"/>
      <c r="T729" s="1"/>
      <c r="U729" s="1"/>
      <c r="V729" s="3"/>
      <c r="W729" s="1"/>
      <c r="X729" s="1"/>
    </row>
    <row r="730" ht="16.5" customHeight="1">
      <c r="A730" s="1"/>
      <c r="B730" s="1"/>
      <c r="C730" s="1"/>
      <c r="D730" s="8"/>
      <c r="E730" s="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"/>
      <c r="S730" s="1"/>
      <c r="T730" s="1"/>
      <c r="U730" s="1"/>
      <c r="V730" s="3"/>
      <c r="W730" s="1"/>
      <c r="X730" s="1"/>
    </row>
    <row r="731" ht="16.5" customHeight="1">
      <c r="A731" s="1"/>
      <c r="B731" s="1"/>
      <c r="C731" s="1"/>
      <c r="D731" s="8"/>
      <c r="E731" s="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"/>
      <c r="S731" s="1"/>
      <c r="T731" s="1"/>
      <c r="U731" s="1"/>
      <c r="V731" s="3"/>
      <c r="W731" s="1"/>
      <c r="X731" s="1"/>
    </row>
    <row r="732" ht="16.5" customHeight="1">
      <c r="A732" s="1"/>
      <c r="B732" s="1"/>
      <c r="C732" s="1"/>
      <c r="D732" s="8"/>
      <c r="E732" s="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"/>
      <c r="S732" s="1"/>
      <c r="T732" s="1"/>
      <c r="U732" s="1"/>
      <c r="V732" s="3"/>
      <c r="W732" s="1"/>
      <c r="X732" s="1"/>
    </row>
    <row r="733" ht="16.5" customHeight="1">
      <c r="A733" s="1"/>
      <c r="B733" s="1"/>
      <c r="C733" s="1"/>
      <c r="D733" s="8"/>
      <c r="E733" s="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"/>
      <c r="S733" s="1"/>
      <c r="T733" s="1"/>
      <c r="U733" s="1"/>
      <c r="V733" s="3"/>
      <c r="W733" s="1"/>
      <c r="X733" s="1"/>
    </row>
    <row r="734" ht="16.5" customHeight="1">
      <c r="A734" s="1"/>
      <c r="B734" s="1"/>
      <c r="C734" s="1"/>
      <c r="D734" s="8"/>
      <c r="E734" s="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"/>
      <c r="S734" s="1"/>
      <c r="T734" s="1"/>
      <c r="U734" s="1"/>
      <c r="V734" s="3"/>
      <c r="W734" s="1"/>
      <c r="X734" s="1"/>
    </row>
    <row r="735" ht="16.5" customHeight="1">
      <c r="A735" s="1"/>
      <c r="B735" s="1"/>
      <c r="C735" s="1"/>
      <c r="D735" s="8"/>
      <c r="E735" s="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"/>
      <c r="S735" s="1"/>
      <c r="T735" s="1"/>
      <c r="U735" s="1"/>
      <c r="V735" s="3"/>
      <c r="W735" s="1"/>
      <c r="X735" s="1"/>
    </row>
    <row r="736" ht="16.5" customHeight="1">
      <c r="A736" s="1"/>
      <c r="B736" s="1"/>
      <c r="C736" s="1"/>
      <c r="D736" s="8"/>
      <c r="E736" s="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"/>
      <c r="S736" s="1"/>
      <c r="T736" s="1"/>
      <c r="U736" s="1"/>
      <c r="V736" s="3"/>
      <c r="W736" s="1"/>
      <c r="X736" s="1"/>
    </row>
    <row r="737" ht="16.5" customHeight="1">
      <c r="A737" s="1"/>
      <c r="B737" s="1"/>
      <c r="C737" s="1"/>
      <c r="D737" s="8"/>
      <c r="E737" s="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"/>
      <c r="S737" s="1"/>
      <c r="T737" s="1"/>
      <c r="U737" s="1"/>
      <c r="V737" s="3"/>
      <c r="W737" s="1"/>
      <c r="X737" s="1"/>
    </row>
    <row r="738" ht="16.5" customHeight="1">
      <c r="A738" s="1"/>
      <c r="B738" s="1"/>
      <c r="C738" s="1"/>
      <c r="D738" s="8"/>
      <c r="E738" s="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"/>
      <c r="S738" s="1"/>
      <c r="T738" s="1"/>
      <c r="U738" s="1"/>
      <c r="V738" s="3"/>
      <c r="W738" s="1"/>
      <c r="X738" s="1"/>
    </row>
    <row r="739" ht="16.5" customHeight="1">
      <c r="A739" s="1"/>
      <c r="B739" s="1"/>
      <c r="C739" s="1"/>
      <c r="D739" s="8"/>
      <c r="E739" s="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"/>
      <c r="S739" s="1"/>
      <c r="T739" s="1"/>
      <c r="U739" s="1"/>
      <c r="V739" s="3"/>
      <c r="W739" s="1"/>
      <c r="X739" s="1"/>
    </row>
    <row r="740" ht="16.5" customHeight="1">
      <c r="A740" s="1"/>
      <c r="B740" s="1"/>
      <c r="C740" s="1"/>
      <c r="D740" s="8"/>
      <c r="E740" s="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"/>
      <c r="S740" s="1"/>
      <c r="T740" s="1"/>
      <c r="U740" s="1"/>
      <c r="V740" s="3"/>
      <c r="W740" s="1"/>
      <c r="X740" s="1"/>
    </row>
    <row r="741" ht="16.5" customHeight="1">
      <c r="A741" s="1"/>
      <c r="B741" s="1"/>
      <c r="C741" s="1"/>
      <c r="D741" s="8"/>
      <c r="E741" s="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"/>
      <c r="S741" s="1"/>
      <c r="T741" s="1"/>
      <c r="U741" s="1"/>
      <c r="V741" s="3"/>
      <c r="W741" s="1"/>
      <c r="X741" s="1"/>
    </row>
    <row r="742" ht="16.5" customHeight="1">
      <c r="A742" s="1"/>
      <c r="B742" s="1"/>
      <c r="C742" s="1"/>
      <c r="D742" s="8"/>
      <c r="E742" s="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"/>
      <c r="S742" s="1"/>
      <c r="T742" s="1"/>
      <c r="U742" s="1"/>
      <c r="V742" s="3"/>
      <c r="W742" s="1"/>
      <c r="X742" s="1"/>
    </row>
    <row r="743" ht="16.5" customHeight="1">
      <c r="A743" s="1"/>
      <c r="B743" s="1"/>
      <c r="C743" s="1"/>
      <c r="D743" s="8"/>
      <c r="E743" s="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"/>
      <c r="S743" s="1"/>
      <c r="T743" s="1"/>
      <c r="U743" s="1"/>
      <c r="V743" s="3"/>
      <c r="W743" s="1"/>
      <c r="X743" s="1"/>
    </row>
    <row r="744" ht="16.5" customHeight="1">
      <c r="A744" s="1"/>
      <c r="B744" s="1"/>
      <c r="C744" s="1"/>
      <c r="D744" s="8"/>
      <c r="E744" s="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"/>
      <c r="S744" s="1"/>
      <c r="T744" s="1"/>
      <c r="U744" s="1"/>
      <c r="V744" s="3"/>
      <c r="W744" s="1"/>
      <c r="X744" s="1"/>
    </row>
    <row r="745" ht="16.5" customHeight="1">
      <c r="A745" s="1"/>
      <c r="B745" s="1"/>
      <c r="C745" s="1"/>
      <c r="D745" s="8"/>
      <c r="E745" s="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"/>
      <c r="S745" s="1"/>
      <c r="T745" s="1"/>
      <c r="U745" s="1"/>
      <c r="V745" s="3"/>
      <c r="W745" s="1"/>
      <c r="X745" s="1"/>
    </row>
    <row r="746" ht="16.5" customHeight="1">
      <c r="A746" s="1"/>
      <c r="B746" s="1"/>
      <c r="C746" s="1"/>
      <c r="D746" s="8"/>
      <c r="E746" s="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"/>
      <c r="S746" s="1"/>
      <c r="T746" s="1"/>
      <c r="U746" s="1"/>
      <c r="V746" s="3"/>
      <c r="W746" s="1"/>
      <c r="X746" s="1"/>
    </row>
    <row r="747" ht="16.5" customHeight="1">
      <c r="A747" s="1"/>
      <c r="B747" s="1"/>
      <c r="C747" s="1"/>
      <c r="D747" s="8"/>
      <c r="E747" s="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"/>
      <c r="S747" s="1"/>
      <c r="T747" s="1"/>
      <c r="U747" s="1"/>
      <c r="V747" s="3"/>
      <c r="W747" s="1"/>
      <c r="X747" s="1"/>
    </row>
    <row r="748" ht="16.5" customHeight="1">
      <c r="A748" s="1"/>
      <c r="B748" s="1"/>
      <c r="C748" s="1"/>
      <c r="D748" s="8"/>
      <c r="E748" s="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"/>
      <c r="S748" s="1"/>
      <c r="T748" s="1"/>
      <c r="U748" s="1"/>
      <c r="V748" s="3"/>
      <c r="W748" s="1"/>
      <c r="X748" s="1"/>
    </row>
    <row r="749" ht="16.5" customHeight="1">
      <c r="A749" s="1"/>
      <c r="B749" s="1"/>
      <c r="C749" s="1"/>
      <c r="D749" s="8"/>
      <c r="E749" s="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"/>
      <c r="S749" s="1"/>
      <c r="T749" s="1"/>
      <c r="U749" s="1"/>
      <c r="V749" s="3"/>
      <c r="W749" s="1"/>
      <c r="X749" s="1"/>
    </row>
    <row r="750" ht="16.5" customHeight="1">
      <c r="A750" s="1"/>
      <c r="B750" s="1"/>
      <c r="C750" s="1"/>
      <c r="D750" s="8"/>
      <c r="E750" s="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"/>
      <c r="S750" s="1"/>
      <c r="T750" s="1"/>
      <c r="U750" s="1"/>
      <c r="V750" s="3"/>
      <c r="W750" s="1"/>
      <c r="X750" s="1"/>
    </row>
    <row r="751" ht="16.5" customHeight="1">
      <c r="A751" s="1"/>
      <c r="B751" s="1"/>
      <c r="C751" s="1"/>
      <c r="D751" s="8"/>
      <c r="E751" s="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"/>
      <c r="S751" s="1"/>
      <c r="T751" s="1"/>
      <c r="U751" s="1"/>
      <c r="V751" s="3"/>
      <c r="W751" s="1"/>
      <c r="X751" s="1"/>
    </row>
    <row r="752" ht="16.5" customHeight="1">
      <c r="A752" s="1"/>
      <c r="B752" s="1"/>
      <c r="C752" s="1"/>
      <c r="D752" s="8"/>
      <c r="E752" s="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"/>
      <c r="S752" s="1"/>
      <c r="T752" s="1"/>
      <c r="U752" s="1"/>
      <c r="V752" s="3"/>
      <c r="W752" s="1"/>
      <c r="X752" s="1"/>
    </row>
    <row r="753" ht="16.5" customHeight="1">
      <c r="A753" s="1"/>
      <c r="B753" s="1"/>
      <c r="C753" s="1"/>
      <c r="D753" s="8"/>
      <c r="E753" s="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"/>
      <c r="S753" s="1"/>
      <c r="T753" s="1"/>
      <c r="U753" s="1"/>
      <c r="V753" s="3"/>
      <c r="W753" s="1"/>
      <c r="X753" s="1"/>
    </row>
    <row r="754" ht="16.5" customHeight="1">
      <c r="A754" s="1"/>
      <c r="B754" s="1"/>
      <c r="C754" s="1"/>
      <c r="D754" s="8"/>
      <c r="E754" s="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"/>
      <c r="S754" s="1"/>
      <c r="T754" s="1"/>
      <c r="U754" s="1"/>
      <c r="V754" s="3"/>
      <c r="W754" s="1"/>
      <c r="X754" s="1"/>
    </row>
    <row r="755" ht="16.5" customHeight="1">
      <c r="A755" s="1"/>
      <c r="B755" s="1"/>
      <c r="C755" s="1"/>
      <c r="D755" s="8"/>
      <c r="E755" s="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"/>
      <c r="S755" s="1"/>
      <c r="T755" s="1"/>
      <c r="U755" s="1"/>
      <c r="V755" s="3"/>
      <c r="W755" s="1"/>
      <c r="X755" s="1"/>
    </row>
    <row r="756" ht="16.5" customHeight="1">
      <c r="A756" s="1"/>
      <c r="B756" s="1"/>
      <c r="C756" s="1"/>
      <c r="D756" s="8"/>
      <c r="E756" s="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"/>
      <c r="S756" s="1"/>
      <c r="T756" s="1"/>
      <c r="U756" s="1"/>
      <c r="V756" s="3"/>
      <c r="W756" s="1"/>
      <c r="X756" s="1"/>
    </row>
    <row r="757" ht="16.5" customHeight="1">
      <c r="A757" s="1"/>
      <c r="B757" s="1"/>
      <c r="C757" s="1"/>
      <c r="D757" s="8"/>
      <c r="E757" s="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"/>
      <c r="S757" s="1"/>
      <c r="T757" s="1"/>
      <c r="U757" s="1"/>
      <c r="V757" s="3"/>
      <c r="W757" s="1"/>
      <c r="X757" s="1"/>
    </row>
    <row r="758" ht="16.5" customHeight="1">
      <c r="A758" s="1"/>
      <c r="B758" s="1"/>
      <c r="C758" s="1"/>
      <c r="D758" s="8"/>
      <c r="E758" s="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"/>
      <c r="S758" s="1"/>
      <c r="T758" s="1"/>
      <c r="U758" s="1"/>
      <c r="V758" s="3"/>
      <c r="W758" s="1"/>
      <c r="X758" s="1"/>
    </row>
    <row r="759" ht="16.5" customHeight="1">
      <c r="A759" s="1"/>
      <c r="B759" s="1"/>
      <c r="C759" s="1"/>
      <c r="D759" s="8"/>
      <c r="E759" s="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"/>
      <c r="S759" s="1"/>
      <c r="T759" s="1"/>
      <c r="U759" s="1"/>
      <c r="V759" s="3"/>
      <c r="W759" s="1"/>
      <c r="X759" s="1"/>
    </row>
    <row r="760" ht="16.5" customHeight="1">
      <c r="A760" s="1"/>
      <c r="B760" s="1"/>
      <c r="C760" s="1"/>
      <c r="D760" s="8"/>
      <c r="E760" s="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"/>
      <c r="S760" s="1"/>
      <c r="T760" s="1"/>
      <c r="U760" s="1"/>
      <c r="V760" s="3"/>
      <c r="W760" s="1"/>
      <c r="X760" s="1"/>
    </row>
    <row r="761" ht="16.5" customHeight="1">
      <c r="A761" s="1"/>
      <c r="B761" s="1"/>
      <c r="C761" s="1"/>
      <c r="D761" s="8"/>
      <c r="E761" s="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"/>
      <c r="S761" s="1"/>
      <c r="T761" s="1"/>
      <c r="U761" s="1"/>
      <c r="V761" s="3"/>
      <c r="W761" s="1"/>
      <c r="X761" s="1"/>
    </row>
    <row r="762" ht="16.5" customHeight="1">
      <c r="A762" s="1"/>
      <c r="B762" s="1"/>
      <c r="C762" s="1"/>
      <c r="D762" s="8"/>
      <c r="E762" s="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"/>
      <c r="S762" s="1"/>
      <c r="T762" s="1"/>
      <c r="U762" s="1"/>
      <c r="V762" s="3"/>
      <c r="W762" s="1"/>
      <c r="X762" s="1"/>
    </row>
    <row r="763" ht="16.5" customHeight="1">
      <c r="A763" s="1"/>
      <c r="B763" s="1"/>
      <c r="C763" s="1"/>
      <c r="D763" s="8"/>
      <c r="E763" s="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"/>
      <c r="S763" s="1"/>
      <c r="T763" s="1"/>
      <c r="U763" s="1"/>
      <c r="V763" s="3"/>
      <c r="W763" s="1"/>
      <c r="X763" s="1"/>
    </row>
    <row r="764" ht="16.5" customHeight="1">
      <c r="A764" s="1"/>
      <c r="B764" s="1"/>
      <c r="C764" s="1"/>
      <c r="D764" s="8"/>
      <c r="E764" s="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"/>
      <c r="S764" s="1"/>
      <c r="T764" s="1"/>
      <c r="U764" s="1"/>
      <c r="V764" s="3"/>
      <c r="W764" s="1"/>
      <c r="X764" s="1"/>
    </row>
    <row r="765" ht="16.5" customHeight="1">
      <c r="A765" s="1"/>
      <c r="B765" s="1"/>
      <c r="C765" s="1"/>
      <c r="D765" s="8"/>
      <c r="E765" s="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"/>
      <c r="S765" s="1"/>
      <c r="T765" s="1"/>
      <c r="U765" s="1"/>
      <c r="V765" s="3"/>
      <c r="W765" s="1"/>
      <c r="X765" s="1"/>
    </row>
    <row r="766" ht="16.5" customHeight="1">
      <c r="A766" s="1"/>
      <c r="B766" s="1"/>
      <c r="C766" s="1"/>
      <c r="D766" s="8"/>
      <c r="E766" s="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"/>
      <c r="S766" s="1"/>
      <c r="T766" s="1"/>
      <c r="U766" s="1"/>
      <c r="V766" s="3"/>
      <c r="W766" s="1"/>
      <c r="X766" s="1"/>
    </row>
    <row r="767" ht="16.5" customHeight="1">
      <c r="A767" s="1"/>
      <c r="B767" s="1"/>
      <c r="C767" s="1"/>
      <c r="D767" s="8"/>
      <c r="E767" s="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"/>
      <c r="S767" s="1"/>
      <c r="T767" s="1"/>
      <c r="U767" s="1"/>
      <c r="V767" s="3"/>
      <c r="W767" s="1"/>
      <c r="X767" s="1"/>
    </row>
    <row r="768" ht="16.5" customHeight="1">
      <c r="A768" s="1"/>
      <c r="B768" s="1"/>
      <c r="C768" s="1"/>
      <c r="D768" s="8"/>
      <c r="E768" s="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"/>
      <c r="S768" s="1"/>
      <c r="T768" s="1"/>
      <c r="U768" s="1"/>
      <c r="V768" s="3"/>
      <c r="W768" s="1"/>
      <c r="X768" s="1"/>
    </row>
    <row r="769" ht="16.5" customHeight="1">
      <c r="A769" s="1"/>
      <c r="B769" s="1"/>
      <c r="C769" s="1"/>
      <c r="D769" s="8"/>
      <c r="E769" s="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"/>
      <c r="S769" s="1"/>
      <c r="T769" s="1"/>
      <c r="U769" s="1"/>
      <c r="V769" s="3"/>
      <c r="W769" s="1"/>
      <c r="X769" s="1"/>
    </row>
    <row r="770" ht="16.5" customHeight="1">
      <c r="A770" s="1"/>
      <c r="B770" s="1"/>
      <c r="C770" s="1"/>
      <c r="D770" s="8"/>
      <c r="E770" s="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"/>
      <c r="S770" s="1"/>
      <c r="T770" s="1"/>
      <c r="U770" s="1"/>
      <c r="V770" s="3"/>
      <c r="W770" s="1"/>
      <c r="X770" s="1"/>
    </row>
    <row r="771" ht="16.5" customHeight="1">
      <c r="A771" s="1"/>
      <c r="B771" s="1"/>
      <c r="C771" s="1"/>
      <c r="D771" s="8"/>
      <c r="E771" s="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"/>
      <c r="S771" s="1"/>
      <c r="T771" s="1"/>
      <c r="U771" s="1"/>
      <c r="V771" s="3"/>
      <c r="W771" s="1"/>
      <c r="X771" s="1"/>
    </row>
    <row r="772" ht="16.5" customHeight="1">
      <c r="A772" s="1"/>
      <c r="B772" s="1"/>
      <c r="C772" s="1"/>
      <c r="D772" s="8"/>
      <c r="E772" s="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"/>
      <c r="S772" s="1"/>
      <c r="T772" s="1"/>
      <c r="U772" s="1"/>
      <c r="V772" s="3"/>
      <c r="W772" s="1"/>
      <c r="X772" s="1"/>
    </row>
    <row r="773" ht="16.5" customHeight="1">
      <c r="A773" s="1"/>
      <c r="B773" s="1"/>
      <c r="C773" s="1"/>
      <c r="D773" s="8"/>
      <c r="E773" s="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"/>
      <c r="S773" s="1"/>
      <c r="T773" s="1"/>
      <c r="U773" s="1"/>
      <c r="V773" s="3"/>
      <c r="W773" s="1"/>
      <c r="X773" s="1"/>
    </row>
    <row r="774" ht="16.5" customHeight="1">
      <c r="A774" s="1"/>
      <c r="B774" s="1"/>
      <c r="C774" s="1"/>
      <c r="D774" s="8"/>
      <c r="E774" s="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"/>
      <c r="S774" s="1"/>
      <c r="T774" s="1"/>
      <c r="U774" s="1"/>
      <c r="V774" s="3"/>
      <c r="W774" s="1"/>
      <c r="X774" s="1"/>
    </row>
    <row r="775" ht="16.5" customHeight="1">
      <c r="A775" s="1"/>
      <c r="B775" s="1"/>
      <c r="C775" s="1"/>
      <c r="D775" s="8"/>
      <c r="E775" s="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"/>
      <c r="S775" s="1"/>
      <c r="T775" s="1"/>
      <c r="U775" s="1"/>
      <c r="V775" s="3"/>
      <c r="W775" s="1"/>
      <c r="X775" s="1"/>
    </row>
    <row r="776" ht="16.5" customHeight="1">
      <c r="A776" s="1"/>
      <c r="B776" s="1"/>
      <c r="C776" s="1"/>
      <c r="D776" s="8"/>
      <c r="E776" s="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"/>
      <c r="S776" s="1"/>
      <c r="T776" s="1"/>
      <c r="U776" s="1"/>
      <c r="V776" s="3"/>
      <c r="W776" s="1"/>
      <c r="X776" s="1"/>
    </row>
    <row r="777" ht="16.5" customHeight="1">
      <c r="A777" s="1"/>
      <c r="B777" s="1"/>
      <c r="C777" s="1"/>
      <c r="D777" s="8"/>
      <c r="E777" s="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"/>
      <c r="S777" s="1"/>
      <c r="T777" s="1"/>
      <c r="U777" s="1"/>
      <c r="V777" s="3"/>
      <c r="W777" s="1"/>
      <c r="X777" s="1"/>
    </row>
    <row r="778" ht="16.5" customHeight="1">
      <c r="A778" s="1"/>
      <c r="B778" s="1"/>
      <c r="C778" s="1"/>
      <c r="D778" s="8"/>
      <c r="E778" s="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"/>
      <c r="S778" s="1"/>
      <c r="T778" s="1"/>
      <c r="U778" s="1"/>
      <c r="V778" s="3"/>
      <c r="W778" s="1"/>
      <c r="X778" s="1"/>
    </row>
    <row r="779" ht="16.5" customHeight="1">
      <c r="A779" s="1"/>
      <c r="B779" s="1"/>
      <c r="C779" s="1"/>
      <c r="D779" s="8"/>
      <c r="E779" s="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"/>
      <c r="S779" s="1"/>
      <c r="T779" s="1"/>
      <c r="U779" s="1"/>
      <c r="V779" s="3"/>
      <c r="W779" s="1"/>
      <c r="X779" s="1"/>
    </row>
    <row r="780" ht="16.5" customHeight="1">
      <c r="A780" s="1"/>
      <c r="B780" s="1"/>
      <c r="C780" s="1"/>
      <c r="D780" s="8"/>
      <c r="E780" s="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"/>
      <c r="S780" s="1"/>
      <c r="T780" s="1"/>
      <c r="U780" s="1"/>
      <c r="V780" s="3"/>
      <c r="W780" s="1"/>
      <c r="X780" s="1"/>
    </row>
    <row r="781" ht="16.5" customHeight="1">
      <c r="A781" s="1"/>
      <c r="B781" s="1"/>
      <c r="C781" s="1"/>
      <c r="D781" s="8"/>
      <c r="E781" s="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"/>
      <c r="S781" s="1"/>
      <c r="T781" s="1"/>
      <c r="U781" s="1"/>
      <c r="V781" s="3"/>
      <c r="W781" s="1"/>
      <c r="X781" s="1"/>
    </row>
    <row r="782" ht="16.5" customHeight="1">
      <c r="A782" s="1"/>
      <c r="B782" s="1"/>
      <c r="C782" s="1"/>
      <c r="D782" s="8"/>
      <c r="E782" s="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"/>
      <c r="S782" s="1"/>
      <c r="T782" s="1"/>
      <c r="U782" s="1"/>
      <c r="V782" s="3"/>
      <c r="W782" s="1"/>
      <c r="X782" s="1"/>
    </row>
    <row r="783" ht="16.5" customHeight="1">
      <c r="A783" s="1"/>
      <c r="B783" s="1"/>
      <c r="C783" s="1"/>
      <c r="D783" s="8"/>
      <c r="E783" s="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"/>
      <c r="S783" s="1"/>
      <c r="T783" s="1"/>
      <c r="U783" s="1"/>
      <c r="V783" s="3"/>
      <c r="W783" s="1"/>
      <c r="X783" s="1"/>
    </row>
    <row r="784" ht="16.5" customHeight="1">
      <c r="A784" s="1"/>
      <c r="B784" s="1"/>
      <c r="C784" s="1"/>
      <c r="D784" s="8"/>
      <c r="E784" s="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"/>
      <c r="S784" s="1"/>
      <c r="T784" s="1"/>
      <c r="U784" s="1"/>
      <c r="V784" s="3"/>
      <c r="W784" s="1"/>
      <c r="X784" s="1"/>
    </row>
    <row r="785" ht="16.5" customHeight="1">
      <c r="A785" s="1"/>
      <c r="B785" s="1"/>
      <c r="C785" s="1"/>
      <c r="D785" s="8"/>
      <c r="E785" s="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"/>
      <c r="S785" s="1"/>
      <c r="T785" s="1"/>
      <c r="U785" s="1"/>
      <c r="V785" s="3"/>
      <c r="W785" s="1"/>
      <c r="X785" s="1"/>
    </row>
    <row r="786" ht="16.5" customHeight="1">
      <c r="A786" s="1"/>
      <c r="B786" s="1"/>
      <c r="C786" s="1"/>
      <c r="D786" s="8"/>
      <c r="E786" s="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"/>
      <c r="S786" s="1"/>
      <c r="T786" s="1"/>
      <c r="U786" s="1"/>
      <c r="V786" s="3"/>
      <c r="W786" s="1"/>
      <c r="X786" s="1"/>
    </row>
    <row r="787" ht="16.5" customHeight="1">
      <c r="A787" s="1"/>
      <c r="B787" s="1"/>
      <c r="C787" s="1"/>
      <c r="D787" s="8"/>
      <c r="E787" s="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"/>
      <c r="S787" s="1"/>
      <c r="T787" s="1"/>
      <c r="U787" s="1"/>
      <c r="V787" s="3"/>
      <c r="W787" s="1"/>
      <c r="X787" s="1"/>
    </row>
    <row r="788" ht="16.5" customHeight="1">
      <c r="A788" s="1"/>
      <c r="B788" s="1"/>
      <c r="C788" s="1"/>
      <c r="D788" s="8"/>
      <c r="E788" s="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"/>
      <c r="S788" s="1"/>
      <c r="T788" s="1"/>
      <c r="U788" s="1"/>
      <c r="V788" s="3"/>
      <c r="W788" s="1"/>
      <c r="X788" s="1"/>
    </row>
    <row r="789" ht="16.5" customHeight="1">
      <c r="A789" s="1"/>
      <c r="B789" s="1"/>
      <c r="C789" s="1"/>
      <c r="D789" s="8"/>
      <c r="E789" s="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"/>
      <c r="S789" s="1"/>
      <c r="T789" s="1"/>
      <c r="U789" s="1"/>
      <c r="V789" s="3"/>
      <c r="W789" s="1"/>
      <c r="X789" s="1"/>
    </row>
    <row r="790" ht="16.5" customHeight="1">
      <c r="A790" s="1"/>
      <c r="B790" s="1"/>
      <c r="C790" s="1"/>
      <c r="D790" s="8"/>
      <c r="E790" s="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"/>
      <c r="S790" s="1"/>
      <c r="T790" s="1"/>
      <c r="U790" s="1"/>
      <c r="V790" s="3"/>
      <c r="W790" s="1"/>
      <c r="X790" s="1"/>
    </row>
    <row r="791" ht="16.5" customHeight="1">
      <c r="A791" s="1"/>
      <c r="B791" s="1"/>
      <c r="C791" s="1"/>
      <c r="D791" s="8"/>
      <c r="E791" s="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"/>
      <c r="S791" s="1"/>
      <c r="T791" s="1"/>
      <c r="U791" s="1"/>
      <c r="V791" s="3"/>
      <c r="W791" s="1"/>
      <c r="X791" s="1"/>
    </row>
    <row r="792" ht="16.5" customHeight="1">
      <c r="A792" s="1"/>
      <c r="B792" s="1"/>
      <c r="C792" s="1"/>
      <c r="D792" s="8"/>
      <c r="E792" s="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"/>
      <c r="S792" s="1"/>
      <c r="T792" s="1"/>
      <c r="U792" s="1"/>
      <c r="V792" s="3"/>
      <c r="W792" s="1"/>
      <c r="X792" s="1"/>
    </row>
    <row r="793" ht="16.5" customHeight="1">
      <c r="A793" s="1"/>
      <c r="B793" s="1"/>
      <c r="C793" s="1"/>
      <c r="D793" s="8"/>
      <c r="E793" s="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"/>
      <c r="S793" s="1"/>
      <c r="T793" s="1"/>
      <c r="U793" s="1"/>
      <c r="V793" s="3"/>
      <c r="W793" s="1"/>
      <c r="X793" s="1"/>
    </row>
    <row r="794" ht="16.5" customHeight="1">
      <c r="A794" s="1"/>
      <c r="B794" s="1"/>
      <c r="C794" s="1"/>
      <c r="D794" s="8"/>
      <c r="E794" s="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"/>
      <c r="S794" s="1"/>
      <c r="T794" s="1"/>
      <c r="U794" s="1"/>
      <c r="V794" s="3"/>
      <c r="W794" s="1"/>
      <c r="X794" s="1"/>
    </row>
    <row r="795" ht="16.5" customHeight="1">
      <c r="A795" s="1"/>
      <c r="B795" s="1"/>
      <c r="C795" s="1"/>
      <c r="D795" s="8"/>
      <c r="E795" s="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"/>
      <c r="S795" s="1"/>
      <c r="T795" s="1"/>
      <c r="U795" s="1"/>
      <c r="V795" s="3"/>
      <c r="W795" s="1"/>
      <c r="X795" s="1"/>
    </row>
    <row r="796" ht="16.5" customHeight="1">
      <c r="A796" s="1"/>
      <c r="B796" s="1"/>
      <c r="C796" s="1"/>
      <c r="D796" s="8"/>
      <c r="E796" s="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"/>
      <c r="S796" s="1"/>
      <c r="T796" s="1"/>
      <c r="U796" s="1"/>
      <c r="V796" s="3"/>
      <c r="W796" s="1"/>
      <c r="X796" s="1"/>
    </row>
    <row r="797" ht="16.5" customHeight="1">
      <c r="A797" s="1"/>
      <c r="B797" s="1"/>
      <c r="C797" s="1"/>
      <c r="D797" s="8"/>
      <c r="E797" s="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"/>
      <c r="S797" s="1"/>
      <c r="T797" s="1"/>
      <c r="U797" s="1"/>
      <c r="V797" s="3"/>
      <c r="W797" s="1"/>
      <c r="X797" s="1"/>
    </row>
    <row r="798" ht="16.5" customHeight="1">
      <c r="A798" s="1"/>
      <c r="B798" s="1"/>
      <c r="C798" s="1"/>
      <c r="D798" s="8"/>
      <c r="E798" s="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"/>
      <c r="S798" s="1"/>
      <c r="T798" s="1"/>
      <c r="U798" s="1"/>
      <c r="V798" s="3"/>
      <c r="W798" s="1"/>
      <c r="X798" s="1"/>
    </row>
    <row r="799" ht="16.5" customHeight="1">
      <c r="A799" s="1"/>
      <c r="B799" s="1"/>
      <c r="C799" s="1"/>
      <c r="D799" s="8"/>
      <c r="E799" s="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"/>
      <c r="S799" s="1"/>
      <c r="T799" s="1"/>
      <c r="U799" s="1"/>
      <c r="V799" s="3"/>
      <c r="W799" s="1"/>
      <c r="X799" s="1"/>
    </row>
    <row r="800" ht="16.5" customHeight="1">
      <c r="A800" s="1"/>
      <c r="B800" s="1"/>
      <c r="C800" s="1"/>
      <c r="D800" s="8"/>
      <c r="E800" s="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"/>
      <c r="S800" s="1"/>
      <c r="T800" s="1"/>
      <c r="U800" s="1"/>
      <c r="V800" s="3"/>
      <c r="W800" s="1"/>
      <c r="X800" s="1"/>
    </row>
    <row r="801" ht="16.5" customHeight="1">
      <c r="A801" s="1"/>
      <c r="B801" s="1"/>
      <c r="C801" s="1"/>
      <c r="D801" s="8"/>
      <c r="E801" s="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"/>
      <c r="S801" s="1"/>
      <c r="T801" s="1"/>
      <c r="U801" s="1"/>
      <c r="V801" s="3"/>
      <c r="W801" s="1"/>
      <c r="X801" s="1"/>
    </row>
    <row r="802" ht="16.5" customHeight="1">
      <c r="A802" s="1"/>
      <c r="B802" s="1"/>
      <c r="C802" s="1"/>
      <c r="D802" s="8"/>
      <c r="E802" s="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"/>
      <c r="S802" s="1"/>
      <c r="T802" s="1"/>
      <c r="U802" s="1"/>
      <c r="V802" s="3"/>
      <c r="W802" s="1"/>
      <c r="X802" s="1"/>
    </row>
    <row r="803" ht="16.5" customHeight="1">
      <c r="A803" s="1"/>
      <c r="B803" s="1"/>
      <c r="C803" s="1"/>
      <c r="D803" s="8"/>
      <c r="E803" s="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"/>
      <c r="S803" s="1"/>
      <c r="T803" s="1"/>
      <c r="U803" s="1"/>
      <c r="V803" s="3"/>
      <c r="W803" s="1"/>
      <c r="X803" s="1"/>
    </row>
    <row r="804" ht="16.5" customHeight="1">
      <c r="A804" s="1"/>
      <c r="B804" s="1"/>
      <c r="C804" s="1"/>
      <c r="D804" s="8"/>
      <c r="E804" s="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"/>
      <c r="S804" s="1"/>
      <c r="T804" s="1"/>
      <c r="U804" s="1"/>
      <c r="V804" s="3"/>
      <c r="W804" s="1"/>
      <c r="X804" s="1"/>
    </row>
    <row r="805" ht="16.5" customHeight="1">
      <c r="A805" s="1"/>
      <c r="B805" s="1"/>
      <c r="C805" s="1"/>
      <c r="D805" s="8"/>
      <c r="E805" s="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"/>
      <c r="S805" s="1"/>
      <c r="T805" s="1"/>
      <c r="U805" s="1"/>
      <c r="V805" s="3"/>
      <c r="W805" s="1"/>
      <c r="X805" s="1"/>
    </row>
    <row r="806" ht="16.5" customHeight="1">
      <c r="A806" s="1"/>
      <c r="B806" s="1"/>
      <c r="C806" s="1"/>
      <c r="D806" s="8"/>
      <c r="E806" s="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"/>
      <c r="S806" s="1"/>
      <c r="T806" s="1"/>
      <c r="U806" s="1"/>
      <c r="V806" s="3"/>
      <c r="W806" s="1"/>
      <c r="X806" s="1"/>
    </row>
    <row r="807" ht="16.5" customHeight="1">
      <c r="A807" s="1"/>
      <c r="B807" s="1"/>
      <c r="C807" s="1"/>
      <c r="D807" s="8"/>
      <c r="E807" s="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"/>
      <c r="S807" s="1"/>
      <c r="T807" s="1"/>
      <c r="U807" s="1"/>
      <c r="V807" s="3"/>
      <c r="W807" s="1"/>
      <c r="X807" s="1"/>
    </row>
    <row r="808" ht="16.5" customHeight="1">
      <c r="A808" s="1"/>
      <c r="B808" s="1"/>
      <c r="C808" s="1"/>
      <c r="D808" s="8"/>
      <c r="E808" s="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"/>
      <c r="S808" s="1"/>
      <c r="T808" s="1"/>
      <c r="U808" s="1"/>
      <c r="V808" s="3"/>
      <c r="W808" s="1"/>
      <c r="X808" s="1"/>
    </row>
    <row r="809" ht="16.5" customHeight="1">
      <c r="A809" s="1"/>
      <c r="B809" s="1"/>
      <c r="C809" s="1"/>
      <c r="D809" s="8"/>
      <c r="E809" s="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"/>
      <c r="S809" s="1"/>
      <c r="T809" s="1"/>
      <c r="U809" s="1"/>
      <c r="V809" s="3"/>
      <c r="W809" s="1"/>
      <c r="X809" s="1"/>
    </row>
    <row r="810" ht="16.5" customHeight="1">
      <c r="A810" s="1"/>
      <c r="B810" s="1"/>
      <c r="C810" s="1"/>
      <c r="D810" s="8"/>
      <c r="E810" s="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"/>
      <c r="S810" s="1"/>
      <c r="T810" s="1"/>
      <c r="U810" s="1"/>
      <c r="V810" s="3"/>
      <c r="W810" s="1"/>
      <c r="X810" s="1"/>
    </row>
    <row r="811" ht="16.5" customHeight="1">
      <c r="A811" s="1"/>
      <c r="B811" s="1"/>
      <c r="C811" s="1"/>
      <c r="D811" s="8"/>
      <c r="E811" s="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"/>
      <c r="S811" s="1"/>
      <c r="T811" s="1"/>
      <c r="U811" s="1"/>
      <c r="V811" s="3"/>
      <c r="W811" s="1"/>
      <c r="X811" s="1"/>
    </row>
    <row r="812" ht="16.5" customHeight="1">
      <c r="A812" s="1"/>
      <c r="B812" s="1"/>
      <c r="C812" s="1"/>
      <c r="D812" s="8"/>
      <c r="E812" s="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"/>
      <c r="S812" s="1"/>
      <c r="T812" s="1"/>
      <c r="U812" s="1"/>
      <c r="V812" s="3"/>
      <c r="W812" s="1"/>
      <c r="X812" s="1"/>
    </row>
    <row r="813" ht="16.5" customHeight="1">
      <c r="A813" s="1"/>
      <c r="B813" s="1"/>
      <c r="C813" s="1"/>
      <c r="D813" s="8"/>
      <c r="E813" s="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"/>
      <c r="S813" s="1"/>
      <c r="T813" s="1"/>
      <c r="U813" s="1"/>
      <c r="V813" s="3"/>
      <c r="W813" s="1"/>
      <c r="X813" s="1"/>
    </row>
    <row r="814" ht="16.5" customHeight="1">
      <c r="A814" s="1"/>
      <c r="B814" s="1"/>
      <c r="C814" s="1"/>
      <c r="D814" s="8"/>
      <c r="E814" s="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"/>
      <c r="S814" s="1"/>
      <c r="T814" s="1"/>
      <c r="U814" s="1"/>
      <c r="V814" s="3"/>
      <c r="W814" s="1"/>
      <c r="X814" s="1"/>
    </row>
    <row r="815" ht="16.5" customHeight="1">
      <c r="A815" s="1"/>
      <c r="B815" s="1"/>
      <c r="C815" s="1"/>
      <c r="D815" s="8"/>
      <c r="E815" s="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"/>
      <c r="S815" s="1"/>
      <c r="T815" s="1"/>
      <c r="U815" s="1"/>
      <c r="V815" s="3"/>
      <c r="W815" s="1"/>
      <c r="X815" s="1"/>
    </row>
    <row r="816" ht="16.5" customHeight="1">
      <c r="A816" s="1"/>
      <c r="B816" s="1"/>
      <c r="C816" s="1"/>
      <c r="D816" s="8"/>
      <c r="E816" s="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"/>
      <c r="S816" s="1"/>
      <c r="T816" s="1"/>
      <c r="U816" s="1"/>
      <c r="V816" s="3"/>
      <c r="W816" s="1"/>
      <c r="X816" s="1"/>
    </row>
    <row r="817" ht="16.5" customHeight="1">
      <c r="A817" s="1"/>
      <c r="B817" s="1"/>
      <c r="C817" s="1"/>
      <c r="D817" s="8"/>
      <c r="E817" s="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"/>
      <c r="S817" s="1"/>
      <c r="T817" s="1"/>
      <c r="U817" s="1"/>
      <c r="V817" s="3"/>
      <c r="W817" s="1"/>
      <c r="X817" s="1"/>
    </row>
    <row r="818" ht="16.5" customHeight="1">
      <c r="A818" s="1"/>
      <c r="B818" s="1"/>
      <c r="C818" s="1"/>
      <c r="D818" s="8"/>
      <c r="E818" s="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"/>
      <c r="S818" s="1"/>
      <c r="T818" s="1"/>
      <c r="U818" s="1"/>
      <c r="V818" s="3"/>
      <c r="W818" s="1"/>
      <c r="X818" s="1"/>
    </row>
    <row r="819" ht="16.5" customHeight="1">
      <c r="A819" s="1"/>
      <c r="B819" s="1"/>
      <c r="C819" s="1"/>
      <c r="D819" s="8"/>
      <c r="E819" s="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"/>
      <c r="S819" s="1"/>
      <c r="T819" s="1"/>
      <c r="U819" s="1"/>
      <c r="V819" s="3"/>
      <c r="W819" s="1"/>
      <c r="X819" s="1"/>
    </row>
    <row r="820" ht="16.5" customHeight="1">
      <c r="A820" s="1"/>
      <c r="B820" s="1"/>
      <c r="C820" s="1"/>
      <c r="D820" s="8"/>
      <c r="E820" s="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"/>
      <c r="S820" s="1"/>
      <c r="T820" s="1"/>
      <c r="U820" s="1"/>
      <c r="V820" s="3"/>
      <c r="W820" s="1"/>
      <c r="X820" s="1"/>
    </row>
    <row r="821" ht="16.5" customHeight="1">
      <c r="A821" s="1"/>
      <c r="B821" s="1"/>
      <c r="C821" s="1"/>
      <c r="D821" s="8"/>
      <c r="E821" s="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"/>
      <c r="S821" s="1"/>
      <c r="T821" s="1"/>
      <c r="U821" s="1"/>
      <c r="V821" s="3"/>
      <c r="W821" s="1"/>
      <c r="X821" s="1"/>
    </row>
    <row r="822" ht="16.5" customHeight="1">
      <c r="A822" s="1"/>
      <c r="B822" s="1"/>
      <c r="C822" s="1"/>
      <c r="D822" s="8"/>
      <c r="E822" s="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"/>
      <c r="S822" s="1"/>
      <c r="T822" s="1"/>
      <c r="U822" s="1"/>
      <c r="V822" s="3"/>
      <c r="W822" s="1"/>
      <c r="X822" s="1"/>
    </row>
    <row r="823" ht="16.5" customHeight="1">
      <c r="A823" s="1"/>
      <c r="B823" s="1"/>
      <c r="C823" s="1"/>
      <c r="D823" s="8"/>
      <c r="E823" s="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"/>
      <c r="S823" s="1"/>
      <c r="T823" s="1"/>
      <c r="U823" s="1"/>
      <c r="V823" s="3"/>
      <c r="W823" s="1"/>
      <c r="X823" s="1"/>
    </row>
    <row r="824" ht="16.5" customHeight="1">
      <c r="A824" s="1"/>
      <c r="B824" s="1"/>
      <c r="C824" s="1"/>
      <c r="D824" s="8"/>
      <c r="E824" s="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"/>
      <c r="S824" s="1"/>
      <c r="T824" s="1"/>
      <c r="U824" s="1"/>
      <c r="V824" s="3"/>
      <c r="W824" s="1"/>
      <c r="X824" s="1"/>
    </row>
    <row r="825" ht="16.5" customHeight="1">
      <c r="A825" s="1"/>
      <c r="B825" s="1"/>
      <c r="C825" s="1"/>
      <c r="D825" s="8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"/>
      <c r="S825" s="1"/>
      <c r="T825" s="1"/>
      <c r="U825" s="1"/>
      <c r="V825" s="3"/>
      <c r="W825" s="1"/>
      <c r="X825" s="1"/>
    </row>
    <row r="826" ht="16.5" customHeight="1">
      <c r="A826" s="1"/>
      <c r="B826" s="1"/>
      <c r="C826" s="1"/>
      <c r="D826" s="8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"/>
      <c r="S826" s="1"/>
      <c r="T826" s="1"/>
      <c r="U826" s="1"/>
      <c r="V826" s="3"/>
      <c r="W826" s="1"/>
      <c r="X826" s="1"/>
    </row>
    <row r="827" ht="16.5" customHeight="1">
      <c r="A827" s="1"/>
      <c r="B827" s="1"/>
      <c r="C827" s="1"/>
      <c r="D827" s="8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"/>
      <c r="S827" s="1"/>
      <c r="T827" s="1"/>
      <c r="U827" s="1"/>
      <c r="V827" s="3"/>
      <c r="W827" s="1"/>
      <c r="X827" s="1"/>
    </row>
    <row r="828" ht="16.5" customHeight="1">
      <c r="A828" s="1"/>
      <c r="B828" s="1"/>
      <c r="C828" s="1"/>
      <c r="D828" s="8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"/>
      <c r="S828" s="1"/>
      <c r="T828" s="1"/>
      <c r="U828" s="1"/>
      <c r="V828" s="3"/>
      <c r="W828" s="1"/>
      <c r="X828" s="1"/>
    </row>
    <row r="829" ht="16.5" customHeight="1">
      <c r="A829" s="1"/>
      <c r="B829" s="1"/>
      <c r="C829" s="1"/>
      <c r="D829" s="8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"/>
      <c r="S829" s="1"/>
      <c r="T829" s="1"/>
      <c r="U829" s="1"/>
      <c r="V829" s="3"/>
      <c r="W829" s="1"/>
      <c r="X829" s="1"/>
    </row>
    <row r="830" ht="16.5" customHeight="1">
      <c r="A830" s="1"/>
      <c r="B830" s="1"/>
      <c r="C830" s="1"/>
      <c r="D830" s="8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"/>
      <c r="S830" s="1"/>
      <c r="T830" s="1"/>
      <c r="U830" s="1"/>
      <c r="V830" s="3"/>
      <c r="W830" s="1"/>
      <c r="X830" s="1"/>
    </row>
    <row r="831" ht="16.5" customHeight="1">
      <c r="A831" s="1"/>
      <c r="B831" s="1"/>
      <c r="C831" s="1"/>
      <c r="D831" s="8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"/>
      <c r="S831" s="1"/>
      <c r="T831" s="1"/>
      <c r="U831" s="1"/>
      <c r="V831" s="3"/>
      <c r="W831" s="1"/>
      <c r="X831" s="1"/>
    </row>
    <row r="832" ht="16.5" customHeight="1">
      <c r="A832" s="1"/>
      <c r="B832" s="1"/>
      <c r="C832" s="1"/>
      <c r="D832" s="8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"/>
      <c r="S832" s="1"/>
      <c r="T832" s="1"/>
      <c r="U832" s="1"/>
      <c r="V832" s="3"/>
      <c r="W832" s="1"/>
      <c r="X832" s="1"/>
    </row>
    <row r="833" ht="16.5" customHeight="1">
      <c r="A833" s="1"/>
      <c r="B833" s="1"/>
      <c r="C833" s="1"/>
      <c r="D833" s="8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"/>
      <c r="S833" s="1"/>
      <c r="T833" s="1"/>
      <c r="U833" s="1"/>
      <c r="V833" s="3"/>
      <c r="W833" s="1"/>
      <c r="X833" s="1"/>
    </row>
    <row r="834" ht="16.5" customHeight="1">
      <c r="A834" s="1"/>
      <c r="B834" s="1"/>
      <c r="C834" s="1"/>
      <c r="D834" s="8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"/>
      <c r="S834" s="1"/>
      <c r="T834" s="1"/>
      <c r="U834" s="1"/>
      <c r="V834" s="3"/>
      <c r="W834" s="1"/>
      <c r="X834" s="1"/>
    </row>
    <row r="835" ht="16.5" customHeight="1">
      <c r="A835" s="1"/>
      <c r="B835" s="1"/>
      <c r="C835" s="1"/>
      <c r="D835" s="8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"/>
      <c r="S835" s="1"/>
      <c r="T835" s="1"/>
      <c r="U835" s="1"/>
      <c r="V835" s="3"/>
      <c r="W835" s="1"/>
      <c r="X835" s="1"/>
    </row>
    <row r="836" ht="16.5" customHeight="1">
      <c r="A836" s="1"/>
      <c r="B836" s="1"/>
      <c r="C836" s="1"/>
      <c r="D836" s="8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"/>
      <c r="S836" s="1"/>
      <c r="T836" s="1"/>
      <c r="U836" s="1"/>
      <c r="V836" s="3"/>
      <c r="W836" s="1"/>
      <c r="X836" s="1"/>
    </row>
    <row r="837" ht="16.5" customHeight="1">
      <c r="A837" s="1"/>
      <c r="B837" s="1"/>
      <c r="C837" s="1"/>
      <c r="D837" s="8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"/>
      <c r="S837" s="1"/>
      <c r="T837" s="1"/>
      <c r="U837" s="1"/>
      <c r="V837" s="3"/>
      <c r="W837" s="1"/>
      <c r="X837" s="1"/>
    </row>
    <row r="838" ht="16.5" customHeight="1">
      <c r="A838" s="1"/>
      <c r="B838" s="1"/>
      <c r="C838" s="1"/>
      <c r="D838" s="8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"/>
      <c r="S838" s="1"/>
      <c r="T838" s="1"/>
      <c r="U838" s="1"/>
      <c r="V838" s="3"/>
      <c r="W838" s="1"/>
      <c r="X838" s="1"/>
    </row>
    <row r="839" ht="16.5" customHeight="1">
      <c r="A839" s="1"/>
      <c r="B839" s="1"/>
      <c r="C839" s="1"/>
      <c r="D839" s="8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"/>
      <c r="S839" s="1"/>
      <c r="T839" s="1"/>
      <c r="U839" s="1"/>
      <c r="V839" s="3"/>
      <c r="W839" s="1"/>
      <c r="X839" s="1"/>
    </row>
    <row r="840" ht="16.5" customHeight="1">
      <c r="A840" s="1"/>
      <c r="B840" s="1"/>
      <c r="C840" s="1"/>
      <c r="D840" s="8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"/>
      <c r="S840" s="1"/>
      <c r="T840" s="1"/>
      <c r="U840" s="1"/>
      <c r="V840" s="3"/>
      <c r="W840" s="1"/>
      <c r="X840" s="1"/>
    </row>
    <row r="841" ht="16.5" customHeight="1">
      <c r="A841" s="1"/>
      <c r="B841" s="1"/>
      <c r="C841" s="1"/>
      <c r="D841" s="8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"/>
      <c r="S841" s="1"/>
      <c r="T841" s="1"/>
      <c r="U841" s="1"/>
      <c r="V841" s="3"/>
      <c r="W841" s="1"/>
      <c r="X841" s="1"/>
    </row>
    <row r="842" ht="16.5" customHeight="1">
      <c r="A842" s="1"/>
      <c r="B842" s="1"/>
      <c r="C842" s="1"/>
      <c r="D842" s="8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"/>
      <c r="S842" s="1"/>
      <c r="T842" s="1"/>
      <c r="U842" s="1"/>
      <c r="V842" s="3"/>
      <c r="W842" s="1"/>
      <c r="X842" s="1"/>
    </row>
    <row r="843" ht="16.5" customHeight="1">
      <c r="A843" s="1"/>
      <c r="B843" s="1"/>
      <c r="C843" s="1"/>
      <c r="D843" s="8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"/>
      <c r="S843" s="1"/>
      <c r="T843" s="1"/>
      <c r="U843" s="1"/>
      <c r="V843" s="3"/>
      <c r="W843" s="1"/>
      <c r="X843" s="1"/>
    </row>
    <row r="844" ht="16.5" customHeight="1">
      <c r="A844" s="1"/>
      <c r="B844" s="1"/>
      <c r="C844" s="1"/>
      <c r="D844" s="8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"/>
      <c r="S844" s="1"/>
      <c r="T844" s="1"/>
      <c r="U844" s="1"/>
      <c r="V844" s="3"/>
      <c r="W844" s="1"/>
      <c r="X844" s="1"/>
    </row>
    <row r="845" ht="16.5" customHeight="1">
      <c r="A845" s="1"/>
      <c r="B845" s="1"/>
      <c r="C845" s="1"/>
      <c r="D845" s="8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"/>
      <c r="S845" s="1"/>
      <c r="T845" s="1"/>
      <c r="U845" s="1"/>
      <c r="V845" s="3"/>
      <c r="W845" s="1"/>
      <c r="X845" s="1"/>
    </row>
    <row r="846" ht="16.5" customHeight="1">
      <c r="A846" s="1"/>
      <c r="B846" s="1"/>
      <c r="C846" s="1"/>
      <c r="D846" s="8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"/>
      <c r="S846" s="1"/>
      <c r="T846" s="1"/>
      <c r="U846" s="1"/>
      <c r="V846" s="3"/>
      <c r="W846" s="1"/>
      <c r="X846" s="1"/>
    </row>
    <row r="847" ht="16.5" customHeight="1">
      <c r="A847" s="1"/>
      <c r="B847" s="1"/>
      <c r="C847" s="1"/>
      <c r="D847" s="8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"/>
      <c r="S847" s="1"/>
      <c r="T847" s="1"/>
      <c r="U847" s="1"/>
      <c r="V847" s="3"/>
      <c r="W847" s="1"/>
      <c r="X847" s="1"/>
    </row>
    <row r="848" ht="16.5" customHeight="1">
      <c r="A848" s="1"/>
      <c r="B848" s="1"/>
      <c r="C848" s="1"/>
      <c r="D848" s="8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"/>
      <c r="S848" s="1"/>
      <c r="T848" s="1"/>
      <c r="U848" s="1"/>
      <c r="V848" s="3"/>
      <c r="W848" s="1"/>
      <c r="X848" s="1"/>
    </row>
    <row r="849" ht="16.5" customHeight="1">
      <c r="A849" s="1"/>
      <c r="B849" s="1"/>
      <c r="C849" s="1"/>
      <c r="D849" s="8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"/>
      <c r="S849" s="1"/>
      <c r="T849" s="1"/>
      <c r="U849" s="1"/>
      <c r="V849" s="3"/>
      <c r="W849" s="1"/>
      <c r="X849" s="1"/>
    </row>
    <row r="850" ht="16.5" customHeight="1">
      <c r="A850" s="1"/>
      <c r="B850" s="1"/>
      <c r="C850" s="1"/>
      <c r="D850" s="8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"/>
      <c r="S850" s="1"/>
      <c r="T850" s="1"/>
      <c r="U850" s="1"/>
      <c r="V850" s="3"/>
      <c r="W850" s="1"/>
      <c r="X850" s="1"/>
    </row>
    <row r="851" ht="16.5" customHeight="1">
      <c r="A851" s="1"/>
      <c r="B851" s="1"/>
      <c r="C851" s="1"/>
      <c r="D851" s="8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"/>
      <c r="S851" s="1"/>
      <c r="T851" s="1"/>
      <c r="U851" s="1"/>
      <c r="V851" s="3"/>
      <c r="W851" s="1"/>
      <c r="X851" s="1"/>
    </row>
    <row r="852" ht="16.5" customHeight="1">
      <c r="A852" s="1"/>
      <c r="B852" s="1"/>
      <c r="C852" s="1"/>
      <c r="D852" s="8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"/>
      <c r="S852" s="1"/>
      <c r="T852" s="1"/>
      <c r="U852" s="1"/>
      <c r="V852" s="3"/>
      <c r="W852" s="1"/>
      <c r="X852" s="1"/>
    </row>
    <row r="853" ht="16.5" customHeight="1">
      <c r="A853" s="1"/>
      <c r="B853" s="1"/>
      <c r="C853" s="1"/>
      <c r="D853" s="8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"/>
      <c r="S853" s="1"/>
      <c r="T853" s="1"/>
      <c r="U853" s="1"/>
      <c r="V853" s="3"/>
      <c r="W853" s="1"/>
      <c r="X853" s="1"/>
    </row>
    <row r="854" ht="16.5" customHeight="1">
      <c r="A854" s="1"/>
      <c r="B854" s="1"/>
      <c r="C854" s="1"/>
      <c r="D854" s="8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"/>
      <c r="S854" s="1"/>
      <c r="T854" s="1"/>
      <c r="U854" s="1"/>
      <c r="V854" s="3"/>
      <c r="W854" s="1"/>
      <c r="X854" s="1"/>
    </row>
    <row r="855" ht="16.5" customHeight="1">
      <c r="A855" s="1"/>
      <c r="B855" s="1"/>
      <c r="C855" s="1"/>
      <c r="D855" s="8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"/>
      <c r="S855" s="1"/>
      <c r="T855" s="1"/>
      <c r="U855" s="1"/>
      <c r="V855" s="3"/>
      <c r="W855" s="1"/>
      <c r="X855" s="1"/>
    </row>
    <row r="856" ht="16.5" customHeight="1">
      <c r="A856" s="1"/>
      <c r="B856" s="1"/>
      <c r="C856" s="1"/>
      <c r="D856" s="8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"/>
      <c r="S856" s="1"/>
      <c r="T856" s="1"/>
      <c r="U856" s="1"/>
      <c r="V856" s="3"/>
      <c r="W856" s="1"/>
      <c r="X856" s="1"/>
    </row>
    <row r="857" ht="16.5" customHeight="1">
      <c r="A857" s="1"/>
      <c r="B857" s="1"/>
      <c r="C857" s="1"/>
      <c r="D857" s="8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"/>
      <c r="S857" s="1"/>
      <c r="T857" s="1"/>
      <c r="U857" s="1"/>
      <c r="V857" s="3"/>
      <c r="W857" s="1"/>
      <c r="X857" s="1"/>
    </row>
    <row r="858" ht="16.5" customHeight="1">
      <c r="A858" s="1"/>
      <c r="B858" s="1"/>
      <c r="C858" s="1"/>
      <c r="D858" s="8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"/>
      <c r="S858" s="1"/>
      <c r="T858" s="1"/>
      <c r="U858" s="1"/>
      <c r="V858" s="3"/>
      <c r="W858" s="1"/>
      <c r="X858" s="1"/>
    </row>
    <row r="859" ht="16.5" customHeight="1">
      <c r="A859" s="1"/>
      <c r="B859" s="1"/>
      <c r="C859" s="1"/>
      <c r="D859" s="8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"/>
      <c r="S859" s="1"/>
      <c r="T859" s="1"/>
      <c r="U859" s="1"/>
      <c r="V859" s="3"/>
      <c r="W859" s="1"/>
      <c r="X859" s="1"/>
    </row>
    <row r="860" ht="16.5" customHeight="1">
      <c r="A860" s="1"/>
      <c r="B860" s="1"/>
      <c r="C860" s="1"/>
      <c r="D860" s="8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"/>
      <c r="S860" s="1"/>
      <c r="T860" s="1"/>
      <c r="U860" s="1"/>
      <c r="V860" s="3"/>
      <c r="W860" s="1"/>
      <c r="X860" s="1"/>
    </row>
    <row r="861" ht="16.5" customHeight="1">
      <c r="A861" s="1"/>
      <c r="B861" s="1"/>
      <c r="C861" s="1"/>
      <c r="D861" s="8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"/>
      <c r="S861" s="1"/>
      <c r="T861" s="1"/>
      <c r="U861" s="1"/>
      <c r="V861" s="3"/>
      <c r="W861" s="1"/>
      <c r="X861" s="1"/>
    </row>
    <row r="862" ht="16.5" customHeight="1">
      <c r="A862" s="1"/>
      <c r="B862" s="1"/>
      <c r="C862" s="1"/>
      <c r="D862" s="8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"/>
      <c r="S862" s="1"/>
      <c r="T862" s="1"/>
      <c r="U862" s="1"/>
      <c r="V862" s="3"/>
      <c r="W862" s="1"/>
      <c r="X862" s="1"/>
    </row>
    <row r="863" ht="16.5" customHeight="1">
      <c r="A863" s="1"/>
      <c r="B863" s="1"/>
      <c r="C863" s="1"/>
      <c r="D863" s="8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"/>
      <c r="S863" s="1"/>
      <c r="T863" s="1"/>
      <c r="U863" s="1"/>
      <c r="V863" s="3"/>
      <c r="W863" s="1"/>
      <c r="X863" s="1"/>
    </row>
    <row r="864" ht="16.5" customHeight="1">
      <c r="A864" s="1"/>
      <c r="B864" s="1"/>
      <c r="C864" s="1"/>
      <c r="D864" s="8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"/>
      <c r="S864" s="1"/>
      <c r="T864" s="1"/>
      <c r="U864" s="1"/>
      <c r="V864" s="3"/>
      <c r="W864" s="1"/>
      <c r="X864" s="1"/>
    </row>
    <row r="865" ht="16.5" customHeight="1">
      <c r="A865" s="1"/>
      <c r="B865" s="1"/>
      <c r="C865" s="1"/>
      <c r="D865" s="8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"/>
      <c r="S865" s="1"/>
      <c r="T865" s="1"/>
      <c r="U865" s="1"/>
      <c r="V865" s="3"/>
      <c r="W865" s="1"/>
      <c r="X865" s="1"/>
    </row>
    <row r="866" ht="16.5" customHeight="1">
      <c r="A866" s="1"/>
      <c r="B866" s="1"/>
      <c r="C866" s="1"/>
      <c r="D866" s="8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"/>
      <c r="S866" s="1"/>
      <c r="T866" s="1"/>
      <c r="U866" s="1"/>
      <c r="V866" s="3"/>
      <c r="W866" s="1"/>
      <c r="X866" s="1"/>
    </row>
    <row r="867" ht="16.5" customHeight="1">
      <c r="A867" s="1"/>
      <c r="B867" s="1"/>
      <c r="C867" s="1"/>
      <c r="D867" s="8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"/>
      <c r="S867" s="1"/>
      <c r="T867" s="1"/>
      <c r="U867" s="1"/>
      <c r="V867" s="3"/>
      <c r="W867" s="1"/>
      <c r="X867" s="1"/>
    </row>
    <row r="868" ht="16.5" customHeight="1">
      <c r="A868" s="1"/>
      <c r="B868" s="1"/>
      <c r="C868" s="1"/>
      <c r="D868" s="8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"/>
      <c r="S868" s="1"/>
      <c r="T868" s="1"/>
      <c r="U868" s="1"/>
      <c r="V868" s="3"/>
      <c r="W868" s="1"/>
      <c r="X868" s="1"/>
    </row>
    <row r="869" ht="16.5" customHeight="1">
      <c r="A869" s="1"/>
      <c r="B869" s="1"/>
      <c r="C869" s="1"/>
      <c r="D869" s="8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"/>
      <c r="S869" s="1"/>
      <c r="T869" s="1"/>
      <c r="U869" s="1"/>
      <c r="V869" s="3"/>
      <c r="W869" s="1"/>
      <c r="X869" s="1"/>
    </row>
    <row r="870" ht="16.5" customHeight="1">
      <c r="A870" s="1"/>
      <c r="B870" s="1"/>
      <c r="C870" s="1"/>
      <c r="D870" s="8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"/>
      <c r="S870" s="1"/>
      <c r="T870" s="1"/>
      <c r="U870" s="1"/>
      <c r="V870" s="3"/>
      <c r="W870" s="1"/>
      <c r="X870" s="1"/>
    </row>
    <row r="871" ht="16.5" customHeight="1">
      <c r="A871" s="1"/>
      <c r="B871" s="1"/>
      <c r="C871" s="1"/>
      <c r="D871" s="8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"/>
      <c r="S871" s="1"/>
      <c r="T871" s="1"/>
      <c r="U871" s="1"/>
      <c r="V871" s="3"/>
      <c r="W871" s="1"/>
      <c r="X871" s="1"/>
    </row>
    <row r="872" ht="16.5" customHeight="1">
      <c r="A872" s="1"/>
      <c r="B872" s="1"/>
      <c r="C872" s="1"/>
      <c r="D872" s="8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"/>
      <c r="S872" s="1"/>
      <c r="T872" s="1"/>
      <c r="U872" s="1"/>
      <c r="V872" s="3"/>
      <c r="W872" s="1"/>
      <c r="X872" s="1"/>
    </row>
    <row r="873" ht="16.5" customHeight="1">
      <c r="A873" s="1"/>
      <c r="B873" s="1"/>
      <c r="C873" s="1"/>
      <c r="D873" s="8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"/>
      <c r="S873" s="1"/>
      <c r="T873" s="1"/>
      <c r="U873" s="1"/>
      <c r="V873" s="3"/>
      <c r="W873" s="1"/>
      <c r="X873" s="1"/>
    </row>
    <row r="874" ht="16.5" customHeight="1">
      <c r="A874" s="1"/>
      <c r="B874" s="1"/>
      <c r="C874" s="1"/>
      <c r="D874" s="8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"/>
      <c r="S874" s="1"/>
      <c r="T874" s="1"/>
      <c r="U874" s="1"/>
      <c r="V874" s="3"/>
      <c r="W874" s="1"/>
      <c r="X874" s="1"/>
    </row>
    <row r="875" ht="16.5" customHeight="1">
      <c r="A875" s="1"/>
      <c r="B875" s="1"/>
      <c r="C875" s="1"/>
      <c r="D875" s="8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"/>
      <c r="S875" s="1"/>
      <c r="T875" s="1"/>
      <c r="U875" s="1"/>
      <c r="V875" s="3"/>
      <c r="W875" s="1"/>
      <c r="X875" s="1"/>
    </row>
    <row r="876" ht="16.5" customHeight="1">
      <c r="A876" s="1"/>
      <c r="B876" s="1"/>
      <c r="C876" s="1"/>
      <c r="D876" s="8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"/>
      <c r="S876" s="1"/>
      <c r="T876" s="1"/>
      <c r="U876" s="1"/>
      <c r="V876" s="3"/>
      <c r="W876" s="1"/>
      <c r="X876" s="1"/>
    </row>
    <row r="877" ht="16.5" customHeight="1">
      <c r="A877" s="1"/>
      <c r="B877" s="1"/>
      <c r="C877" s="1"/>
      <c r="D877" s="8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"/>
      <c r="S877" s="1"/>
      <c r="T877" s="1"/>
      <c r="U877" s="1"/>
      <c r="V877" s="3"/>
      <c r="W877" s="1"/>
      <c r="X877" s="1"/>
    </row>
    <row r="878" ht="16.5" customHeight="1">
      <c r="A878" s="1"/>
      <c r="B878" s="1"/>
      <c r="C878" s="1"/>
      <c r="D878" s="8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"/>
      <c r="S878" s="1"/>
      <c r="T878" s="1"/>
      <c r="U878" s="1"/>
      <c r="V878" s="3"/>
      <c r="W878" s="1"/>
      <c r="X878" s="1"/>
    </row>
    <row r="879" ht="16.5" customHeight="1">
      <c r="A879" s="1"/>
      <c r="B879" s="1"/>
      <c r="C879" s="1"/>
      <c r="D879" s="8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"/>
      <c r="S879" s="1"/>
      <c r="T879" s="1"/>
      <c r="U879" s="1"/>
      <c r="V879" s="3"/>
      <c r="W879" s="1"/>
      <c r="X879" s="1"/>
    </row>
    <row r="880" ht="16.5" customHeight="1">
      <c r="A880" s="1"/>
      <c r="B880" s="1"/>
      <c r="C880" s="1"/>
      <c r="D880" s="8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"/>
      <c r="S880" s="1"/>
      <c r="T880" s="1"/>
      <c r="U880" s="1"/>
      <c r="V880" s="3"/>
      <c r="W880" s="1"/>
      <c r="X880" s="1"/>
    </row>
    <row r="881" ht="16.5" customHeight="1">
      <c r="A881" s="1"/>
      <c r="B881" s="1"/>
      <c r="C881" s="1"/>
      <c r="D881" s="8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"/>
      <c r="S881" s="1"/>
      <c r="T881" s="1"/>
      <c r="U881" s="1"/>
      <c r="V881" s="3"/>
      <c r="W881" s="1"/>
      <c r="X881" s="1"/>
    </row>
    <row r="882" ht="16.5" customHeight="1">
      <c r="A882" s="1"/>
      <c r="B882" s="1"/>
      <c r="C882" s="1"/>
      <c r="D882" s="8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"/>
      <c r="S882" s="1"/>
      <c r="T882" s="1"/>
      <c r="U882" s="1"/>
      <c r="V882" s="3"/>
      <c r="W882" s="1"/>
      <c r="X882" s="1"/>
    </row>
    <row r="883" ht="16.5" customHeight="1">
      <c r="A883" s="1"/>
      <c r="B883" s="1"/>
      <c r="C883" s="1"/>
      <c r="D883" s="8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"/>
      <c r="S883" s="1"/>
      <c r="T883" s="1"/>
      <c r="U883" s="1"/>
      <c r="V883" s="3"/>
      <c r="W883" s="1"/>
      <c r="X883" s="1"/>
    </row>
    <row r="884" ht="16.5" customHeight="1">
      <c r="A884" s="1"/>
      <c r="B884" s="1"/>
      <c r="C884" s="1"/>
      <c r="D884" s="8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"/>
      <c r="S884" s="1"/>
      <c r="T884" s="1"/>
      <c r="U884" s="1"/>
      <c r="V884" s="3"/>
      <c r="W884" s="1"/>
      <c r="X884" s="1"/>
    </row>
    <row r="885" ht="16.5" customHeight="1">
      <c r="A885" s="1"/>
      <c r="B885" s="1"/>
      <c r="C885" s="1"/>
      <c r="D885" s="8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"/>
      <c r="S885" s="1"/>
      <c r="T885" s="1"/>
      <c r="U885" s="1"/>
      <c r="V885" s="3"/>
      <c r="W885" s="1"/>
      <c r="X885" s="1"/>
    </row>
    <row r="886" ht="16.5" customHeight="1">
      <c r="A886" s="1"/>
      <c r="B886" s="1"/>
      <c r="C886" s="1"/>
      <c r="D886" s="8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"/>
      <c r="S886" s="1"/>
      <c r="T886" s="1"/>
      <c r="U886" s="1"/>
      <c r="V886" s="3"/>
      <c r="W886" s="1"/>
      <c r="X886" s="1"/>
    </row>
    <row r="887" ht="16.5" customHeight="1">
      <c r="A887" s="1"/>
      <c r="B887" s="1"/>
      <c r="C887" s="1"/>
      <c r="D887" s="8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"/>
      <c r="S887" s="1"/>
      <c r="T887" s="1"/>
      <c r="U887" s="1"/>
      <c r="V887" s="3"/>
      <c r="W887" s="1"/>
      <c r="X887" s="1"/>
    </row>
    <row r="888" ht="16.5" customHeight="1">
      <c r="A888" s="1"/>
      <c r="B888" s="1"/>
      <c r="C888" s="1"/>
      <c r="D888" s="8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"/>
      <c r="S888" s="1"/>
      <c r="T888" s="1"/>
      <c r="U888" s="1"/>
      <c r="V888" s="3"/>
      <c r="W888" s="1"/>
      <c r="X888" s="1"/>
    </row>
    <row r="889" ht="16.5" customHeight="1">
      <c r="A889" s="1"/>
      <c r="B889" s="1"/>
      <c r="C889" s="1"/>
      <c r="D889" s="8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"/>
      <c r="S889" s="1"/>
      <c r="T889" s="1"/>
      <c r="U889" s="1"/>
      <c r="V889" s="3"/>
      <c r="W889" s="1"/>
      <c r="X889" s="1"/>
    </row>
    <row r="890" ht="16.5" customHeight="1">
      <c r="A890" s="1"/>
      <c r="B890" s="1"/>
      <c r="C890" s="1"/>
      <c r="D890" s="8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"/>
      <c r="S890" s="1"/>
      <c r="T890" s="1"/>
      <c r="U890" s="1"/>
      <c r="V890" s="3"/>
      <c r="W890" s="1"/>
      <c r="X890" s="1"/>
    </row>
    <row r="891" ht="16.5" customHeight="1">
      <c r="A891" s="1"/>
      <c r="B891" s="1"/>
      <c r="C891" s="1"/>
      <c r="D891" s="8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"/>
      <c r="S891" s="1"/>
      <c r="T891" s="1"/>
      <c r="U891" s="1"/>
      <c r="V891" s="3"/>
      <c r="W891" s="1"/>
      <c r="X891" s="1"/>
    </row>
    <row r="892" ht="16.5" customHeight="1">
      <c r="A892" s="1"/>
      <c r="B892" s="1"/>
      <c r="C892" s="1"/>
      <c r="D892" s="8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"/>
      <c r="S892" s="1"/>
      <c r="T892" s="1"/>
      <c r="U892" s="1"/>
      <c r="V892" s="3"/>
      <c r="W892" s="1"/>
      <c r="X892" s="1"/>
    </row>
    <row r="893" ht="16.5" customHeight="1">
      <c r="A893" s="1"/>
      <c r="B893" s="1"/>
      <c r="C893" s="1"/>
      <c r="D893" s="8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"/>
      <c r="S893" s="1"/>
      <c r="T893" s="1"/>
      <c r="U893" s="1"/>
      <c r="V893" s="3"/>
      <c r="W893" s="1"/>
      <c r="X893" s="1"/>
    </row>
    <row r="894" ht="16.5" customHeight="1">
      <c r="A894" s="1"/>
      <c r="B894" s="1"/>
      <c r="C894" s="1"/>
      <c r="D894" s="8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"/>
      <c r="S894" s="1"/>
      <c r="T894" s="1"/>
      <c r="U894" s="1"/>
      <c r="V894" s="3"/>
      <c r="W894" s="1"/>
      <c r="X894" s="1"/>
    </row>
    <row r="895" ht="16.5" customHeight="1">
      <c r="A895" s="1"/>
      <c r="B895" s="1"/>
      <c r="C895" s="1"/>
      <c r="D895" s="8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"/>
      <c r="S895" s="1"/>
      <c r="T895" s="1"/>
      <c r="U895" s="1"/>
      <c r="V895" s="3"/>
      <c r="W895" s="1"/>
      <c r="X895" s="1"/>
    </row>
    <row r="896" ht="16.5" customHeight="1">
      <c r="A896" s="1"/>
      <c r="B896" s="1"/>
      <c r="C896" s="1"/>
      <c r="D896" s="8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"/>
      <c r="S896" s="1"/>
      <c r="T896" s="1"/>
      <c r="U896" s="1"/>
      <c r="V896" s="3"/>
      <c r="W896" s="1"/>
      <c r="X896" s="1"/>
    </row>
    <row r="897" ht="16.5" customHeight="1">
      <c r="A897" s="1"/>
      <c r="B897" s="1"/>
      <c r="C897" s="1"/>
      <c r="D897" s="8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"/>
      <c r="S897" s="1"/>
      <c r="T897" s="1"/>
      <c r="U897" s="1"/>
      <c r="V897" s="3"/>
      <c r="W897" s="1"/>
      <c r="X897" s="1"/>
    </row>
    <row r="898" ht="16.5" customHeight="1">
      <c r="A898" s="1"/>
      <c r="B898" s="1"/>
      <c r="C898" s="1"/>
      <c r="D898" s="8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"/>
      <c r="S898" s="1"/>
      <c r="T898" s="1"/>
      <c r="U898" s="1"/>
      <c r="V898" s="3"/>
      <c r="W898" s="1"/>
      <c r="X898" s="1"/>
    </row>
    <row r="899" ht="16.5" customHeight="1">
      <c r="A899" s="1"/>
      <c r="B899" s="1"/>
      <c r="C899" s="1"/>
      <c r="D899" s="8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"/>
      <c r="S899" s="1"/>
      <c r="T899" s="1"/>
      <c r="U899" s="1"/>
      <c r="V899" s="3"/>
      <c r="W899" s="1"/>
      <c r="X899" s="1"/>
    </row>
    <row r="900" ht="16.5" customHeight="1">
      <c r="A900" s="1"/>
      <c r="B900" s="1"/>
      <c r="C900" s="1"/>
      <c r="D900" s="8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"/>
      <c r="S900" s="1"/>
      <c r="T900" s="1"/>
      <c r="U900" s="1"/>
      <c r="V900" s="3"/>
      <c r="W900" s="1"/>
      <c r="X900" s="1"/>
    </row>
    <row r="901" ht="16.5" customHeight="1">
      <c r="A901" s="1"/>
      <c r="B901" s="1"/>
      <c r="C901" s="1"/>
      <c r="D901" s="8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"/>
      <c r="S901" s="1"/>
      <c r="T901" s="1"/>
      <c r="U901" s="1"/>
      <c r="V901" s="3"/>
      <c r="W901" s="1"/>
      <c r="X901" s="1"/>
    </row>
    <row r="902" ht="16.5" customHeight="1">
      <c r="A902" s="1"/>
      <c r="B902" s="1"/>
      <c r="C902" s="1"/>
      <c r="D902" s="8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"/>
      <c r="S902" s="1"/>
      <c r="T902" s="1"/>
      <c r="U902" s="1"/>
      <c r="V902" s="3"/>
      <c r="W902" s="1"/>
      <c r="X902" s="1"/>
    </row>
    <row r="903" ht="16.5" customHeight="1">
      <c r="A903" s="1"/>
      <c r="B903" s="1"/>
      <c r="C903" s="1"/>
      <c r="D903" s="8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"/>
      <c r="S903" s="1"/>
      <c r="T903" s="1"/>
      <c r="U903" s="1"/>
      <c r="V903" s="3"/>
      <c r="W903" s="1"/>
      <c r="X903" s="1"/>
    </row>
    <row r="904" ht="16.5" customHeight="1">
      <c r="A904" s="1"/>
      <c r="B904" s="1"/>
      <c r="C904" s="1"/>
      <c r="D904" s="8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"/>
      <c r="S904" s="1"/>
      <c r="T904" s="1"/>
      <c r="U904" s="1"/>
      <c r="V904" s="3"/>
      <c r="W904" s="1"/>
      <c r="X904" s="1"/>
    </row>
    <row r="905" ht="16.5" customHeight="1">
      <c r="A905" s="1"/>
      <c r="B905" s="1"/>
      <c r="C905" s="1"/>
      <c r="D905" s="8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"/>
      <c r="S905" s="1"/>
      <c r="T905" s="1"/>
      <c r="U905" s="1"/>
      <c r="V905" s="3"/>
      <c r="W905" s="1"/>
      <c r="X905" s="1"/>
    </row>
    <row r="906" ht="16.5" customHeight="1">
      <c r="A906" s="1"/>
      <c r="B906" s="1"/>
      <c r="C906" s="1"/>
      <c r="D906" s="8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"/>
      <c r="S906" s="1"/>
      <c r="T906" s="1"/>
      <c r="U906" s="1"/>
      <c r="V906" s="3"/>
      <c r="W906" s="1"/>
      <c r="X906" s="1"/>
    </row>
    <row r="907" ht="16.5" customHeight="1">
      <c r="A907" s="1"/>
      <c r="B907" s="1"/>
      <c r="C907" s="1"/>
      <c r="D907" s="8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"/>
      <c r="S907" s="1"/>
      <c r="T907" s="1"/>
      <c r="U907" s="1"/>
      <c r="V907" s="3"/>
      <c r="W907" s="1"/>
      <c r="X907" s="1"/>
    </row>
    <row r="908" ht="16.5" customHeight="1">
      <c r="A908" s="1"/>
      <c r="B908" s="1"/>
      <c r="C908" s="1"/>
      <c r="D908" s="8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"/>
      <c r="S908" s="1"/>
      <c r="T908" s="1"/>
      <c r="U908" s="1"/>
      <c r="V908" s="3"/>
      <c r="W908" s="1"/>
      <c r="X908" s="1"/>
    </row>
    <row r="909" ht="16.5" customHeight="1">
      <c r="A909" s="1"/>
      <c r="B909" s="1"/>
      <c r="C909" s="1"/>
      <c r="D909" s="8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"/>
      <c r="S909" s="1"/>
      <c r="T909" s="1"/>
      <c r="U909" s="1"/>
      <c r="V909" s="3"/>
      <c r="W909" s="1"/>
      <c r="X909" s="1"/>
    </row>
    <row r="910" ht="16.5" customHeight="1">
      <c r="A910" s="1"/>
      <c r="B910" s="1"/>
      <c r="C910" s="1"/>
      <c r="D910" s="8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"/>
      <c r="S910" s="1"/>
      <c r="T910" s="1"/>
      <c r="U910" s="1"/>
      <c r="V910" s="3"/>
      <c r="W910" s="1"/>
      <c r="X910" s="1"/>
    </row>
    <row r="911" ht="16.5" customHeight="1">
      <c r="A911" s="1"/>
      <c r="B911" s="1"/>
      <c r="C911" s="1"/>
      <c r="D911" s="8"/>
      <c r="E911" s="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"/>
      <c r="S911" s="1"/>
      <c r="T911" s="1"/>
      <c r="U911" s="1"/>
      <c r="V911" s="3"/>
      <c r="W911" s="1"/>
      <c r="X911" s="1"/>
    </row>
    <row r="912" ht="16.5" customHeight="1">
      <c r="A912" s="1"/>
      <c r="B912" s="1"/>
      <c r="C912" s="1"/>
      <c r="D912" s="8"/>
      <c r="E912" s="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"/>
      <c r="S912" s="1"/>
      <c r="T912" s="1"/>
      <c r="U912" s="1"/>
      <c r="V912" s="3"/>
      <c r="W912" s="1"/>
      <c r="X912" s="1"/>
    </row>
    <row r="913" ht="16.5" customHeight="1">
      <c r="A913" s="1"/>
      <c r="B913" s="1"/>
      <c r="C913" s="1"/>
      <c r="D913" s="8"/>
      <c r="E913" s="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"/>
      <c r="S913" s="1"/>
      <c r="T913" s="1"/>
      <c r="U913" s="1"/>
      <c r="V913" s="3"/>
      <c r="W913" s="1"/>
      <c r="X913" s="1"/>
    </row>
    <row r="914" ht="16.5" customHeight="1">
      <c r="A914" s="1"/>
      <c r="B914" s="1"/>
      <c r="C914" s="1"/>
      <c r="D914" s="8"/>
      <c r="E914" s="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"/>
      <c r="S914" s="1"/>
      <c r="T914" s="1"/>
      <c r="U914" s="1"/>
      <c r="V914" s="3"/>
      <c r="W914" s="1"/>
      <c r="X914" s="1"/>
    </row>
    <row r="915" ht="16.5" customHeight="1">
      <c r="A915" s="1"/>
      <c r="B915" s="1"/>
      <c r="C915" s="1"/>
      <c r="D915" s="8"/>
      <c r="E915" s="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"/>
      <c r="S915" s="1"/>
      <c r="T915" s="1"/>
      <c r="U915" s="1"/>
      <c r="V915" s="3"/>
      <c r="W915" s="1"/>
      <c r="X915" s="1"/>
    </row>
    <row r="916" ht="16.5" customHeight="1">
      <c r="A916" s="1"/>
      <c r="B916" s="1"/>
      <c r="C916" s="1"/>
      <c r="D916" s="8"/>
      <c r="E916" s="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"/>
      <c r="S916" s="1"/>
      <c r="T916" s="1"/>
      <c r="U916" s="1"/>
      <c r="V916" s="3"/>
      <c r="W916" s="1"/>
      <c r="X916" s="1"/>
    </row>
    <row r="917" ht="16.5" customHeight="1">
      <c r="A917" s="1"/>
      <c r="B917" s="1"/>
      <c r="C917" s="1"/>
      <c r="D917" s="8"/>
      <c r="E917" s="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"/>
      <c r="S917" s="1"/>
      <c r="T917" s="1"/>
      <c r="U917" s="1"/>
      <c r="V917" s="3"/>
      <c r="W917" s="1"/>
      <c r="X917" s="1"/>
    </row>
    <row r="918" ht="16.5" customHeight="1">
      <c r="A918" s="1"/>
      <c r="B918" s="1"/>
      <c r="C918" s="1"/>
      <c r="D918" s="8"/>
      <c r="E918" s="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"/>
      <c r="S918" s="1"/>
      <c r="T918" s="1"/>
      <c r="U918" s="1"/>
      <c r="V918" s="3"/>
      <c r="W918" s="1"/>
      <c r="X918" s="1"/>
    </row>
    <row r="919" ht="16.5" customHeight="1">
      <c r="A919" s="1"/>
      <c r="B919" s="1"/>
      <c r="C919" s="1"/>
      <c r="D919" s="8"/>
      <c r="E919" s="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"/>
      <c r="S919" s="1"/>
      <c r="T919" s="1"/>
      <c r="U919" s="1"/>
      <c r="V919" s="3"/>
      <c r="W919" s="1"/>
      <c r="X919" s="1"/>
    </row>
    <row r="920" ht="16.5" customHeight="1">
      <c r="A920" s="1"/>
      <c r="B920" s="1"/>
      <c r="C920" s="1"/>
      <c r="D920" s="8"/>
      <c r="E920" s="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"/>
      <c r="S920" s="1"/>
      <c r="T920" s="1"/>
      <c r="U920" s="1"/>
      <c r="V920" s="3"/>
      <c r="W920" s="1"/>
      <c r="X920" s="1"/>
    </row>
    <row r="921" ht="16.5" customHeight="1">
      <c r="A921" s="1"/>
      <c r="B921" s="1"/>
      <c r="C921" s="1"/>
      <c r="D921" s="8"/>
      <c r="E921" s="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"/>
      <c r="S921" s="1"/>
      <c r="T921" s="1"/>
      <c r="U921" s="1"/>
      <c r="V921" s="3"/>
      <c r="W921" s="1"/>
      <c r="X921" s="1"/>
    </row>
    <row r="922" ht="16.5" customHeight="1">
      <c r="A922" s="1"/>
      <c r="B922" s="1"/>
      <c r="C922" s="1"/>
      <c r="D922" s="8"/>
      <c r="E922" s="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"/>
      <c r="S922" s="1"/>
      <c r="T922" s="1"/>
      <c r="U922" s="1"/>
      <c r="V922" s="3"/>
      <c r="W922" s="1"/>
      <c r="X922" s="1"/>
    </row>
    <row r="923" ht="16.5" customHeight="1">
      <c r="A923" s="1"/>
      <c r="B923" s="1"/>
      <c r="C923" s="1"/>
      <c r="D923" s="8"/>
      <c r="E923" s="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"/>
      <c r="S923" s="1"/>
      <c r="T923" s="1"/>
      <c r="U923" s="1"/>
      <c r="V923" s="3"/>
      <c r="W923" s="1"/>
      <c r="X923" s="1"/>
    </row>
    <row r="924" ht="16.5" customHeight="1">
      <c r="A924" s="1"/>
      <c r="B924" s="1"/>
      <c r="C924" s="1"/>
      <c r="D924" s="8"/>
      <c r="E924" s="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"/>
      <c r="S924" s="1"/>
      <c r="T924" s="1"/>
      <c r="U924" s="1"/>
      <c r="V924" s="3"/>
      <c r="W924" s="1"/>
      <c r="X924" s="1"/>
    </row>
    <row r="925" ht="16.5" customHeight="1">
      <c r="A925" s="1"/>
      <c r="B925" s="1"/>
      <c r="C925" s="1"/>
      <c r="D925" s="8"/>
      <c r="E925" s="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"/>
      <c r="S925" s="1"/>
      <c r="T925" s="1"/>
      <c r="U925" s="1"/>
      <c r="V925" s="3"/>
      <c r="W925" s="1"/>
      <c r="X925" s="1"/>
    </row>
    <row r="926" ht="16.5" customHeight="1">
      <c r="A926" s="1"/>
      <c r="B926" s="1"/>
      <c r="C926" s="1"/>
      <c r="D926" s="8"/>
      <c r="E926" s="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"/>
      <c r="S926" s="1"/>
      <c r="T926" s="1"/>
      <c r="U926" s="1"/>
      <c r="V926" s="3"/>
      <c r="W926" s="1"/>
      <c r="X926" s="1"/>
    </row>
    <row r="927" ht="16.5" customHeight="1">
      <c r="A927" s="1"/>
      <c r="B927" s="1"/>
      <c r="C927" s="1"/>
      <c r="D927" s="8"/>
      <c r="E927" s="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"/>
      <c r="S927" s="1"/>
      <c r="T927" s="1"/>
      <c r="U927" s="1"/>
      <c r="V927" s="3"/>
      <c r="W927" s="1"/>
      <c r="X927" s="1"/>
    </row>
    <row r="928" ht="16.5" customHeight="1">
      <c r="A928" s="1"/>
      <c r="B928" s="1"/>
      <c r="C928" s="1"/>
      <c r="D928" s="8"/>
      <c r="E928" s="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"/>
      <c r="S928" s="1"/>
      <c r="T928" s="1"/>
      <c r="U928" s="1"/>
      <c r="V928" s="3"/>
      <c r="W928" s="1"/>
      <c r="X928" s="1"/>
    </row>
    <row r="929" ht="16.5" customHeight="1">
      <c r="A929" s="1"/>
      <c r="B929" s="1"/>
      <c r="C929" s="1"/>
      <c r="D929" s="8"/>
      <c r="E929" s="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"/>
      <c r="S929" s="1"/>
      <c r="T929" s="1"/>
      <c r="U929" s="1"/>
      <c r="V929" s="3"/>
      <c r="W929" s="1"/>
      <c r="X929" s="1"/>
    </row>
    <row r="930" ht="16.5" customHeight="1">
      <c r="A930" s="1"/>
      <c r="B930" s="1"/>
      <c r="C930" s="1"/>
      <c r="D930" s="8"/>
      <c r="E930" s="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"/>
      <c r="S930" s="1"/>
      <c r="T930" s="1"/>
      <c r="U930" s="1"/>
      <c r="V930" s="3"/>
      <c r="W930" s="1"/>
      <c r="X930" s="1"/>
    </row>
    <row r="931" ht="16.5" customHeight="1">
      <c r="A931" s="1"/>
      <c r="B931" s="1"/>
      <c r="C931" s="1"/>
      <c r="D931" s="8"/>
      <c r="E931" s="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"/>
      <c r="S931" s="1"/>
      <c r="T931" s="1"/>
      <c r="U931" s="1"/>
      <c r="V931" s="3"/>
      <c r="W931" s="1"/>
      <c r="X931" s="1"/>
    </row>
    <row r="932" ht="16.5" customHeight="1">
      <c r="A932" s="1"/>
      <c r="B932" s="1"/>
      <c r="C932" s="1"/>
      <c r="D932" s="8"/>
      <c r="E932" s="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"/>
      <c r="S932" s="1"/>
      <c r="T932" s="1"/>
      <c r="U932" s="1"/>
      <c r="V932" s="3"/>
      <c r="W932" s="1"/>
      <c r="X932" s="1"/>
    </row>
    <row r="933" ht="16.5" customHeight="1">
      <c r="A933" s="1"/>
      <c r="B933" s="1"/>
      <c r="C933" s="1"/>
      <c r="D933" s="8"/>
      <c r="E933" s="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"/>
      <c r="S933" s="1"/>
      <c r="T933" s="1"/>
      <c r="U933" s="1"/>
      <c r="V933" s="3"/>
      <c r="W933" s="1"/>
      <c r="X933" s="1"/>
    </row>
    <row r="934" ht="16.5" customHeight="1">
      <c r="A934" s="1"/>
      <c r="B934" s="1"/>
      <c r="C934" s="1"/>
      <c r="D934" s="8"/>
      <c r="E934" s="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"/>
      <c r="S934" s="1"/>
      <c r="T934" s="1"/>
      <c r="U934" s="1"/>
      <c r="V934" s="3"/>
      <c r="W934" s="1"/>
      <c r="X934" s="1"/>
    </row>
    <row r="935" ht="16.5" customHeight="1">
      <c r="A935" s="1"/>
      <c r="B935" s="1"/>
      <c r="C935" s="1"/>
      <c r="D935" s="8"/>
      <c r="E935" s="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"/>
      <c r="S935" s="1"/>
      <c r="T935" s="1"/>
      <c r="U935" s="1"/>
      <c r="V935" s="3"/>
      <c r="W935" s="1"/>
      <c r="X935" s="1"/>
    </row>
    <row r="936" ht="16.5" customHeight="1">
      <c r="A936" s="1"/>
      <c r="B936" s="1"/>
      <c r="C936" s="1"/>
      <c r="D936" s="8"/>
      <c r="E936" s="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"/>
      <c r="S936" s="1"/>
      <c r="T936" s="1"/>
      <c r="U936" s="1"/>
      <c r="V936" s="3"/>
      <c r="W936" s="1"/>
      <c r="X936" s="1"/>
    </row>
    <row r="937" ht="16.5" customHeight="1">
      <c r="A937" s="1"/>
      <c r="B937" s="1"/>
      <c r="C937" s="1"/>
      <c r="D937" s="8"/>
      <c r="E937" s="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"/>
      <c r="S937" s="1"/>
      <c r="T937" s="1"/>
      <c r="U937" s="1"/>
      <c r="V937" s="3"/>
      <c r="W937" s="1"/>
      <c r="X937" s="1"/>
    </row>
    <row r="938" ht="16.5" customHeight="1">
      <c r="A938" s="1"/>
      <c r="B938" s="1"/>
      <c r="C938" s="1"/>
      <c r="D938" s="8"/>
      <c r="E938" s="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"/>
      <c r="S938" s="1"/>
      <c r="T938" s="1"/>
      <c r="U938" s="1"/>
      <c r="V938" s="3"/>
      <c r="W938" s="1"/>
      <c r="X938" s="1"/>
    </row>
    <row r="939" ht="16.5" customHeight="1">
      <c r="A939" s="1"/>
      <c r="B939" s="1"/>
      <c r="C939" s="1"/>
      <c r="D939" s="8"/>
      <c r="E939" s="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"/>
      <c r="S939" s="1"/>
      <c r="T939" s="1"/>
      <c r="U939" s="1"/>
      <c r="V939" s="3"/>
      <c r="W939" s="1"/>
      <c r="X939" s="1"/>
    </row>
    <row r="940" ht="16.5" customHeight="1">
      <c r="A940" s="1"/>
      <c r="B940" s="1"/>
      <c r="C940" s="1"/>
      <c r="D940" s="8"/>
      <c r="E940" s="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"/>
      <c r="S940" s="1"/>
      <c r="T940" s="1"/>
      <c r="U940" s="1"/>
      <c r="V940" s="3"/>
      <c r="W940" s="1"/>
      <c r="X940" s="1"/>
    </row>
    <row r="941" ht="16.5" customHeight="1">
      <c r="A941" s="1"/>
      <c r="B941" s="1"/>
      <c r="C941" s="1"/>
      <c r="D941" s="8"/>
      <c r="E941" s="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"/>
      <c r="S941" s="1"/>
      <c r="T941" s="1"/>
      <c r="U941" s="1"/>
      <c r="V941" s="3"/>
      <c r="W941" s="1"/>
      <c r="X941" s="1"/>
    </row>
    <row r="942" ht="16.5" customHeight="1">
      <c r="A942" s="1"/>
      <c r="B942" s="1"/>
      <c r="C942" s="1"/>
      <c r="D942" s="8"/>
      <c r="E942" s="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"/>
      <c r="S942" s="1"/>
      <c r="T942" s="1"/>
      <c r="U942" s="1"/>
      <c r="V942" s="3"/>
      <c r="W942" s="1"/>
      <c r="X942" s="1"/>
    </row>
    <row r="943" ht="16.5" customHeight="1">
      <c r="A943" s="1"/>
      <c r="B943" s="1"/>
      <c r="C943" s="1"/>
      <c r="D943" s="8"/>
      <c r="E943" s="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"/>
      <c r="S943" s="1"/>
      <c r="T943" s="1"/>
      <c r="U943" s="1"/>
      <c r="V943" s="3"/>
      <c r="W943" s="1"/>
      <c r="X943" s="1"/>
    </row>
    <row r="944" ht="16.5" customHeight="1">
      <c r="A944" s="1"/>
      <c r="B944" s="1"/>
      <c r="C944" s="1"/>
      <c r="D944" s="8"/>
      <c r="E944" s="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"/>
      <c r="S944" s="1"/>
      <c r="T944" s="1"/>
      <c r="U944" s="1"/>
      <c r="V944" s="3"/>
      <c r="W944" s="1"/>
      <c r="X944" s="1"/>
    </row>
    <row r="945" ht="16.5" customHeight="1">
      <c r="A945" s="1"/>
      <c r="B945" s="1"/>
      <c r="C945" s="1"/>
      <c r="D945" s="8"/>
      <c r="E945" s="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"/>
      <c r="S945" s="1"/>
      <c r="T945" s="1"/>
      <c r="U945" s="1"/>
      <c r="V945" s="3"/>
      <c r="W945" s="1"/>
      <c r="X945" s="1"/>
    </row>
    <row r="946" ht="16.5" customHeight="1">
      <c r="A946" s="1"/>
      <c r="B946" s="1"/>
      <c r="C946" s="1"/>
      <c r="D946" s="8"/>
      <c r="E946" s="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"/>
      <c r="S946" s="1"/>
      <c r="T946" s="1"/>
      <c r="U946" s="1"/>
      <c r="V946" s="3"/>
      <c r="W946" s="1"/>
      <c r="X946" s="1"/>
    </row>
    <row r="947" ht="16.5" customHeight="1">
      <c r="A947" s="1"/>
      <c r="B947" s="1"/>
      <c r="C947" s="1"/>
      <c r="D947" s="8"/>
      <c r="E947" s="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"/>
      <c r="S947" s="1"/>
      <c r="T947" s="1"/>
      <c r="U947" s="1"/>
      <c r="V947" s="3"/>
      <c r="W947" s="1"/>
      <c r="X947" s="1"/>
    </row>
    <row r="948" ht="16.5" customHeight="1">
      <c r="A948" s="1"/>
      <c r="B948" s="1"/>
      <c r="C948" s="1"/>
      <c r="D948" s="8"/>
      <c r="E948" s="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"/>
      <c r="S948" s="1"/>
      <c r="T948" s="1"/>
      <c r="U948" s="1"/>
      <c r="V948" s="3"/>
      <c r="W948" s="1"/>
      <c r="X948" s="1"/>
    </row>
    <row r="949" ht="16.5" customHeight="1">
      <c r="A949" s="1"/>
      <c r="B949" s="1"/>
      <c r="C949" s="1"/>
      <c r="D949" s="8"/>
      <c r="E949" s="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"/>
      <c r="S949" s="1"/>
      <c r="T949" s="1"/>
      <c r="U949" s="1"/>
      <c r="V949" s="3"/>
      <c r="W949" s="1"/>
      <c r="X949" s="1"/>
    </row>
    <row r="950" ht="16.5" customHeight="1">
      <c r="A950" s="1"/>
      <c r="B950" s="1"/>
      <c r="C950" s="1"/>
      <c r="D950" s="8"/>
      <c r="E950" s="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"/>
      <c r="S950" s="1"/>
      <c r="T950" s="1"/>
      <c r="U950" s="1"/>
      <c r="V950" s="3"/>
      <c r="W950" s="1"/>
      <c r="X950" s="1"/>
    </row>
    <row r="951" ht="16.5" customHeight="1">
      <c r="A951" s="1"/>
      <c r="B951" s="1"/>
      <c r="C951" s="1"/>
      <c r="D951" s="8"/>
      <c r="E951" s="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"/>
      <c r="S951" s="1"/>
      <c r="T951" s="1"/>
      <c r="U951" s="1"/>
      <c r="V951" s="3"/>
      <c r="W951" s="1"/>
      <c r="X951" s="1"/>
    </row>
    <row r="952" ht="16.5" customHeight="1">
      <c r="A952" s="1"/>
      <c r="B952" s="1"/>
      <c r="C952" s="1"/>
      <c r="D952" s="8"/>
      <c r="E952" s="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"/>
      <c r="S952" s="1"/>
      <c r="T952" s="1"/>
      <c r="U952" s="1"/>
      <c r="V952" s="3"/>
      <c r="W952" s="1"/>
      <c r="X952" s="1"/>
    </row>
    <row r="953" ht="16.5" customHeight="1">
      <c r="A953" s="1"/>
      <c r="B953" s="1"/>
      <c r="C953" s="1"/>
      <c r="D953" s="8"/>
      <c r="E953" s="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"/>
      <c r="S953" s="1"/>
      <c r="T953" s="1"/>
      <c r="U953" s="1"/>
      <c r="V953" s="3"/>
      <c r="W953" s="1"/>
      <c r="X953" s="1"/>
    </row>
    <row r="954" ht="16.5" customHeight="1">
      <c r="A954" s="1"/>
      <c r="B954" s="1"/>
      <c r="C954" s="1"/>
      <c r="D954" s="8"/>
      <c r="E954" s="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"/>
      <c r="S954" s="1"/>
      <c r="T954" s="1"/>
      <c r="U954" s="1"/>
      <c r="V954" s="3"/>
      <c r="W954" s="1"/>
      <c r="X954" s="1"/>
    </row>
    <row r="955" ht="16.5" customHeight="1">
      <c r="A955" s="1"/>
      <c r="B955" s="1"/>
      <c r="C955" s="1"/>
      <c r="D955" s="8"/>
      <c r="E955" s="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"/>
      <c r="S955" s="1"/>
      <c r="T955" s="1"/>
      <c r="U955" s="1"/>
      <c r="V955" s="3"/>
      <c r="W955" s="1"/>
      <c r="X955" s="1"/>
    </row>
    <row r="956" ht="16.5" customHeight="1">
      <c r="A956" s="1"/>
      <c r="B956" s="1"/>
      <c r="C956" s="1"/>
      <c r="D956" s="8"/>
      <c r="E956" s="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"/>
      <c r="S956" s="1"/>
      <c r="T956" s="1"/>
      <c r="U956" s="1"/>
      <c r="V956" s="3"/>
      <c r="W956" s="1"/>
      <c r="X956" s="1"/>
    </row>
    <row r="957" ht="16.5" customHeight="1">
      <c r="A957" s="1"/>
      <c r="B957" s="1"/>
      <c r="C957" s="1"/>
      <c r="D957" s="8"/>
      <c r="E957" s="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"/>
      <c r="S957" s="1"/>
      <c r="T957" s="1"/>
      <c r="U957" s="1"/>
      <c r="V957" s="3"/>
      <c r="W957" s="1"/>
      <c r="X957" s="1"/>
    </row>
    <row r="958" ht="16.5" customHeight="1">
      <c r="A958" s="1"/>
      <c r="B958" s="1"/>
      <c r="C958" s="1"/>
      <c r="D958" s="8"/>
      <c r="E958" s="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"/>
      <c r="S958" s="1"/>
      <c r="T958" s="1"/>
      <c r="U958" s="1"/>
      <c r="V958" s="3"/>
      <c r="W958" s="1"/>
      <c r="X958" s="1"/>
    </row>
    <row r="959" ht="16.5" customHeight="1">
      <c r="A959" s="1"/>
      <c r="B959" s="1"/>
      <c r="C959" s="1"/>
      <c r="D959" s="8"/>
      <c r="E959" s="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"/>
      <c r="S959" s="1"/>
      <c r="T959" s="1"/>
      <c r="U959" s="1"/>
      <c r="V959" s="3"/>
      <c r="W959" s="1"/>
      <c r="X959" s="1"/>
    </row>
    <row r="960" ht="16.5" customHeight="1">
      <c r="A960" s="1"/>
      <c r="B960" s="1"/>
      <c r="C960" s="1"/>
      <c r="D960" s="8"/>
      <c r="E960" s="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"/>
      <c r="S960" s="1"/>
      <c r="T960" s="1"/>
      <c r="U960" s="1"/>
      <c r="V960" s="3"/>
      <c r="W960" s="1"/>
      <c r="X960" s="1"/>
    </row>
    <row r="961" ht="16.5" customHeight="1">
      <c r="A961" s="1"/>
      <c r="B961" s="1"/>
      <c r="C961" s="1"/>
      <c r="D961" s="8"/>
      <c r="E961" s="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"/>
      <c r="S961" s="1"/>
      <c r="T961" s="1"/>
      <c r="U961" s="1"/>
      <c r="V961" s="3"/>
      <c r="W961" s="1"/>
      <c r="X961" s="1"/>
    </row>
    <row r="962" ht="16.5" customHeight="1">
      <c r="A962" s="1"/>
      <c r="B962" s="1"/>
      <c r="C962" s="1"/>
      <c r="D962" s="8"/>
      <c r="E962" s="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"/>
      <c r="S962" s="1"/>
      <c r="T962" s="1"/>
      <c r="U962" s="1"/>
      <c r="V962" s="3"/>
      <c r="W962" s="1"/>
      <c r="X962" s="1"/>
    </row>
    <row r="963" ht="16.5" customHeight="1">
      <c r="A963" s="1"/>
      <c r="B963" s="1"/>
      <c r="C963" s="1"/>
      <c r="D963" s="8"/>
      <c r="E963" s="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"/>
      <c r="S963" s="1"/>
      <c r="T963" s="1"/>
      <c r="U963" s="1"/>
      <c r="V963" s="3"/>
      <c r="W963" s="1"/>
      <c r="X963" s="1"/>
    </row>
    <row r="964" ht="16.5" customHeight="1">
      <c r="A964" s="1"/>
      <c r="B964" s="1"/>
      <c r="C964" s="1"/>
      <c r="D964" s="8"/>
      <c r="E964" s="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"/>
      <c r="S964" s="1"/>
      <c r="T964" s="1"/>
      <c r="U964" s="1"/>
      <c r="V964" s="3"/>
      <c r="W964" s="1"/>
      <c r="X964" s="1"/>
    </row>
    <row r="965" ht="16.5" customHeight="1">
      <c r="A965" s="1"/>
      <c r="B965" s="1"/>
      <c r="C965" s="1"/>
      <c r="D965" s="8"/>
      <c r="E965" s="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"/>
      <c r="S965" s="1"/>
      <c r="T965" s="1"/>
      <c r="U965" s="1"/>
      <c r="V965" s="3"/>
      <c r="W965" s="1"/>
      <c r="X965" s="1"/>
    </row>
    <row r="966" ht="16.5" customHeight="1">
      <c r="A966" s="1"/>
      <c r="B966" s="1"/>
      <c r="C966" s="1"/>
      <c r="D966" s="8"/>
      <c r="E966" s="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"/>
      <c r="S966" s="1"/>
      <c r="T966" s="1"/>
      <c r="U966" s="1"/>
      <c r="V966" s="3"/>
      <c r="W966" s="1"/>
      <c r="X966" s="1"/>
    </row>
    <row r="967" ht="16.5" customHeight="1">
      <c r="A967" s="1"/>
      <c r="B967" s="1"/>
      <c r="C967" s="1"/>
      <c r="D967" s="8"/>
      <c r="E967" s="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"/>
      <c r="S967" s="1"/>
      <c r="T967" s="1"/>
      <c r="U967" s="1"/>
      <c r="V967" s="3"/>
      <c r="W967" s="1"/>
      <c r="X967" s="1"/>
    </row>
    <row r="968" ht="16.5" customHeight="1">
      <c r="A968" s="1"/>
      <c r="B968" s="1"/>
      <c r="C968" s="1"/>
      <c r="D968" s="8"/>
      <c r="E968" s="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"/>
      <c r="S968" s="1"/>
      <c r="T968" s="1"/>
      <c r="U968" s="1"/>
      <c r="V968" s="3"/>
      <c r="W968" s="1"/>
      <c r="X968" s="1"/>
    </row>
    <row r="969" ht="16.5" customHeight="1">
      <c r="A969" s="1"/>
      <c r="B969" s="1"/>
      <c r="C969" s="1"/>
      <c r="D969" s="8"/>
      <c r="E969" s="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"/>
      <c r="S969" s="1"/>
      <c r="T969" s="1"/>
      <c r="U969" s="1"/>
      <c r="V969" s="3"/>
      <c r="W969" s="1"/>
      <c r="X969" s="1"/>
    </row>
    <row r="970" ht="16.5" customHeight="1">
      <c r="A970" s="1"/>
      <c r="B970" s="1"/>
      <c r="C970" s="1"/>
      <c r="D970" s="8"/>
      <c r="E970" s="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"/>
      <c r="S970" s="1"/>
      <c r="T970" s="1"/>
      <c r="U970" s="1"/>
      <c r="V970" s="3"/>
      <c r="W970" s="1"/>
      <c r="X970" s="1"/>
    </row>
    <row r="971" ht="16.5" customHeight="1">
      <c r="A971" s="1"/>
      <c r="B971" s="1"/>
      <c r="C971" s="1"/>
      <c r="D971" s="8"/>
      <c r="E971" s="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"/>
      <c r="S971" s="1"/>
      <c r="T971" s="1"/>
      <c r="U971" s="1"/>
      <c r="V971" s="3"/>
      <c r="W971" s="1"/>
      <c r="X971" s="1"/>
    </row>
    <row r="972" ht="16.5" customHeight="1">
      <c r="A972" s="1"/>
      <c r="B972" s="1"/>
      <c r="C972" s="1"/>
      <c r="D972" s="8"/>
      <c r="E972" s="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"/>
      <c r="S972" s="1"/>
      <c r="T972" s="1"/>
      <c r="U972" s="1"/>
      <c r="V972" s="3"/>
      <c r="W972" s="1"/>
      <c r="X972" s="1"/>
    </row>
    <row r="973" ht="16.5" customHeight="1">
      <c r="A973" s="1"/>
      <c r="B973" s="1"/>
      <c r="C973" s="1"/>
      <c r="D973" s="8"/>
      <c r="E973" s="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"/>
      <c r="S973" s="1"/>
      <c r="T973" s="1"/>
      <c r="U973" s="1"/>
      <c r="V973" s="3"/>
      <c r="W973" s="1"/>
      <c r="X973" s="1"/>
    </row>
    <row r="974" ht="16.5" customHeight="1">
      <c r="A974" s="1"/>
      <c r="B974" s="1"/>
      <c r="C974" s="1"/>
      <c r="D974" s="8"/>
      <c r="E974" s="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"/>
      <c r="S974" s="1"/>
      <c r="T974" s="1"/>
      <c r="U974" s="1"/>
      <c r="V974" s="3"/>
      <c r="W974" s="1"/>
      <c r="X974" s="1"/>
    </row>
    <row r="975" ht="16.5" customHeight="1">
      <c r="A975" s="1"/>
      <c r="B975" s="1"/>
      <c r="C975" s="1"/>
      <c r="D975" s="8"/>
      <c r="E975" s="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"/>
      <c r="S975" s="1"/>
      <c r="T975" s="1"/>
      <c r="U975" s="1"/>
      <c r="V975" s="3"/>
      <c r="W975" s="1"/>
      <c r="X975" s="1"/>
    </row>
    <row r="976" ht="16.5" customHeight="1">
      <c r="A976" s="1"/>
      <c r="B976" s="1"/>
      <c r="C976" s="1"/>
      <c r="D976" s="8"/>
      <c r="E976" s="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"/>
      <c r="S976" s="1"/>
      <c r="T976" s="1"/>
      <c r="U976" s="1"/>
      <c r="V976" s="3"/>
      <c r="W976" s="1"/>
      <c r="X976" s="1"/>
    </row>
    <row r="977" ht="16.5" customHeight="1">
      <c r="A977" s="1"/>
      <c r="B977" s="1"/>
      <c r="C977" s="1"/>
      <c r="D977" s="8"/>
      <c r="E977" s="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"/>
      <c r="S977" s="1"/>
      <c r="T977" s="1"/>
      <c r="U977" s="1"/>
      <c r="V977" s="3"/>
      <c r="W977" s="1"/>
      <c r="X977" s="1"/>
    </row>
    <row r="978" ht="16.5" customHeight="1">
      <c r="A978" s="1"/>
      <c r="B978" s="1"/>
      <c r="C978" s="1"/>
      <c r="D978" s="8"/>
      <c r="E978" s="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"/>
      <c r="S978" s="1"/>
      <c r="T978" s="1"/>
      <c r="U978" s="1"/>
      <c r="V978" s="3"/>
      <c r="W978" s="1"/>
      <c r="X978" s="1"/>
    </row>
    <row r="979" ht="16.5" customHeight="1">
      <c r="A979" s="1"/>
      <c r="B979" s="1"/>
      <c r="C979" s="1"/>
      <c r="D979" s="8"/>
      <c r="E979" s="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"/>
      <c r="S979" s="1"/>
      <c r="T979" s="1"/>
      <c r="U979" s="1"/>
      <c r="V979" s="3"/>
      <c r="W979" s="1"/>
      <c r="X979" s="1"/>
    </row>
    <row r="980" ht="16.5" customHeight="1">
      <c r="A980" s="1"/>
      <c r="B980" s="1"/>
      <c r="C980" s="1"/>
      <c r="D980" s="8"/>
      <c r="E980" s="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"/>
      <c r="S980" s="1"/>
      <c r="T980" s="1"/>
      <c r="U980" s="1"/>
      <c r="V980" s="3"/>
      <c r="W980" s="1"/>
      <c r="X980" s="1"/>
    </row>
    <row r="981" ht="16.5" customHeight="1">
      <c r="A981" s="1"/>
      <c r="B981" s="1"/>
      <c r="C981" s="1"/>
      <c r="D981" s="8"/>
      <c r="E981" s="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"/>
      <c r="S981" s="1"/>
      <c r="T981" s="1"/>
      <c r="U981" s="1"/>
      <c r="V981" s="3"/>
      <c r="W981" s="1"/>
      <c r="X981" s="1"/>
    </row>
    <row r="982" ht="16.5" customHeight="1">
      <c r="A982" s="1"/>
      <c r="B982" s="1"/>
      <c r="C982" s="1"/>
      <c r="D982" s="8"/>
      <c r="E982" s="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"/>
      <c r="S982" s="1"/>
      <c r="T982" s="1"/>
      <c r="U982" s="1"/>
      <c r="V982" s="3"/>
      <c r="W982" s="1"/>
      <c r="X982" s="1"/>
    </row>
    <row r="983" ht="16.5" customHeight="1">
      <c r="A983" s="1"/>
      <c r="B983" s="1"/>
      <c r="C983" s="1"/>
      <c r="D983" s="8"/>
      <c r="E983" s="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"/>
      <c r="S983" s="1"/>
      <c r="T983" s="1"/>
      <c r="U983" s="1"/>
      <c r="V983" s="3"/>
      <c r="W983" s="1"/>
      <c r="X983" s="1"/>
    </row>
    <row r="984" ht="16.5" customHeight="1">
      <c r="A984" s="1"/>
      <c r="B984" s="1"/>
      <c r="C984" s="1"/>
      <c r="D984" s="8"/>
      <c r="E984" s="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"/>
      <c r="S984" s="1"/>
      <c r="T984" s="1"/>
      <c r="U984" s="1"/>
      <c r="V984" s="3"/>
      <c r="W984" s="1"/>
      <c r="X984" s="1"/>
    </row>
    <row r="985" ht="16.5" customHeight="1">
      <c r="A985" s="1"/>
      <c r="B985" s="1"/>
      <c r="C985" s="1"/>
      <c r="D985" s="8"/>
      <c r="E985" s="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"/>
      <c r="S985" s="1"/>
      <c r="T985" s="1"/>
      <c r="U985" s="1"/>
      <c r="V985" s="3"/>
      <c r="W985" s="1"/>
      <c r="X985" s="1"/>
    </row>
    <row r="986" ht="16.5" customHeight="1">
      <c r="A986" s="1"/>
      <c r="B986" s="1"/>
      <c r="C986" s="1"/>
      <c r="D986" s="8"/>
      <c r="E986" s="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"/>
      <c r="S986" s="1"/>
      <c r="T986" s="1"/>
      <c r="U986" s="1"/>
      <c r="V986" s="3"/>
      <c r="W986" s="1"/>
      <c r="X986" s="1"/>
    </row>
    <row r="987" ht="16.5" customHeight="1">
      <c r="A987" s="1"/>
      <c r="B987" s="1"/>
      <c r="C987" s="1"/>
      <c r="D987" s="8"/>
      <c r="E987" s="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"/>
      <c r="S987" s="1"/>
      <c r="T987" s="1"/>
      <c r="U987" s="1"/>
      <c r="V987" s="3"/>
      <c r="W987" s="1"/>
      <c r="X987" s="1"/>
    </row>
  </sheetData>
  <autoFilter ref="$B$3:$T$193"/>
  <mergeCells count="20">
    <mergeCell ref="D5:D7"/>
    <mergeCell ref="E5:E7"/>
    <mergeCell ref="F5:F7"/>
    <mergeCell ref="G5:G7"/>
    <mergeCell ref="H5:H7"/>
    <mergeCell ref="I5:I7"/>
    <mergeCell ref="J5:J7"/>
    <mergeCell ref="K5:K7"/>
    <mergeCell ref="M4:S4"/>
    <mergeCell ref="M5:Q5"/>
    <mergeCell ref="R5:R7"/>
    <mergeCell ref="S5:S7"/>
    <mergeCell ref="B1:T1"/>
    <mergeCell ref="C2:S2"/>
    <mergeCell ref="B4:L4"/>
    <mergeCell ref="T4:T7"/>
    <mergeCell ref="B5:B7"/>
    <mergeCell ref="C5:C7"/>
    <mergeCell ref="L5:L7"/>
    <mergeCell ref="M8:Q8"/>
  </mergeCells>
  <dataValidations>
    <dataValidation type="list" allowBlank="1" showErrorMessage="1" sqref="N133:N145 N194:N274">
      <formula1>민간급여</formula1>
    </dataValidation>
    <dataValidation type="list" allowBlank="1" showErrorMessage="1" sqref="L9:L77">
      <formula1>"수급자,일반,차상위"</formula1>
    </dataValidation>
    <dataValidation type="list" allowBlank="1" showErrorMessage="1" sqref="N78:N132 N146:N193">
      <formula1>"급여정보,신청,지원범위,품목,기타"</formula1>
    </dataValidation>
    <dataValidation type="list" allowBlank="1" showErrorMessage="1" sqref="T9:T176">
      <formula1>"김영기,박상범,송근필,장홍민,목소리,정소영"</formula1>
    </dataValidation>
    <dataValidation type="list" allowBlank="1" showErrorMessage="1" sqref="O133:O134 O136 O138:O139 O141 O143 O145 O194:O274">
      <formula1>보조기기</formula1>
    </dataValidation>
    <dataValidation type="list" allowBlank="1" showErrorMessage="1" sqref="P95:P145 P194:P203">
      <formula1>사례연계</formula1>
    </dataValidation>
    <dataValidation type="list" allowBlank="1" showErrorMessage="1" sqref="M132 M134:M137 M140 M142 M144 M194">
      <formula1>공적급여</formula1>
    </dataValidation>
    <dataValidation type="list" allowBlank="1" showInputMessage="1" showErrorMessage="1" prompt="항목 목록에 있는 값을 클릭하여 입력하세요." sqref="C2 G9:G30 G32:G78 G80:G82 G90 G92:G193">
      <formula1>"시군구(및 읍면동) 담당자,장애 당사자,보호자 및 지인,유관기관 종사자,교육기관 종사자,기타"</formula1>
    </dataValidation>
    <dataValidation type="list" allowBlank="1" showErrorMessage="1" sqref="O9:O132 O135 O137 O140 O142 O144 O146:O193">
      <formula1>"구입,가격,기능,종류,명칭,대여,개조 및 제작,세척,점검,수리,재사용,기타"</formula1>
    </dataValidation>
    <dataValidation type="list" allowBlank="1" showErrorMessage="1" sqref="N9:N77">
      <formula1>"급여정보,신청,지원범위,품목"</formula1>
    </dataValidation>
    <dataValidation type="list" allowBlank="1" showErrorMessage="1" sqref="G79 G83:G89 G91">
      <formula1>"장애 당사자,보호자 및 지인,시군구(및 읍면동) 담당자,유관기관 종사자,교육기관 종사자,기타"</formula1>
    </dataValidation>
    <dataValidation type="list" allowBlank="1" showErrorMessage="1" sqref="G194:H382">
      <formula1>의뢰인</formula1>
    </dataValidation>
    <dataValidation type="list" allowBlank="1" showErrorMessage="1" sqref="M9:M131 M133 M138:M139 M141 M143 M145:M193">
      <formula1>"급여 정보,신청,지원범위,품목,내구연한,기타"</formula1>
    </dataValidation>
    <dataValidation type="list" allowBlank="1" showErrorMessage="1" sqref="P9:P94 P146:P193">
      <formula1>"사례관리 서비스 요청,타 센터 및 기관 사례 연계,기타"</formula1>
    </dataValidation>
  </dataValidations>
  <hyperlinks>
    <hyperlink r:id="rId2" ref="S94"/>
  </hyperlinks>
  <printOptions/>
  <pageMargins bottom="0.7480314960629921" footer="0.0" header="0.0" left="0.19685039370078738" right="0.19685039370078738" top="0.7480314960629921"/>
  <pageSetup paperSize="9" scale="50" orientation="landscape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8.86"/>
    <col customWidth="1" min="6" max="6" width="7.43"/>
    <col customWidth="1" min="7" max="7" width="24.14"/>
    <col customWidth="1" min="8" max="8" width="9.14"/>
    <col customWidth="1" min="9" max="9" width="24.14"/>
    <col customWidth="1" min="10" max="10" width="9.14"/>
    <col customWidth="1" min="11" max="11" width="24.14"/>
    <col customWidth="1" min="12" max="12" width="9.14"/>
    <col customWidth="1" min="13" max="13" width="33.71"/>
    <col customWidth="1" min="14" max="14" width="9.14"/>
    <col customWidth="1" min="15" max="15" width="24.14"/>
    <col customWidth="1" min="16" max="16" width="9.14"/>
    <col customWidth="1" min="17" max="26" width="8.71"/>
  </cols>
  <sheetData>
    <row r="1" ht="16.5" customHeight="1">
      <c r="B1" s="118" t="s">
        <v>964</v>
      </c>
      <c r="C1" s="118" t="s">
        <v>965</v>
      </c>
      <c r="E1" s="118" t="s">
        <v>966</v>
      </c>
      <c r="F1" s="118" t="s">
        <v>965</v>
      </c>
      <c r="G1" s="118" t="s">
        <v>18</v>
      </c>
      <c r="H1" s="118" t="s">
        <v>965</v>
      </c>
      <c r="I1" s="118" t="s">
        <v>19</v>
      </c>
      <c r="J1" s="118" t="s">
        <v>965</v>
      </c>
      <c r="K1" s="118" t="s">
        <v>20</v>
      </c>
      <c r="L1" s="118" t="s">
        <v>965</v>
      </c>
      <c r="M1" s="118" t="s">
        <v>21</v>
      </c>
      <c r="N1" s="118" t="s">
        <v>965</v>
      </c>
      <c r="O1" s="118" t="s">
        <v>22</v>
      </c>
      <c r="P1" s="118" t="s">
        <v>965</v>
      </c>
    </row>
    <row r="2" ht="16.5" customHeight="1">
      <c r="B2" s="119" t="s">
        <v>967</v>
      </c>
      <c r="C2" s="119">
        <f>COUNTIFS('2024'!$C$9:$C$229,"&gt;=2024-01-01",'2024'!$C$9:$C$229,"&lt;=2024-1-31")</f>
        <v>7</v>
      </c>
      <c r="E2" s="119" t="s">
        <v>26</v>
      </c>
      <c r="F2" s="119">
        <f>COUNTIF('2024'!$G$9:$G$119,E2)</f>
        <v>20</v>
      </c>
      <c r="G2" s="119" t="s">
        <v>968</v>
      </c>
      <c r="H2" s="119"/>
      <c r="I2" s="119" t="s">
        <v>968</v>
      </c>
      <c r="J2" s="119"/>
      <c r="K2" s="119" t="s">
        <v>152</v>
      </c>
      <c r="L2" s="119"/>
      <c r="M2" s="119" t="s">
        <v>318</v>
      </c>
      <c r="N2" s="119"/>
      <c r="O2" s="119" t="s">
        <v>22</v>
      </c>
      <c r="P2" s="119"/>
    </row>
    <row r="3" ht="16.5" customHeight="1">
      <c r="B3" s="119" t="s">
        <v>969</v>
      </c>
      <c r="C3" s="119">
        <f>COUNTIFS('2024'!$C$9:$C$229,"&gt;=2024-02-01",'2024'!$C$9:$C$229,"&lt;=2024-2-29")</f>
        <v>9</v>
      </c>
      <c r="E3" s="119" t="s">
        <v>42</v>
      </c>
      <c r="F3" s="119">
        <f>COUNTIF('2024'!$G$9:$G$119,E3)</f>
        <v>43</v>
      </c>
      <c r="G3" s="119" t="s">
        <v>71</v>
      </c>
      <c r="H3" s="119"/>
      <c r="I3" s="119" t="s">
        <v>71</v>
      </c>
      <c r="J3" s="119"/>
      <c r="K3" s="119" t="s">
        <v>271</v>
      </c>
      <c r="L3" s="119"/>
      <c r="M3" s="119" t="s">
        <v>970</v>
      </c>
      <c r="N3" s="119"/>
    </row>
    <row r="4" ht="16.5" customHeight="1">
      <c r="B4" s="119" t="s">
        <v>971</v>
      </c>
      <c r="C4" s="119">
        <f>COUNTIFS('2024'!$C$9:$C$229,"&gt;=2024-03-01",'2024'!$C$9:$C$229,"&lt;=2024-3-31")</f>
        <v>12</v>
      </c>
      <c r="E4" s="119" t="s">
        <v>70</v>
      </c>
      <c r="F4" s="119">
        <f>COUNTIF('2024'!$G$9:$G$119,E4)</f>
        <v>20</v>
      </c>
      <c r="G4" s="119" t="s">
        <v>642</v>
      </c>
      <c r="H4" s="119"/>
      <c r="I4" s="119" t="s">
        <v>642</v>
      </c>
      <c r="J4" s="119"/>
      <c r="K4" s="119" t="s">
        <v>687</v>
      </c>
      <c r="L4" s="119"/>
      <c r="M4" s="119" t="s">
        <v>22</v>
      </c>
      <c r="N4" s="119"/>
    </row>
    <row r="5" ht="16.5" customHeight="1">
      <c r="B5" s="119" t="s">
        <v>972</v>
      </c>
      <c r="C5" s="119">
        <f>COUNTIFS('2024'!$C$9:$C$229,"&gt;=2024-04-01",'2024'!$C$9:$C$229,"&lt;=2024-4-30")</f>
        <v>21</v>
      </c>
      <c r="E5" s="119" t="s">
        <v>33</v>
      </c>
      <c r="F5" s="119">
        <f>COUNTIF('2024'!$G$9:$G$119,E5)</f>
        <v>14</v>
      </c>
      <c r="G5" s="119" t="s">
        <v>203</v>
      </c>
      <c r="H5" s="119"/>
      <c r="I5" s="119" t="s">
        <v>203</v>
      </c>
      <c r="J5" s="119"/>
      <c r="K5" s="119" t="s">
        <v>254</v>
      </c>
      <c r="L5" s="119"/>
    </row>
    <row r="6" ht="16.5" customHeight="1">
      <c r="B6" s="119" t="s">
        <v>973</v>
      </c>
      <c r="C6" s="119">
        <f>COUNTIFS('2024'!$C$9:$C$229,"&gt;=2024-05-01",'2024'!$C$9:$C$229,"&lt;=2024-5-31")</f>
        <v>28</v>
      </c>
      <c r="E6" s="119" t="s">
        <v>215</v>
      </c>
      <c r="F6" s="119">
        <f>COUNTIF('2024'!$G$9:$G$119,E6)</f>
        <v>9</v>
      </c>
      <c r="G6" s="119" t="s">
        <v>449</v>
      </c>
      <c r="H6" s="119"/>
      <c r="I6" s="119" t="s">
        <v>22</v>
      </c>
      <c r="J6" s="119"/>
      <c r="K6" s="119" t="s">
        <v>974</v>
      </c>
      <c r="L6" s="119"/>
    </row>
    <row r="7" ht="16.5" customHeight="1">
      <c r="B7" s="119" t="s">
        <v>975</v>
      </c>
      <c r="C7" s="119">
        <f>COUNTIFS('2024'!$C$9:$C$229,"&gt;=2024-06-01",'2024'!$C$9:$C$229,"&lt;=2024-6-30")</f>
        <v>14</v>
      </c>
      <c r="E7" s="119" t="s">
        <v>22</v>
      </c>
      <c r="F7" s="119">
        <f>COUNTIF('2024'!$G$9:$G$119,E7)</f>
        <v>3</v>
      </c>
      <c r="G7" s="119" t="s">
        <v>22</v>
      </c>
      <c r="H7" s="119"/>
      <c r="K7" s="119" t="s">
        <v>27</v>
      </c>
      <c r="L7" s="119"/>
    </row>
    <row r="8" ht="16.5" customHeight="1">
      <c r="B8" s="119" t="s">
        <v>976</v>
      </c>
      <c r="C8" s="119">
        <f>COUNTIFS('2024'!$C$9:$C$229,"&gt;=2024-07-01",'2024'!$C$9:$C$229,"&lt;=2024-7-31")</f>
        <v>7</v>
      </c>
      <c r="E8" s="119" t="s">
        <v>977</v>
      </c>
      <c r="F8" s="119">
        <f>SUM(F2:F7)</f>
        <v>109</v>
      </c>
      <c r="G8" s="119" t="s">
        <v>977</v>
      </c>
      <c r="H8" s="119">
        <f>SUM(H2:H7)</f>
        <v>0</v>
      </c>
      <c r="K8" s="119" t="s">
        <v>105</v>
      </c>
      <c r="L8" s="119"/>
    </row>
    <row r="9" ht="16.5" customHeight="1">
      <c r="B9" s="119" t="s">
        <v>978</v>
      </c>
      <c r="C9" s="119">
        <f>COUNTIFS('2024'!$C$9:$C$229,"&gt;=2024-08-01",'2024'!$C$9:$C$229,"&lt;=2024-8-31")</f>
        <v>8</v>
      </c>
      <c r="E9" s="120"/>
      <c r="F9" s="121">
        <f>F4/118</f>
        <v>0.1694915254</v>
      </c>
      <c r="K9" s="119" t="s">
        <v>512</v>
      </c>
      <c r="L9" s="119"/>
    </row>
    <row r="10" ht="16.5" customHeight="1">
      <c r="B10" s="119" t="s">
        <v>979</v>
      </c>
      <c r="C10" s="119">
        <f>COUNTIFS('2024'!$C$9:$C$229,"&gt;=2024-09-01",'2024'!$C$9:$C$229,"&lt;=2024-9-30")</f>
        <v>12</v>
      </c>
      <c r="E10" s="120"/>
      <c r="F10" s="120"/>
      <c r="K10" s="119" t="s">
        <v>417</v>
      </c>
      <c r="L10" s="119"/>
    </row>
    <row r="11" ht="16.5" customHeight="1">
      <c r="B11" s="119" t="s">
        <v>980</v>
      </c>
      <c r="C11" s="119">
        <f>COUNTIFS('2024'!$C$9:$C$229,"&gt;=2024-10-01",'2024'!$C$9:$C$229,"&lt;=2024-10-31")</f>
        <v>13</v>
      </c>
      <c r="E11" s="120"/>
      <c r="F11" s="120"/>
      <c r="K11" s="119" t="s">
        <v>128</v>
      </c>
      <c r="L11" s="119"/>
    </row>
    <row r="12" ht="16.5" customHeight="1">
      <c r="B12" s="119" t="s">
        <v>981</v>
      </c>
      <c r="C12" s="119">
        <f>COUNTIFS('2024'!$C$9:$C$229,"&gt;=2024-11-01",'2024'!$C$9:$C$229,"&lt;=2024-11-30")</f>
        <v>5</v>
      </c>
      <c r="E12" s="120"/>
      <c r="F12" s="120"/>
      <c r="K12" s="119" t="s">
        <v>727</v>
      </c>
      <c r="L12" s="119"/>
    </row>
    <row r="13" ht="16.5" customHeight="1">
      <c r="B13" s="119" t="s">
        <v>982</v>
      </c>
      <c r="C13" s="119">
        <f>COUNTIFS('2024'!$C$9:$C$229,"&gt;=2024-12-01",'2024'!$C$9:$C$229,"&lt;=2024-12-31")</f>
        <v>24</v>
      </c>
      <c r="E13" s="120"/>
      <c r="F13" s="120"/>
      <c r="K13" s="119" t="s">
        <v>22</v>
      </c>
      <c r="L13" s="119"/>
    </row>
    <row r="14" ht="16.5" customHeight="1">
      <c r="B14" s="119" t="s">
        <v>977</v>
      </c>
      <c r="C14" s="119">
        <f>SUM(C2:C13)</f>
        <v>160</v>
      </c>
      <c r="E14" s="120"/>
      <c r="F14" s="120"/>
    </row>
    <row r="15" ht="16.5" customHeight="1">
      <c r="E15" s="120"/>
      <c r="F15" s="120"/>
    </row>
    <row r="16" ht="16.5" customHeight="1">
      <c r="E16" s="120"/>
      <c r="F16" s="120"/>
    </row>
    <row r="17" ht="16.5" customHeight="1">
      <c r="E17" s="120"/>
      <c r="F17" s="120"/>
    </row>
    <row r="18" ht="16.5" customHeight="1">
      <c r="E18" s="120"/>
      <c r="F18" s="120"/>
    </row>
    <row r="19" ht="16.5" customHeight="1">
      <c r="E19" s="120"/>
      <c r="F19" s="120"/>
    </row>
    <row r="20" ht="16.5" customHeight="1">
      <c r="E20" s="120"/>
      <c r="F20" s="120"/>
    </row>
    <row r="21" ht="16.5" customHeight="1">
      <c r="E21" s="120"/>
      <c r="F21" s="120"/>
    </row>
    <row r="22" ht="16.5" customHeight="1">
      <c r="E22" s="120"/>
      <c r="F22" s="120"/>
    </row>
    <row r="23" ht="16.5" customHeight="1">
      <c r="E23" s="120"/>
      <c r="F23" s="120"/>
      <c r="I23" s="122">
        <v>95.0</v>
      </c>
    </row>
    <row r="24" ht="16.5" customHeight="1">
      <c r="E24" s="120"/>
      <c r="F24" s="120"/>
      <c r="I24" s="122">
        <v>20.0</v>
      </c>
      <c r="J24" s="123">
        <f>I24/I23</f>
        <v>0.2105263158</v>
      </c>
    </row>
    <row r="25" ht="16.5" customHeight="1">
      <c r="E25" s="120"/>
      <c r="F25" s="120"/>
    </row>
    <row r="26" ht="16.5" customHeight="1">
      <c r="E26" s="120"/>
      <c r="F26" s="120"/>
    </row>
    <row r="27" ht="16.5" customHeight="1">
      <c r="E27" s="120"/>
      <c r="F27" s="120"/>
    </row>
    <row r="28" ht="16.5" customHeight="1">
      <c r="E28" s="120"/>
      <c r="F28" s="120"/>
    </row>
    <row r="29" ht="16.5" customHeight="1">
      <c r="E29" s="120"/>
      <c r="F29" s="120"/>
    </row>
    <row r="30" ht="16.5" customHeight="1">
      <c r="E30" s="120"/>
      <c r="F30" s="120"/>
    </row>
    <row r="31" ht="16.5" customHeight="1">
      <c r="E31" s="120"/>
      <c r="F31" s="120"/>
    </row>
    <row r="32" ht="16.5" customHeight="1">
      <c r="E32" s="120"/>
      <c r="F32" s="120"/>
    </row>
    <row r="33" ht="16.5" customHeight="1">
      <c r="E33" s="120"/>
      <c r="F33" s="120"/>
    </row>
    <row r="34" ht="16.5" customHeight="1">
      <c r="E34" s="120"/>
      <c r="F34" s="120"/>
    </row>
    <row r="35" ht="16.5" customHeight="1">
      <c r="E35" s="120"/>
      <c r="F35" s="120"/>
    </row>
    <row r="36" ht="16.5" customHeight="1">
      <c r="E36" s="120"/>
      <c r="F36" s="120"/>
    </row>
    <row r="37" ht="16.5" customHeight="1">
      <c r="E37" s="120"/>
      <c r="F37" s="120"/>
    </row>
    <row r="38" ht="16.5" customHeight="1">
      <c r="E38" s="120"/>
      <c r="F38" s="120"/>
    </row>
    <row r="39" ht="16.5" customHeight="1">
      <c r="E39" s="120"/>
      <c r="F39" s="120"/>
    </row>
    <row r="40" ht="16.5" customHeight="1">
      <c r="E40" s="120"/>
      <c r="F40" s="120"/>
    </row>
    <row r="41" ht="16.5" customHeight="1">
      <c r="E41" s="120"/>
      <c r="F41" s="120"/>
    </row>
    <row r="42" ht="16.5" customHeight="1">
      <c r="E42" s="120"/>
      <c r="F42" s="120"/>
    </row>
    <row r="43" ht="16.5" customHeight="1">
      <c r="E43" s="120"/>
      <c r="F43" s="120"/>
    </row>
    <row r="44" ht="16.5" customHeight="1">
      <c r="E44" s="120"/>
      <c r="F44" s="120"/>
    </row>
    <row r="45" ht="16.5" customHeight="1">
      <c r="E45" s="120"/>
      <c r="F45" s="120"/>
    </row>
    <row r="46" ht="16.5" customHeight="1">
      <c r="E46" s="120"/>
      <c r="F46" s="120"/>
    </row>
    <row r="47" ht="16.5" customHeight="1">
      <c r="E47" s="120"/>
      <c r="F47" s="120"/>
    </row>
    <row r="48" ht="16.5" customHeight="1">
      <c r="E48" s="120"/>
      <c r="F48" s="120"/>
    </row>
    <row r="49" ht="16.5" customHeight="1">
      <c r="E49" s="120"/>
      <c r="F49" s="120"/>
    </row>
    <row r="50" ht="16.5" customHeight="1">
      <c r="E50" s="120"/>
      <c r="F50" s="120"/>
    </row>
    <row r="51" ht="16.5" customHeight="1">
      <c r="E51" s="120"/>
      <c r="F51" s="120"/>
    </row>
    <row r="52" ht="16.5" customHeight="1">
      <c r="E52" s="120"/>
      <c r="F52" s="120"/>
    </row>
    <row r="53" ht="16.5" customHeight="1">
      <c r="E53" s="120"/>
      <c r="F53" s="120"/>
    </row>
    <row r="54" ht="16.5" customHeight="1">
      <c r="E54" s="120"/>
      <c r="F54" s="120"/>
    </row>
    <row r="55" ht="16.5" customHeight="1">
      <c r="E55" s="120"/>
      <c r="F55" s="120"/>
    </row>
    <row r="56" ht="16.5" customHeight="1">
      <c r="E56" s="120"/>
      <c r="F56" s="120"/>
    </row>
    <row r="57" ht="16.5" customHeight="1">
      <c r="E57" s="120"/>
      <c r="F57" s="120"/>
    </row>
    <row r="58" ht="16.5" customHeight="1">
      <c r="E58" s="120"/>
      <c r="F58" s="120"/>
    </row>
    <row r="59" ht="16.5" customHeight="1">
      <c r="E59" s="120"/>
      <c r="F59" s="120"/>
    </row>
    <row r="60" ht="16.5" customHeight="1">
      <c r="E60" s="120"/>
      <c r="F60" s="120"/>
    </row>
    <row r="61" ht="16.5" customHeight="1">
      <c r="E61" s="120"/>
      <c r="F61" s="120"/>
    </row>
    <row r="62" ht="16.5" customHeight="1">
      <c r="E62" s="120"/>
      <c r="F62" s="120"/>
    </row>
    <row r="63" ht="16.5" customHeight="1">
      <c r="E63" s="120"/>
      <c r="F63" s="120"/>
    </row>
    <row r="64" ht="16.5" customHeight="1">
      <c r="E64" s="120"/>
      <c r="F64" s="120"/>
    </row>
    <row r="65" ht="16.5" customHeight="1">
      <c r="E65" s="120"/>
      <c r="F65" s="120"/>
    </row>
    <row r="66" ht="16.5" customHeight="1">
      <c r="E66" s="120"/>
      <c r="F66" s="120"/>
    </row>
    <row r="67" ht="16.5" customHeight="1">
      <c r="E67" s="120"/>
      <c r="F67" s="120"/>
    </row>
    <row r="68" ht="16.5" customHeight="1">
      <c r="E68" s="120"/>
      <c r="F68" s="120"/>
    </row>
    <row r="69" ht="16.5" customHeight="1">
      <c r="E69" s="120"/>
      <c r="F69" s="120"/>
    </row>
    <row r="70" ht="16.5" customHeight="1">
      <c r="E70" s="120"/>
      <c r="F70" s="120"/>
    </row>
    <row r="71" ht="16.5" customHeight="1">
      <c r="E71" s="120"/>
      <c r="F71" s="120"/>
    </row>
    <row r="72" ht="16.5" customHeight="1">
      <c r="E72" s="120"/>
      <c r="F72" s="120"/>
    </row>
    <row r="73" ht="16.5" customHeight="1">
      <c r="E73" s="120"/>
      <c r="F73" s="120"/>
    </row>
    <row r="74" ht="16.5" customHeight="1">
      <c r="E74" s="120"/>
      <c r="F74" s="120"/>
    </row>
    <row r="75" ht="16.5" customHeight="1">
      <c r="E75" s="120"/>
      <c r="F75" s="120"/>
    </row>
    <row r="76" ht="16.5" customHeight="1">
      <c r="E76" s="120"/>
      <c r="F76" s="120"/>
    </row>
    <row r="77" ht="16.5" customHeight="1">
      <c r="E77" s="120"/>
      <c r="F77" s="120"/>
    </row>
    <row r="78" ht="16.5" customHeight="1">
      <c r="E78" s="120"/>
      <c r="F78" s="120"/>
    </row>
    <row r="79" ht="16.5" customHeight="1">
      <c r="E79" s="120"/>
      <c r="F79" s="120"/>
    </row>
    <row r="80" ht="16.5" customHeight="1">
      <c r="E80" s="120"/>
      <c r="F80" s="120"/>
    </row>
    <row r="81" ht="16.5" customHeight="1">
      <c r="E81" s="120"/>
      <c r="F81" s="120"/>
    </row>
    <row r="82" ht="16.5" customHeight="1">
      <c r="E82" s="120"/>
      <c r="F82" s="120"/>
    </row>
    <row r="83" ht="16.5" customHeight="1">
      <c r="E83" s="120"/>
      <c r="F83" s="120"/>
    </row>
    <row r="84" ht="16.5" customHeight="1">
      <c r="E84" s="120"/>
      <c r="F84" s="120"/>
    </row>
    <row r="85" ht="16.5" customHeight="1">
      <c r="E85" s="120"/>
      <c r="F85" s="120"/>
    </row>
    <row r="86" ht="16.5" customHeight="1">
      <c r="E86" s="120"/>
      <c r="F86" s="120"/>
    </row>
    <row r="87" ht="16.5" customHeight="1">
      <c r="E87" s="120"/>
      <c r="F87" s="120"/>
    </row>
    <row r="88" ht="16.5" customHeight="1">
      <c r="E88" s="120"/>
      <c r="F88" s="120"/>
    </row>
    <row r="89" ht="16.5" customHeight="1">
      <c r="E89" s="120"/>
      <c r="F89" s="120"/>
    </row>
    <row r="90" ht="16.5" customHeight="1">
      <c r="E90" s="120"/>
      <c r="F90" s="120"/>
    </row>
    <row r="91" ht="16.5" customHeight="1">
      <c r="E91" s="120"/>
      <c r="F91" s="120"/>
    </row>
    <row r="92" ht="16.5" customHeight="1">
      <c r="E92" s="120"/>
      <c r="F92" s="120"/>
    </row>
    <row r="93" ht="16.5" customHeight="1">
      <c r="E93" s="120"/>
      <c r="F93" s="120"/>
    </row>
    <row r="94" ht="16.5" customHeight="1">
      <c r="E94" s="120"/>
      <c r="F94" s="120"/>
    </row>
    <row r="95" ht="16.5" customHeight="1">
      <c r="E95" s="120"/>
      <c r="F95" s="120"/>
    </row>
    <row r="96" ht="16.5" customHeight="1">
      <c r="E96" s="120"/>
      <c r="F96" s="120"/>
    </row>
    <row r="97" ht="16.5" customHeight="1">
      <c r="E97" s="120"/>
      <c r="F97" s="120"/>
    </row>
    <row r="98" ht="16.5" customHeight="1">
      <c r="E98" s="120"/>
      <c r="F98" s="120"/>
    </row>
    <row r="99" ht="16.5" customHeight="1">
      <c r="E99" s="120"/>
      <c r="F99" s="120"/>
    </row>
    <row r="100" ht="16.5" customHeight="1">
      <c r="E100" s="120"/>
      <c r="F100" s="120"/>
    </row>
    <row r="101" ht="16.5" customHeight="1">
      <c r="E101" s="120"/>
      <c r="F101" s="120"/>
    </row>
    <row r="102" ht="16.5" customHeight="1">
      <c r="E102" s="120"/>
      <c r="F102" s="120"/>
    </row>
    <row r="103" ht="16.5" customHeight="1">
      <c r="E103" s="120"/>
      <c r="F103" s="120"/>
    </row>
    <row r="104" ht="16.5" customHeight="1">
      <c r="E104" s="120"/>
      <c r="F104" s="120"/>
    </row>
    <row r="105" ht="16.5" customHeight="1">
      <c r="E105" s="120"/>
      <c r="F105" s="120"/>
    </row>
    <row r="106" ht="16.5" customHeight="1">
      <c r="E106" s="120"/>
      <c r="F106" s="120"/>
    </row>
    <row r="107" ht="16.5" customHeight="1">
      <c r="E107" s="120"/>
      <c r="F107" s="120"/>
    </row>
    <row r="108" ht="16.5" customHeight="1">
      <c r="E108" s="120"/>
      <c r="F108" s="120"/>
    </row>
    <row r="109" ht="16.5" customHeight="1">
      <c r="E109" s="120"/>
      <c r="F109" s="120"/>
    </row>
    <row r="110" ht="16.5" customHeight="1">
      <c r="E110" s="120"/>
      <c r="F110" s="120"/>
    </row>
    <row r="111" ht="16.5" customHeight="1">
      <c r="E111" s="120"/>
      <c r="F111" s="120"/>
    </row>
    <row r="112" ht="16.5" customHeight="1">
      <c r="E112" s="120"/>
      <c r="F112" s="120"/>
    </row>
    <row r="113" ht="16.5" customHeight="1">
      <c r="E113" s="120"/>
      <c r="F113" s="120"/>
    </row>
    <row r="114" ht="16.5" customHeight="1">
      <c r="E114" s="120"/>
      <c r="F114" s="120"/>
    </row>
    <row r="115" ht="16.5" customHeight="1">
      <c r="E115" s="120"/>
      <c r="F115" s="120"/>
    </row>
    <row r="116" ht="16.5" customHeight="1">
      <c r="E116" s="120"/>
      <c r="F116" s="120"/>
    </row>
    <row r="117" ht="16.5" customHeight="1">
      <c r="E117" s="120"/>
      <c r="F117" s="120"/>
    </row>
    <row r="118" ht="16.5" customHeight="1">
      <c r="E118" s="120"/>
      <c r="F118" s="120"/>
    </row>
    <row r="119" ht="16.5" customHeight="1">
      <c r="E119" s="120"/>
      <c r="F119" s="120"/>
    </row>
    <row r="120" ht="16.5" customHeight="1">
      <c r="E120" s="120"/>
      <c r="F120" s="120"/>
    </row>
    <row r="121" ht="16.5" customHeight="1">
      <c r="E121" s="120"/>
      <c r="F121" s="120"/>
    </row>
    <row r="122" ht="16.5" customHeight="1">
      <c r="E122" s="120"/>
      <c r="F122" s="120"/>
    </row>
    <row r="123" ht="16.5" customHeight="1">
      <c r="E123" s="120"/>
      <c r="F123" s="120"/>
    </row>
    <row r="124" ht="16.5" customHeight="1">
      <c r="E124" s="120"/>
      <c r="F124" s="120"/>
    </row>
    <row r="125" ht="16.5" customHeight="1">
      <c r="E125" s="120"/>
      <c r="F125" s="120"/>
    </row>
    <row r="126" ht="16.5" customHeight="1">
      <c r="E126" s="120"/>
      <c r="F126" s="120"/>
    </row>
    <row r="127" ht="16.5" customHeight="1">
      <c r="E127" s="120"/>
      <c r="F127" s="120"/>
    </row>
    <row r="128" ht="16.5" customHeight="1">
      <c r="E128" s="120"/>
      <c r="F128" s="120"/>
    </row>
    <row r="129" ht="16.5" customHeight="1">
      <c r="E129" s="120"/>
      <c r="F129" s="120"/>
    </row>
    <row r="130" ht="16.5" customHeight="1">
      <c r="E130" s="120"/>
      <c r="F130" s="120"/>
    </row>
    <row r="131" ht="16.5" customHeight="1">
      <c r="E131" s="120"/>
      <c r="F131" s="120"/>
    </row>
    <row r="132" ht="16.5" customHeight="1">
      <c r="E132" s="120"/>
      <c r="F132" s="120"/>
    </row>
    <row r="133" ht="16.5" customHeight="1">
      <c r="E133" s="120"/>
      <c r="F133" s="120"/>
    </row>
    <row r="134" ht="16.5" customHeight="1">
      <c r="E134" s="120"/>
      <c r="F134" s="120"/>
    </row>
    <row r="135" ht="16.5" customHeight="1">
      <c r="E135" s="120"/>
      <c r="F135" s="120"/>
    </row>
    <row r="136" ht="16.5" customHeight="1">
      <c r="E136" s="120"/>
      <c r="F136" s="120"/>
    </row>
    <row r="137" ht="16.5" customHeight="1">
      <c r="E137" s="120"/>
      <c r="F137" s="120"/>
    </row>
    <row r="138" ht="16.5" customHeight="1">
      <c r="E138" s="120"/>
      <c r="F138" s="120"/>
    </row>
    <row r="139" ht="16.5" customHeight="1">
      <c r="E139" s="120"/>
      <c r="F139" s="120"/>
    </row>
    <row r="140" ht="16.5" customHeight="1">
      <c r="E140" s="120"/>
      <c r="F140" s="120"/>
    </row>
    <row r="141" ht="16.5" customHeight="1">
      <c r="E141" s="120"/>
      <c r="F141" s="120"/>
    </row>
    <row r="142" ht="16.5" customHeight="1">
      <c r="E142" s="120"/>
      <c r="F142" s="120"/>
    </row>
    <row r="143" ht="16.5" customHeight="1">
      <c r="E143" s="120"/>
      <c r="F143" s="120"/>
    </row>
    <row r="144" ht="16.5" customHeight="1">
      <c r="E144" s="120"/>
      <c r="F144" s="120"/>
    </row>
    <row r="145" ht="16.5" customHeight="1">
      <c r="E145" s="120"/>
      <c r="F145" s="120"/>
    </row>
    <row r="146" ht="16.5" customHeight="1">
      <c r="E146" s="120"/>
      <c r="F146" s="120"/>
    </row>
    <row r="147" ht="16.5" customHeight="1">
      <c r="E147" s="120"/>
      <c r="F147" s="120"/>
    </row>
    <row r="148" ht="16.5" customHeight="1">
      <c r="E148" s="120"/>
      <c r="F148" s="120"/>
    </row>
    <row r="149" ht="16.5" customHeight="1">
      <c r="E149" s="120"/>
      <c r="F149" s="120"/>
    </row>
    <row r="150" ht="16.5" customHeight="1">
      <c r="E150" s="120"/>
      <c r="F150" s="120"/>
    </row>
    <row r="151" ht="16.5" customHeight="1">
      <c r="E151" s="120"/>
      <c r="F151" s="120"/>
    </row>
    <row r="152" ht="16.5" customHeight="1">
      <c r="E152" s="120"/>
      <c r="F152" s="120"/>
    </row>
    <row r="153" ht="16.5" customHeight="1">
      <c r="E153" s="120"/>
      <c r="F153" s="120"/>
    </row>
    <row r="154" ht="16.5" customHeight="1">
      <c r="E154" s="120"/>
      <c r="F154" s="120"/>
    </row>
    <row r="155" ht="16.5" customHeight="1">
      <c r="E155" s="120"/>
      <c r="F155" s="120"/>
    </row>
    <row r="156" ht="16.5" customHeight="1">
      <c r="E156" s="120"/>
      <c r="F156" s="120"/>
    </row>
    <row r="157" ht="16.5" customHeight="1">
      <c r="E157" s="120"/>
      <c r="F157" s="120"/>
    </row>
    <row r="158" ht="16.5" customHeight="1">
      <c r="E158" s="120"/>
      <c r="F158" s="120"/>
    </row>
    <row r="159" ht="16.5" customHeight="1">
      <c r="E159" s="120"/>
      <c r="F159" s="120"/>
    </row>
    <row r="160" ht="16.5" customHeight="1">
      <c r="E160" s="120"/>
      <c r="F160" s="120"/>
    </row>
    <row r="161" ht="16.5" customHeight="1">
      <c r="E161" s="120"/>
      <c r="F161" s="120"/>
    </row>
    <row r="162" ht="16.5" customHeight="1">
      <c r="E162" s="120"/>
      <c r="F162" s="120"/>
    </row>
    <row r="163" ht="16.5" customHeight="1">
      <c r="E163" s="120"/>
      <c r="F163" s="120"/>
    </row>
    <row r="164" ht="16.5" customHeight="1">
      <c r="E164" s="120"/>
      <c r="F164" s="120"/>
    </row>
    <row r="165" ht="16.5" customHeight="1">
      <c r="E165" s="120"/>
      <c r="F165" s="120"/>
    </row>
    <row r="166" ht="16.5" customHeight="1">
      <c r="E166" s="120"/>
      <c r="F166" s="120"/>
    </row>
    <row r="167" ht="16.5" customHeight="1">
      <c r="E167" s="120"/>
      <c r="F167" s="120"/>
    </row>
    <row r="168" ht="16.5" customHeight="1">
      <c r="E168" s="120"/>
      <c r="F168" s="120"/>
    </row>
    <row r="169" ht="16.5" customHeight="1">
      <c r="E169" s="120"/>
      <c r="F169" s="120"/>
    </row>
    <row r="170" ht="16.5" customHeight="1">
      <c r="E170" s="120"/>
      <c r="F170" s="120"/>
    </row>
    <row r="171" ht="16.5" customHeight="1">
      <c r="E171" s="120"/>
      <c r="F171" s="120"/>
    </row>
    <row r="172" ht="16.5" customHeight="1">
      <c r="E172" s="120"/>
      <c r="F172" s="120"/>
    </row>
    <row r="173" ht="16.5" customHeight="1">
      <c r="E173" s="120"/>
      <c r="F173" s="120"/>
    </row>
    <row r="174" ht="16.5" customHeight="1">
      <c r="E174" s="120"/>
      <c r="F174" s="120"/>
    </row>
    <row r="175" ht="16.5" customHeight="1">
      <c r="E175" s="120"/>
      <c r="F175" s="120"/>
    </row>
    <row r="176" ht="16.5" customHeight="1">
      <c r="E176" s="120"/>
      <c r="F176" s="120"/>
    </row>
    <row r="177" ht="16.5" customHeight="1">
      <c r="E177" s="120"/>
      <c r="F177" s="120"/>
    </row>
    <row r="178" ht="16.5" customHeight="1">
      <c r="E178" s="120"/>
      <c r="F178" s="120"/>
    </row>
    <row r="179" ht="16.5" customHeight="1">
      <c r="E179" s="120"/>
      <c r="F179" s="120"/>
    </row>
    <row r="180" ht="16.5" customHeight="1">
      <c r="E180" s="120"/>
      <c r="F180" s="120"/>
    </row>
    <row r="181" ht="16.5" customHeight="1">
      <c r="E181" s="120"/>
      <c r="F181" s="120"/>
    </row>
    <row r="182" ht="16.5" customHeight="1">
      <c r="E182" s="120"/>
      <c r="F182" s="120"/>
    </row>
    <row r="183" ht="16.5" customHeight="1">
      <c r="E183" s="120"/>
      <c r="F183" s="120"/>
    </row>
    <row r="184" ht="16.5" customHeight="1">
      <c r="E184" s="120"/>
      <c r="F184" s="120"/>
    </row>
    <row r="185" ht="16.5" customHeight="1">
      <c r="E185" s="120"/>
      <c r="F185" s="120"/>
    </row>
    <row r="186" ht="16.5" customHeight="1">
      <c r="E186" s="120"/>
      <c r="F186" s="120"/>
    </row>
    <row r="187" ht="16.5" customHeight="1">
      <c r="E187" s="120"/>
      <c r="F187" s="120"/>
    </row>
    <row r="188" ht="16.5" customHeight="1">
      <c r="E188" s="120"/>
      <c r="F188" s="120"/>
    </row>
    <row r="189" ht="16.5" customHeight="1">
      <c r="E189" s="120"/>
      <c r="F189" s="120"/>
    </row>
    <row r="190" ht="16.5" customHeight="1">
      <c r="E190" s="120"/>
      <c r="F190" s="120"/>
    </row>
    <row r="191" ht="16.5" customHeight="1">
      <c r="E191" s="120"/>
      <c r="F191" s="120"/>
    </row>
    <row r="192" ht="16.5" customHeight="1">
      <c r="E192" s="120"/>
      <c r="F192" s="120"/>
    </row>
    <row r="193" ht="16.5" customHeight="1">
      <c r="E193" s="120"/>
      <c r="F193" s="120"/>
    </row>
    <row r="194" ht="16.5" customHeight="1">
      <c r="E194" s="120"/>
      <c r="F194" s="120"/>
    </row>
    <row r="195" ht="16.5" customHeight="1">
      <c r="E195" s="120"/>
      <c r="F195" s="120"/>
    </row>
    <row r="196" ht="16.5" customHeight="1">
      <c r="E196" s="120"/>
      <c r="F196" s="120"/>
    </row>
    <row r="197" ht="16.5" customHeight="1">
      <c r="E197" s="120"/>
      <c r="F197" s="120"/>
    </row>
    <row r="198" ht="16.5" customHeight="1">
      <c r="E198" s="120"/>
      <c r="F198" s="120"/>
    </row>
    <row r="199" ht="16.5" customHeight="1">
      <c r="E199" s="120"/>
      <c r="F199" s="120"/>
    </row>
    <row r="200" ht="16.5" customHeight="1">
      <c r="E200" s="120"/>
      <c r="F200" s="120"/>
    </row>
    <row r="201" ht="16.5" customHeight="1">
      <c r="E201" s="120"/>
      <c r="F201" s="120"/>
    </row>
    <row r="202" ht="16.5" customHeight="1">
      <c r="E202" s="120"/>
      <c r="F202" s="120"/>
    </row>
    <row r="203" ht="16.5" customHeight="1">
      <c r="E203" s="120"/>
      <c r="F203" s="120"/>
    </row>
    <row r="204" ht="16.5" customHeight="1">
      <c r="E204" s="120"/>
      <c r="F204" s="120"/>
    </row>
    <row r="205" ht="16.5" customHeight="1">
      <c r="E205" s="120"/>
      <c r="F205" s="120"/>
    </row>
    <row r="206" ht="16.5" customHeight="1">
      <c r="E206" s="120"/>
      <c r="F206" s="120"/>
    </row>
    <row r="207" ht="16.5" customHeight="1">
      <c r="E207" s="120"/>
      <c r="F207" s="120"/>
    </row>
    <row r="208" ht="16.5" customHeight="1">
      <c r="E208" s="120"/>
      <c r="F208" s="120"/>
    </row>
    <row r="209" ht="16.5" customHeight="1">
      <c r="E209" s="120"/>
      <c r="F209" s="120"/>
    </row>
    <row r="210" ht="16.5" customHeight="1">
      <c r="E210" s="120"/>
      <c r="F210" s="120"/>
    </row>
    <row r="211" ht="16.5" customHeight="1">
      <c r="E211" s="120"/>
      <c r="F211" s="120"/>
    </row>
    <row r="212" ht="16.5" customHeight="1">
      <c r="E212" s="120"/>
      <c r="F212" s="120"/>
    </row>
    <row r="213" ht="16.5" customHeight="1">
      <c r="E213" s="120"/>
      <c r="F213" s="120"/>
    </row>
    <row r="214" ht="16.5" customHeight="1">
      <c r="E214" s="120"/>
      <c r="F214" s="120"/>
    </row>
    <row r="215" ht="16.5" customHeight="1">
      <c r="E215" s="120"/>
      <c r="F215" s="120"/>
    </row>
    <row r="216" ht="16.5" customHeight="1">
      <c r="E216" s="120"/>
      <c r="F216" s="120"/>
    </row>
    <row r="217" ht="16.5" customHeight="1">
      <c r="E217" s="120"/>
      <c r="F217" s="120"/>
    </row>
    <row r="218" ht="16.5" customHeight="1">
      <c r="E218" s="120"/>
      <c r="F218" s="120"/>
    </row>
    <row r="219" ht="16.5" customHeight="1">
      <c r="E219" s="120"/>
      <c r="F219" s="120"/>
    </row>
    <row r="220" ht="16.5" customHeight="1">
      <c r="E220" s="120"/>
      <c r="F220" s="120"/>
    </row>
    <row r="221" ht="16.5" customHeight="1">
      <c r="E221" s="120"/>
      <c r="F221" s="120"/>
    </row>
    <row r="222" ht="16.5" customHeight="1">
      <c r="E222" s="120"/>
      <c r="F222" s="120"/>
    </row>
    <row r="223" ht="16.5" customHeight="1">
      <c r="E223" s="120"/>
      <c r="F223" s="120"/>
    </row>
    <row r="224" ht="16.5" customHeight="1">
      <c r="E224" s="120"/>
      <c r="F224" s="120"/>
    </row>
    <row r="225" ht="16.5" customHeight="1">
      <c r="E225" s="120"/>
      <c r="F225" s="120"/>
    </row>
    <row r="226" ht="16.5" customHeight="1">
      <c r="E226" s="120"/>
      <c r="F226" s="120"/>
    </row>
    <row r="227" ht="16.5" customHeight="1">
      <c r="E227" s="120"/>
      <c r="F227" s="120"/>
    </row>
    <row r="228" ht="16.5" customHeight="1">
      <c r="E228" s="120"/>
      <c r="F228" s="120"/>
    </row>
    <row r="229" ht="16.5" customHeight="1">
      <c r="E229" s="120"/>
      <c r="F229" s="120"/>
    </row>
    <row r="230" ht="16.5" customHeight="1">
      <c r="E230" s="120"/>
      <c r="F230" s="120"/>
    </row>
    <row r="231" ht="16.5" customHeight="1">
      <c r="E231" s="120"/>
      <c r="F231" s="120"/>
    </row>
    <row r="232" ht="16.5" customHeight="1">
      <c r="E232" s="120"/>
      <c r="F232" s="120"/>
    </row>
    <row r="233" ht="16.5" customHeight="1">
      <c r="E233" s="120"/>
      <c r="F233" s="120"/>
    </row>
    <row r="234" ht="16.5" customHeight="1">
      <c r="E234" s="120"/>
      <c r="F234" s="120"/>
    </row>
    <row r="235" ht="16.5" customHeight="1">
      <c r="E235" s="120"/>
      <c r="F235" s="120"/>
    </row>
    <row r="236" ht="16.5" customHeight="1">
      <c r="E236" s="120"/>
      <c r="F236" s="120"/>
    </row>
    <row r="237" ht="16.5" customHeight="1">
      <c r="E237" s="120"/>
      <c r="F237" s="120"/>
    </row>
    <row r="238" ht="16.5" customHeight="1">
      <c r="E238" s="120"/>
      <c r="F238" s="120"/>
    </row>
    <row r="239" ht="16.5" customHeight="1">
      <c r="E239" s="120"/>
      <c r="F239" s="120"/>
    </row>
    <row r="240" ht="16.5" customHeight="1">
      <c r="E240" s="120"/>
      <c r="F240" s="120"/>
    </row>
    <row r="241" ht="16.5" customHeight="1">
      <c r="E241" s="120"/>
      <c r="F241" s="120"/>
    </row>
    <row r="242" ht="16.5" customHeight="1">
      <c r="E242" s="120"/>
      <c r="F242" s="120"/>
    </row>
    <row r="243" ht="16.5" customHeight="1">
      <c r="E243" s="120"/>
      <c r="F243" s="120"/>
    </row>
    <row r="244" ht="16.5" customHeight="1">
      <c r="E244" s="120"/>
      <c r="F244" s="120"/>
    </row>
    <row r="245" ht="16.5" customHeight="1">
      <c r="E245" s="120"/>
      <c r="F245" s="120"/>
    </row>
    <row r="246" ht="16.5" customHeight="1">
      <c r="E246" s="120"/>
      <c r="F246" s="120"/>
    </row>
    <row r="247" ht="16.5" customHeight="1">
      <c r="E247" s="120"/>
      <c r="F247" s="120"/>
    </row>
    <row r="248" ht="16.5" customHeight="1">
      <c r="E248" s="120"/>
      <c r="F248" s="120"/>
    </row>
    <row r="249" ht="16.5" customHeight="1">
      <c r="E249" s="120"/>
      <c r="F249" s="120"/>
    </row>
    <row r="250" ht="16.5" customHeight="1">
      <c r="E250" s="120"/>
      <c r="F250" s="120"/>
    </row>
    <row r="251" ht="16.5" customHeight="1">
      <c r="E251" s="120"/>
      <c r="F251" s="120"/>
    </row>
    <row r="252" ht="16.5" customHeight="1">
      <c r="E252" s="120"/>
      <c r="F252" s="120"/>
    </row>
    <row r="253" ht="16.5" customHeight="1">
      <c r="E253" s="120"/>
      <c r="F253" s="120"/>
    </row>
    <row r="254" ht="16.5" customHeight="1">
      <c r="E254" s="120"/>
      <c r="F254" s="120"/>
    </row>
    <row r="255" ht="16.5" customHeight="1">
      <c r="E255" s="120"/>
      <c r="F255" s="120"/>
    </row>
    <row r="256" ht="16.5" customHeight="1">
      <c r="E256" s="120"/>
      <c r="F256" s="120"/>
    </row>
    <row r="257" ht="16.5" customHeight="1">
      <c r="E257" s="120"/>
      <c r="F257" s="120"/>
    </row>
    <row r="258" ht="16.5" customHeight="1">
      <c r="E258" s="120"/>
      <c r="F258" s="120"/>
    </row>
    <row r="259" ht="16.5" customHeight="1">
      <c r="E259" s="120"/>
      <c r="F259" s="120"/>
    </row>
    <row r="260" ht="16.5" customHeight="1">
      <c r="E260" s="120"/>
      <c r="F260" s="120"/>
    </row>
    <row r="261" ht="16.5" customHeight="1">
      <c r="E261" s="120"/>
      <c r="F261" s="120"/>
    </row>
    <row r="262" ht="16.5" customHeight="1">
      <c r="E262" s="120"/>
      <c r="F262" s="120"/>
    </row>
    <row r="263" ht="16.5" customHeight="1">
      <c r="E263" s="120"/>
      <c r="F263" s="120"/>
    </row>
    <row r="264" ht="16.5" customHeight="1">
      <c r="E264" s="120"/>
      <c r="F264" s="120"/>
    </row>
    <row r="265" ht="16.5" customHeight="1">
      <c r="E265" s="120"/>
      <c r="F265" s="120"/>
    </row>
    <row r="266" ht="16.5" customHeight="1">
      <c r="E266" s="120"/>
      <c r="F266" s="120"/>
    </row>
    <row r="267" ht="16.5" customHeight="1">
      <c r="E267" s="120"/>
      <c r="F267" s="120"/>
    </row>
    <row r="268" ht="16.5" customHeight="1">
      <c r="E268" s="120"/>
      <c r="F268" s="120"/>
    </row>
    <row r="269" ht="16.5" customHeight="1">
      <c r="E269" s="120"/>
      <c r="F269" s="120"/>
    </row>
    <row r="270" ht="16.5" customHeight="1">
      <c r="E270" s="120"/>
      <c r="F270" s="120"/>
    </row>
    <row r="271" ht="16.5" customHeight="1">
      <c r="E271" s="120"/>
      <c r="F271" s="120"/>
    </row>
    <row r="272" ht="16.5" customHeight="1">
      <c r="E272" s="120"/>
      <c r="F272" s="120"/>
    </row>
    <row r="273" ht="16.5" customHeight="1">
      <c r="E273" s="120"/>
      <c r="F273" s="120"/>
    </row>
    <row r="274" ht="16.5" customHeight="1">
      <c r="E274" s="120"/>
      <c r="F274" s="120"/>
    </row>
    <row r="275" ht="16.5" customHeight="1">
      <c r="E275" s="120"/>
      <c r="F275" s="120"/>
    </row>
    <row r="276" ht="16.5" customHeight="1">
      <c r="E276" s="120"/>
      <c r="F276" s="120"/>
    </row>
    <row r="277" ht="16.5" customHeight="1">
      <c r="E277" s="120"/>
      <c r="F277" s="120"/>
    </row>
    <row r="278" ht="16.5" customHeight="1">
      <c r="E278" s="120"/>
      <c r="F278" s="120"/>
    </row>
    <row r="279" ht="16.5" customHeight="1">
      <c r="E279" s="120"/>
      <c r="F279" s="120"/>
    </row>
    <row r="280" ht="16.5" customHeight="1">
      <c r="E280" s="120"/>
      <c r="F280" s="120"/>
    </row>
    <row r="281" ht="16.5" customHeight="1">
      <c r="E281" s="120"/>
      <c r="F281" s="120"/>
    </row>
    <row r="282" ht="16.5" customHeight="1">
      <c r="E282" s="120"/>
      <c r="F282" s="120"/>
    </row>
    <row r="283" ht="16.5" customHeight="1">
      <c r="E283" s="120"/>
      <c r="F283" s="120"/>
    </row>
    <row r="284" ht="16.5" customHeight="1">
      <c r="E284" s="120"/>
      <c r="F284" s="120"/>
    </row>
    <row r="285" ht="16.5" customHeight="1">
      <c r="E285" s="120"/>
      <c r="F285" s="120"/>
    </row>
    <row r="286" ht="16.5" customHeight="1">
      <c r="E286" s="120"/>
      <c r="F286" s="120"/>
    </row>
    <row r="287" ht="16.5" customHeight="1">
      <c r="E287" s="120"/>
      <c r="F287" s="120"/>
    </row>
    <row r="288" ht="16.5" customHeight="1">
      <c r="E288" s="120"/>
      <c r="F288" s="120"/>
    </row>
    <row r="289" ht="16.5" customHeight="1">
      <c r="E289" s="120"/>
      <c r="F289" s="120"/>
    </row>
    <row r="290" ht="16.5" customHeight="1">
      <c r="E290" s="120"/>
      <c r="F290" s="120"/>
    </row>
    <row r="291" ht="16.5" customHeight="1">
      <c r="E291" s="120"/>
      <c r="F291" s="120"/>
    </row>
    <row r="292" ht="16.5" customHeight="1">
      <c r="E292" s="120"/>
      <c r="F292" s="120"/>
    </row>
    <row r="293" ht="16.5" customHeight="1">
      <c r="E293" s="120"/>
      <c r="F293" s="120"/>
    </row>
    <row r="294" ht="16.5" customHeight="1">
      <c r="E294" s="120"/>
      <c r="F294" s="120"/>
    </row>
    <row r="295" ht="16.5" customHeight="1">
      <c r="E295" s="120"/>
      <c r="F295" s="120"/>
    </row>
    <row r="296" ht="16.5" customHeight="1">
      <c r="E296" s="120"/>
      <c r="F296" s="120"/>
    </row>
    <row r="297" ht="16.5" customHeight="1">
      <c r="E297" s="120"/>
      <c r="F297" s="120"/>
    </row>
    <row r="298" ht="16.5" customHeight="1">
      <c r="E298" s="120"/>
      <c r="F298" s="120"/>
    </row>
    <row r="299" ht="16.5" customHeight="1">
      <c r="E299" s="120"/>
      <c r="F299" s="120"/>
    </row>
    <row r="300" ht="16.5" customHeight="1">
      <c r="E300" s="120"/>
      <c r="F300" s="120"/>
    </row>
    <row r="301" ht="16.5" customHeight="1">
      <c r="E301" s="120"/>
      <c r="F301" s="120"/>
    </row>
    <row r="302" ht="16.5" customHeight="1">
      <c r="E302" s="120"/>
      <c r="F302" s="120"/>
    </row>
    <row r="303" ht="16.5" customHeight="1">
      <c r="E303" s="120"/>
      <c r="F303" s="120"/>
    </row>
    <row r="304" ht="16.5" customHeight="1">
      <c r="E304" s="120"/>
      <c r="F304" s="120"/>
    </row>
    <row r="305" ht="16.5" customHeight="1">
      <c r="E305" s="120"/>
      <c r="F305" s="120"/>
    </row>
    <row r="306" ht="16.5" customHeight="1">
      <c r="E306" s="120"/>
      <c r="F306" s="120"/>
    </row>
    <row r="307" ht="16.5" customHeight="1">
      <c r="E307" s="120"/>
      <c r="F307" s="120"/>
    </row>
    <row r="308" ht="16.5" customHeight="1">
      <c r="E308" s="120"/>
      <c r="F308" s="120"/>
    </row>
    <row r="309" ht="16.5" customHeight="1">
      <c r="E309" s="120"/>
      <c r="F309" s="120"/>
    </row>
    <row r="310" ht="16.5" customHeight="1">
      <c r="E310" s="120"/>
      <c r="F310" s="120"/>
    </row>
    <row r="311" ht="16.5" customHeight="1">
      <c r="E311" s="120"/>
      <c r="F311" s="120"/>
    </row>
    <row r="312" ht="16.5" customHeight="1">
      <c r="E312" s="120"/>
      <c r="F312" s="120"/>
    </row>
    <row r="313" ht="16.5" customHeight="1">
      <c r="E313" s="120"/>
      <c r="F313" s="120"/>
    </row>
    <row r="314" ht="16.5" customHeight="1">
      <c r="E314" s="120"/>
      <c r="F314" s="120"/>
    </row>
    <row r="315" ht="16.5" customHeight="1">
      <c r="E315" s="120"/>
      <c r="F315" s="120"/>
    </row>
    <row r="316" ht="16.5" customHeight="1">
      <c r="E316" s="120"/>
      <c r="F316" s="120"/>
    </row>
    <row r="317" ht="16.5" customHeight="1">
      <c r="E317" s="120"/>
      <c r="F317" s="120"/>
    </row>
    <row r="318" ht="16.5" customHeight="1">
      <c r="E318" s="120"/>
      <c r="F318" s="120"/>
    </row>
    <row r="319" ht="16.5" customHeight="1">
      <c r="E319" s="120"/>
      <c r="F319" s="120"/>
    </row>
    <row r="320" ht="16.5" customHeight="1">
      <c r="E320" s="120"/>
      <c r="F320" s="120"/>
    </row>
    <row r="321" ht="16.5" customHeight="1">
      <c r="E321" s="120"/>
      <c r="F321" s="120"/>
    </row>
    <row r="322" ht="16.5" customHeight="1">
      <c r="E322" s="120"/>
      <c r="F322" s="120"/>
    </row>
    <row r="323" ht="16.5" customHeight="1">
      <c r="E323" s="120"/>
      <c r="F323" s="120"/>
    </row>
    <row r="324" ht="16.5" customHeight="1">
      <c r="E324" s="120"/>
      <c r="F324" s="120"/>
    </row>
    <row r="325" ht="16.5" customHeight="1">
      <c r="E325" s="120"/>
      <c r="F325" s="120"/>
    </row>
    <row r="326" ht="16.5" customHeight="1">
      <c r="E326" s="120"/>
      <c r="F326" s="120"/>
    </row>
    <row r="327" ht="16.5" customHeight="1">
      <c r="E327" s="120"/>
      <c r="F327" s="120"/>
    </row>
    <row r="328" ht="16.5" customHeight="1">
      <c r="E328" s="120"/>
      <c r="F328" s="120"/>
    </row>
    <row r="329" ht="16.5" customHeight="1">
      <c r="E329" s="120"/>
      <c r="F329" s="120"/>
    </row>
    <row r="330" ht="16.5" customHeight="1">
      <c r="E330" s="120"/>
      <c r="F330" s="120"/>
    </row>
    <row r="331" ht="16.5" customHeight="1">
      <c r="E331" s="120"/>
      <c r="F331" s="120"/>
    </row>
    <row r="332" ht="16.5" customHeight="1">
      <c r="E332" s="120"/>
      <c r="F332" s="120"/>
    </row>
    <row r="333" ht="16.5" customHeight="1">
      <c r="E333" s="120"/>
      <c r="F333" s="120"/>
    </row>
    <row r="334" ht="16.5" customHeight="1">
      <c r="E334" s="120"/>
      <c r="F334" s="120"/>
    </row>
    <row r="335" ht="16.5" customHeight="1">
      <c r="E335" s="120"/>
      <c r="F335" s="120"/>
    </row>
    <row r="336" ht="16.5" customHeight="1">
      <c r="E336" s="120"/>
      <c r="F336" s="120"/>
    </row>
    <row r="337" ht="16.5" customHeight="1">
      <c r="E337" s="120"/>
      <c r="F337" s="120"/>
    </row>
    <row r="338" ht="16.5" customHeight="1">
      <c r="E338" s="120"/>
      <c r="F338" s="120"/>
    </row>
    <row r="339" ht="16.5" customHeight="1">
      <c r="E339" s="120"/>
      <c r="F339" s="120"/>
    </row>
    <row r="340" ht="16.5" customHeight="1">
      <c r="E340" s="120"/>
      <c r="F340" s="120"/>
    </row>
    <row r="341" ht="16.5" customHeight="1">
      <c r="E341" s="120"/>
      <c r="F341" s="120"/>
    </row>
    <row r="342" ht="16.5" customHeight="1">
      <c r="E342" s="120"/>
      <c r="F342" s="120"/>
    </row>
    <row r="343" ht="16.5" customHeight="1">
      <c r="E343" s="120"/>
      <c r="F343" s="120"/>
    </row>
    <row r="344" ht="16.5" customHeight="1">
      <c r="E344" s="120"/>
      <c r="F344" s="120"/>
    </row>
    <row r="345" ht="16.5" customHeight="1">
      <c r="E345" s="120"/>
      <c r="F345" s="120"/>
    </row>
    <row r="346" ht="16.5" customHeight="1">
      <c r="E346" s="120"/>
      <c r="F346" s="120"/>
    </row>
    <row r="347" ht="16.5" customHeight="1">
      <c r="E347" s="120"/>
      <c r="F347" s="120"/>
    </row>
    <row r="348" ht="16.5" customHeight="1">
      <c r="E348" s="120"/>
      <c r="F348" s="120"/>
    </row>
    <row r="349" ht="16.5" customHeight="1">
      <c r="E349" s="120"/>
      <c r="F349" s="120"/>
    </row>
    <row r="350" ht="16.5" customHeight="1">
      <c r="E350" s="120"/>
      <c r="F350" s="120"/>
    </row>
    <row r="351" ht="16.5" customHeight="1">
      <c r="E351" s="120"/>
      <c r="F351" s="120"/>
    </row>
    <row r="352" ht="16.5" customHeight="1">
      <c r="E352" s="120"/>
      <c r="F352" s="120"/>
    </row>
    <row r="353" ht="16.5" customHeight="1">
      <c r="E353" s="120"/>
      <c r="F353" s="120"/>
    </row>
    <row r="354" ht="16.5" customHeight="1">
      <c r="E354" s="120"/>
      <c r="F354" s="120"/>
    </row>
    <row r="355" ht="16.5" customHeight="1">
      <c r="E355" s="120"/>
      <c r="F355" s="120"/>
    </row>
    <row r="356" ht="16.5" customHeight="1">
      <c r="E356" s="120"/>
      <c r="F356" s="120"/>
    </row>
    <row r="357" ht="16.5" customHeight="1">
      <c r="E357" s="120"/>
      <c r="F357" s="120"/>
    </row>
    <row r="358" ht="16.5" customHeight="1">
      <c r="E358" s="120"/>
      <c r="F358" s="120"/>
    </row>
    <row r="359" ht="16.5" customHeight="1">
      <c r="E359" s="120"/>
      <c r="F359" s="120"/>
    </row>
    <row r="360" ht="16.5" customHeight="1">
      <c r="E360" s="120"/>
      <c r="F360" s="120"/>
    </row>
    <row r="361" ht="16.5" customHeight="1">
      <c r="E361" s="120"/>
      <c r="F361" s="120"/>
    </row>
    <row r="362" ht="16.5" customHeight="1">
      <c r="E362" s="120"/>
      <c r="F362" s="120"/>
    </row>
    <row r="363" ht="16.5" customHeight="1">
      <c r="E363" s="120"/>
      <c r="F363" s="120"/>
    </row>
    <row r="364" ht="16.5" customHeight="1">
      <c r="E364" s="120"/>
      <c r="F364" s="120"/>
    </row>
    <row r="365" ht="16.5" customHeight="1">
      <c r="E365" s="120"/>
      <c r="F365" s="120"/>
    </row>
    <row r="366" ht="16.5" customHeight="1">
      <c r="E366" s="120"/>
      <c r="F366" s="120"/>
    </row>
    <row r="367" ht="16.5" customHeight="1">
      <c r="E367" s="120"/>
      <c r="F367" s="120"/>
    </row>
    <row r="368" ht="16.5" customHeight="1">
      <c r="E368" s="120"/>
      <c r="F368" s="120"/>
    </row>
    <row r="369" ht="16.5" customHeight="1">
      <c r="E369" s="120"/>
      <c r="F369" s="120"/>
    </row>
    <row r="370" ht="16.5" customHeight="1">
      <c r="E370" s="120"/>
      <c r="F370" s="120"/>
    </row>
    <row r="371" ht="16.5" customHeight="1">
      <c r="E371" s="120"/>
      <c r="F371" s="120"/>
    </row>
    <row r="372" ht="16.5" customHeight="1">
      <c r="E372" s="120"/>
      <c r="F372" s="120"/>
    </row>
    <row r="373" ht="16.5" customHeight="1">
      <c r="E373" s="120"/>
      <c r="F373" s="120"/>
    </row>
    <row r="374" ht="16.5" customHeight="1">
      <c r="E374" s="120"/>
      <c r="F374" s="120"/>
    </row>
    <row r="375" ht="16.5" customHeight="1">
      <c r="E375" s="120"/>
      <c r="F375" s="120"/>
    </row>
    <row r="376" ht="16.5" customHeight="1">
      <c r="E376" s="120"/>
      <c r="F376" s="120"/>
    </row>
    <row r="377" ht="16.5" customHeight="1">
      <c r="E377" s="120"/>
      <c r="F377" s="120"/>
    </row>
    <row r="378" ht="16.5" customHeight="1">
      <c r="E378" s="120"/>
      <c r="F378" s="120"/>
    </row>
    <row r="379" ht="16.5" customHeight="1">
      <c r="E379" s="120"/>
      <c r="F379" s="120"/>
    </row>
    <row r="380" ht="16.5" customHeight="1">
      <c r="E380" s="120"/>
      <c r="F380" s="120"/>
    </row>
    <row r="381" ht="16.5" customHeight="1">
      <c r="E381" s="120"/>
      <c r="F381" s="120"/>
    </row>
    <row r="382" ht="16.5" customHeight="1">
      <c r="E382" s="120"/>
      <c r="F382" s="120"/>
    </row>
    <row r="383" ht="16.5" customHeight="1">
      <c r="E383" s="120"/>
      <c r="F383" s="120"/>
    </row>
    <row r="384" ht="16.5" customHeight="1">
      <c r="E384" s="120"/>
      <c r="F384" s="120"/>
    </row>
    <row r="385" ht="16.5" customHeight="1">
      <c r="E385" s="120"/>
      <c r="F385" s="120"/>
    </row>
    <row r="386" ht="16.5" customHeight="1">
      <c r="E386" s="120"/>
      <c r="F386" s="120"/>
    </row>
    <row r="387" ht="16.5" customHeight="1">
      <c r="E387" s="120"/>
      <c r="F387" s="120"/>
    </row>
    <row r="388" ht="16.5" customHeight="1">
      <c r="E388" s="120"/>
      <c r="F388" s="120"/>
    </row>
    <row r="389" ht="16.5" customHeight="1">
      <c r="E389" s="120"/>
      <c r="F389" s="120"/>
    </row>
    <row r="390" ht="16.5" customHeight="1">
      <c r="E390" s="120"/>
      <c r="F390" s="120"/>
    </row>
    <row r="391" ht="16.5" customHeight="1">
      <c r="E391" s="120"/>
      <c r="F391" s="120"/>
    </row>
    <row r="392" ht="16.5" customHeight="1">
      <c r="E392" s="120"/>
      <c r="F392" s="120"/>
    </row>
    <row r="393" ht="16.5" customHeight="1">
      <c r="E393" s="120"/>
      <c r="F393" s="120"/>
    </row>
    <row r="394" ht="16.5" customHeight="1">
      <c r="E394" s="120"/>
      <c r="F394" s="120"/>
    </row>
    <row r="395" ht="16.5" customHeight="1">
      <c r="E395" s="120"/>
      <c r="F395" s="120"/>
    </row>
    <row r="396" ht="16.5" customHeight="1">
      <c r="E396" s="120"/>
      <c r="F396" s="120"/>
    </row>
    <row r="397" ht="16.5" customHeight="1">
      <c r="E397" s="120"/>
      <c r="F397" s="120"/>
    </row>
    <row r="398" ht="16.5" customHeight="1">
      <c r="E398" s="120"/>
      <c r="F398" s="120"/>
    </row>
    <row r="399" ht="16.5" customHeight="1">
      <c r="E399" s="120"/>
      <c r="F399" s="120"/>
    </row>
    <row r="400" ht="16.5" customHeight="1">
      <c r="E400" s="120"/>
      <c r="F400" s="120"/>
    </row>
    <row r="401" ht="16.5" customHeight="1">
      <c r="E401" s="120"/>
      <c r="F401" s="120"/>
    </row>
    <row r="402" ht="16.5" customHeight="1">
      <c r="E402" s="120"/>
      <c r="F402" s="120"/>
    </row>
    <row r="403" ht="16.5" customHeight="1">
      <c r="E403" s="120"/>
      <c r="F403" s="120"/>
    </row>
    <row r="404" ht="16.5" customHeight="1">
      <c r="E404" s="120"/>
      <c r="F404" s="120"/>
    </row>
    <row r="405" ht="16.5" customHeight="1">
      <c r="E405" s="120"/>
      <c r="F405" s="120"/>
    </row>
    <row r="406" ht="16.5" customHeight="1">
      <c r="E406" s="120"/>
      <c r="F406" s="120"/>
    </row>
    <row r="407" ht="16.5" customHeight="1">
      <c r="E407" s="120"/>
      <c r="F407" s="120"/>
    </row>
    <row r="408" ht="16.5" customHeight="1">
      <c r="E408" s="120"/>
      <c r="F408" s="120"/>
    </row>
    <row r="409" ht="16.5" customHeight="1">
      <c r="E409" s="120"/>
      <c r="F409" s="120"/>
    </row>
    <row r="410" ht="16.5" customHeight="1">
      <c r="E410" s="120"/>
      <c r="F410" s="120"/>
    </row>
    <row r="411" ht="16.5" customHeight="1">
      <c r="E411" s="120"/>
      <c r="F411" s="120"/>
    </row>
    <row r="412" ht="16.5" customHeight="1">
      <c r="E412" s="120"/>
      <c r="F412" s="120"/>
    </row>
    <row r="413" ht="16.5" customHeight="1">
      <c r="E413" s="120"/>
      <c r="F413" s="120"/>
    </row>
    <row r="414" ht="16.5" customHeight="1">
      <c r="E414" s="120"/>
      <c r="F414" s="120"/>
    </row>
    <row r="415" ht="16.5" customHeight="1">
      <c r="E415" s="120"/>
      <c r="F415" s="120"/>
    </row>
    <row r="416" ht="16.5" customHeight="1">
      <c r="E416" s="120"/>
      <c r="F416" s="120"/>
    </row>
    <row r="417" ht="16.5" customHeight="1">
      <c r="E417" s="120"/>
      <c r="F417" s="120"/>
    </row>
    <row r="418" ht="16.5" customHeight="1">
      <c r="E418" s="120"/>
      <c r="F418" s="120"/>
    </row>
    <row r="419" ht="16.5" customHeight="1">
      <c r="E419" s="120"/>
      <c r="F419" s="120"/>
    </row>
    <row r="420" ht="16.5" customHeight="1">
      <c r="E420" s="120"/>
      <c r="F420" s="120"/>
    </row>
    <row r="421" ht="16.5" customHeight="1">
      <c r="E421" s="120"/>
      <c r="F421" s="120"/>
    </row>
    <row r="422" ht="16.5" customHeight="1">
      <c r="E422" s="120"/>
      <c r="F422" s="120"/>
    </row>
    <row r="423" ht="16.5" customHeight="1">
      <c r="E423" s="120"/>
      <c r="F423" s="120"/>
    </row>
    <row r="424" ht="16.5" customHeight="1">
      <c r="E424" s="120"/>
      <c r="F424" s="120"/>
    </row>
    <row r="425" ht="16.5" customHeight="1">
      <c r="E425" s="120"/>
      <c r="F425" s="120"/>
    </row>
    <row r="426" ht="16.5" customHeight="1">
      <c r="E426" s="120"/>
      <c r="F426" s="120"/>
    </row>
    <row r="427" ht="16.5" customHeight="1">
      <c r="E427" s="120"/>
      <c r="F427" s="120"/>
    </row>
    <row r="428" ht="16.5" customHeight="1">
      <c r="E428" s="120"/>
      <c r="F428" s="120"/>
    </row>
    <row r="429" ht="16.5" customHeight="1">
      <c r="E429" s="120"/>
      <c r="F429" s="120"/>
    </row>
    <row r="430" ht="16.5" customHeight="1">
      <c r="E430" s="120"/>
      <c r="F430" s="120"/>
    </row>
    <row r="431" ht="16.5" customHeight="1">
      <c r="E431" s="120"/>
      <c r="F431" s="120"/>
    </row>
    <row r="432" ht="16.5" customHeight="1">
      <c r="E432" s="120"/>
      <c r="F432" s="120"/>
    </row>
    <row r="433" ht="16.5" customHeight="1">
      <c r="E433" s="120"/>
      <c r="F433" s="120"/>
    </row>
    <row r="434" ht="16.5" customHeight="1">
      <c r="E434" s="120"/>
      <c r="F434" s="120"/>
    </row>
    <row r="435" ht="16.5" customHeight="1">
      <c r="E435" s="120"/>
      <c r="F435" s="120"/>
    </row>
    <row r="436" ht="16.5" customHeight="1">
      <c r="E436" s="120"/>
      <c r="F436" s="120"/>
    </row>
    <row r="437" ht="16.5" customHeight="1">
      <c r="E437" s="120"/>
      <c r="F437" s="120"/>
    </row>
    <row r="438" ht="16.5" customHeight="1">
      <c r="E438" s="120"/>
      <c r="F438" s="120"/>
    </row>
    <row r="439" ht="16.5" customHeight="1">
      <c r="E439" s="120"/>
      <c r="F439" s="120"/>
    </row>
    <row r="440" ht="16.5" customHeight="1">
      <c r="E440" s="120"/>
      <c r="F440" s="120"/>
    </row>
    <row r="441" ht="16.5" customHeight="1">
      <c r="E441" s="120"/>
      <c r="F441" s="120"/>
    </row>
    <row r="442" ht="16.5" customHeight="1">
      <c r="E442" s="120"/>
      <c r="F442" s="120"/>
    </row>
    <row r="443" ht="16.5" customHeight="1">
      <c r="E443" s="120"/>
      <c r="F443" s="120"/>
    </row>
    <row r="444" ht="16.5" customHeight="1">
      <c r="E444" s="120"/>
      <c r="F444" s="120"/>
    </row>
    <row r="445" ht="16.5" customHeight="1">
      <c r="E445" s="120"/>
      <c r="F445" s="120"/>
    </row>
    <row r="446" ht="16.5" customHeight="1">
      <c r="E446" s="120"/>
      <c r="F446" s="120"/>
    </row>
    <row r="447" ht="16.5" customHeight="1">
      <c r="E447" s="120"/>
      <c r="F447" s="120"/>
    </row>
    <row r="448" ht="16.5" customHeight="1">
      <c r="E448" s="120"/>
      <c r="F448" s="120"/>
    </row>
    <row r="449" ht="16.5" customHeight="1">
      <c r="E449" s="120"/>
      <c r="F449" s="120"/>
    </row>
    <row r="450" ht="16.5" customHeight="1">
      <c r="E450" s="120"/>
      <c r="F450" s="120"/>
    </row>
    <row r="451" ht="16.5" customHeight="1">
      <c r="E451" s="120"/>
      <c r="F451" s="120"/>
    </row>
    <row r="452" ht="16.5" customHeight="1">
      <c r="E452" s="120"/>
      <c r="F452" s="120"/>
    </row>
    <row r="453" ht="16.5" customHeight="1">
      <c r="E453" s="120"/>
      <c r="F453" s="120"/>
    </row>
    <row r="454" ht="16.5" customHeight="1">
      <c r="E454" s="120"/>
      <c r="F454" s="120"/>
    </row>
    <row r="455" ht="16.5" customHeight="1">
      <c r="E455" s="120"/>
      <c r="F455" s="120"/>
    </row>
    <row r="456" ht="16.5" customHeight="1">
      <c r="E456" s="120"/>
      <c r="F456" s="120"/>
    </row>
    <row r="457" ht="16.5" customHeight="1">
      <c r="E457" s="120"/>
      <c r="F457" s="120"/>
    </row>
    <row r="458" ht="16.5" customHeight="1">
      <c r="E458" s="120"/>
      <c r="F458" s="120"/>
    </row>
    <row r="459" ht="16.5" customHeight="1">
      <c r="E459" s="120"/>
      <c r="F459" s="120"/>
    </row>
    <row r="460" ht="16.5" customHeight="1">
      <c r="E460" s="120"/>
      <c r="F460" s="120"/>
    </row>
    <row r="461" ht="16.5" customHeight="1">
      <c r="E461" s="120"/>
      <c r="F461" s="120"/>
    </row>
    <row r="462" ht="16.5" customHeight="1">
      <c r="E462" s="120"/>
      <c r="F462" s="120"/>
    </row>
    <row r="463" ht="16.5" customHeight="1">
      <c r="E463" s="120"/>
      <c r="F463" s="120"/>
    </row>
    <row r="464" ht="16.5" customHeight="1">
      <c r="E464" s="120"/>
      <c r="F464" s="120"/>
    </row>
    <row r="465" ht="16.5" customHeight="1">
      <c r="E465" s="120"/>
      <c r="F465" s="120"/>
    </row>
    <row r="466" ht="16.5" customHeight="1">
      <c r="E466" s="120"/>
      <c r="F466" s="120"/>
    </row>
    <row r="467" ht="16.5" customHeight="1">
      <c r="E467" s="120"/>
      <c r="F467" s="120"/>
    </row>
    <row r="468" ht="16.5" customHeight="1">
      <c r="E468" s="120"/>
      <c r="F468" s="120"/>
    </row>
    <row r="469" ht="16.5" customHeight="1">
      <c r="E469" s="120"/>
      <c r="F469" s="120"/>
    </row>
    <row r="470" ht="16.5" customHeight="1">
      <c r="E470" s="120"/>
      <c r="F470" s="120"/>
    </row>
    <row r="471" ht="16.5" customHeight="1">
      <c r="E471" s="120"/>
      <c r="F471" s="120"/>
    </row>
    <row r="472" ht="16.5" customHeight="1">
      <c r="E472" s="120"/>
      <c r="F472" s="120"/>
    </row>
    <row r="473" ht="16.5" customHeight="1">
      <c r="E473" s="120"/>
      <c r="F473" s="120"/>
    </row>
    <row r="474" ht="16.5" customHeight="1">
      <c r="E474" s="120"/>
      <c r="F474" s="120"/>
    </row>
    <row r="475" ht="16.5" customHeight="1">
      <c r="E475" s="120"/>
      <c r="F475" s="120"/>
    </row>
    <row r="476" ht="16.5" customHeight="1">
      <c r="E476" s="120"/>
      <c r="F476" s="120"/>
    </row>
    <row r="477" ht="16.5" customHeight="1">
      <c r="E477" s="120"/>
      <c r="F477" s="120"/>
    </row>
    <row r="478" ht="16.5" customHeight="1">
      <c r="E478" s="120"/>
      <c r="F478" s="120"/>
    </row>
    <row r="479" ht="16.5" customHeight="1">
      <c r="E479" s="120"/>
      <c r="F479" s="120"/>
    </row>
    <row r="480" ht="16.5" customHeight="1">
      <c r="E480" s="120"/>
      <c r="F480" s="120"/>
    </row>
    <row r="481" ht="16.5" customHeight="1">
      <c r="E481" s="120"/>
      <c r="F481" s="120"/>
    </row>
    <row r="482" ht="16.5" customHeight="1">
      <c r="E482" s="120"/>
      <c r="F482" s="120"/>
    </row>
    <row r="483" ht="16.5" customHeight="1">
      <c r="E483" s="120"/>
      <c r="F483" s="120"/>
    </row>
    <row r="484" ht="16.5" customHeight="1">
      <c r="E484" s="120"/>
      <c r="F484" s="120"/>
    </row>
    <row r="485" ht="16.5" customHeight="1">
      <c r="E485" s="120"/>
      <c r="F485" s="120"/>
    </row>
    <row r="486" ht="16.5" customHeight="1">
      <c r="E486" s="120"/>
      <c r="F486" s="120"/>
    </row>
    <row r="487" ht="16.5" customHeight="1">
      <c r="E487" s="120"/>
      <c r="F487" s="120"/>
    </row>
    <row r="488" ht="16.5" customHeight="1">
      <c r="E488" s="120"/>
      <c r="F488" s="120"/>
    </row>
    <row r="489" ht="16.5" customHeight="1">
      <c r="E489" s="120"/>
      <c r="F489" s="120"/>
    </row>
    <row r="490" ht="16.5" customHeight="1">
      <c r="E490" s="120"/>
      <c r="F490" s="120"/>
    </row>
    <row r="491" ht="16.5" customHeight="1">
      <c r="E491" s="120"/>
      <c r="F491" s="120"/>
    </row>
    <row r="492" ht="16.5" customHeight="1">
      <c r="E492" s="120"/>
      <c r="F492" s="120"/>
    </row>
    <row r="493" ht="16.5" customHeight="1">
      <c r="E493" s="120"/>
      <c r="F493" s="120"/>
    </row>
    <row r="494" ht="16.5" customHeight="1">
      <c r="E494" s="120"/>
      <c r="F494" s="120"/>
    </row>
    <row r="495" ht="16.5" customHeight="1">
      <c r="E495" s="120"/>
      <c r="F495" s="120"/>
    </row>
    <row r="496" ht="16.5" customHeight="1">
      <c r="E496" s="120"/>
      <c r="F496" s="120"/>
    </row>
    <row r="497" ht="16.5" customHeight="1">
      <c r="E497" s="120"/>
      <c r="F497" s="120"/>
    </row>
    <row r="498" ht="16.5" customHeight="1">
      <c r="E498" s="120"/>
      <c r="F498" s="120"/>
    </row>
    <row r="499" ht="16.5" customHeight="1">
      <c r="E499" s="120"/>
      <c r="F499" s="120"/>
    </row>
    <row r="500" ht="16.5" customHeight="1">
      <c r="E500" s="120"/>
      <c r="F500" s="120"/>
    </row>
    <row r="501" ht="16.5" customHeight="1">
      <c r="E501" s="120"/>
      <c r="F501" s="120"/>
    </row>
    <row r="502" ht="16.5" customHeight="1">
      <c r="E502" s="120"/>
      <c r="F502" s="120"/>
    </row>
    <row r="503" ht="16.5" customHeight="1">
      <c r="E503" s="120"/>
      <c r="F503" s="120"/>
    </row>
    <row r="504" ht="16.5" customHeight="1">
      <c r="E504" s="120"/>
      <c r="F504" s="120"/>
    </row>
    <row r="505" ht="16.5" customHeight="1">
      <c r="E505" s="120"/>
      <c r="F505" s="120"/>
    </row>
    <row r="506" ht="16.5" customHeight="1">
      <c r="E506" s="120"/>
      <c r="F506" s="120"/>
    </row>
    <row r="507" ht="16.5" customHeight="1">
      <c r="E507" s="120"/>
      <c r="F507" s="120"/>
    </row>
    <row r="508" ht="16.5" customHeight="1">
      <c r="E508" s="120"/>
      <c r="F508" s="120"/>
    </row>
    <row r="509" ht="16.5" customHeight="1">
      <c r="E509" s="120"/>
      <c r="F509" s="120"/>
    </row>
    <row r="510" ht="16.5" customHeight="1">
      <c r="E510" s="120"/>
      <c r="F510" s="120"/>
    </row>
    <row r="511" ht="16.5" customHeight="1">
      <c r="E511" s="120"/>
      <c r="F511" s="120"/>
    </row>
    <row r="512" ht="16.5" customHeight="1">
      <c r="E512" s="120"/>
      <c r="F512" s="120"/>
    </row>
    <row r="513" ht="16.5" customHeight="1">
      <c r="E513" s="120"/>
      <c r="F513" s="120"/>
    </row>
    <row r="514" ht="16.5" customHeight="1">
      <c r="E514" s="120"/>
      <c r="F514" s="120"/>
    </row>
    <row r="515" ht="16.5" customHeight="1">
      <c r="E515" s="120"/>
      <c r="F515" s="120"/>
    </row>
    <row r="516" ht="16.5" customHeight="1">
      <c r="E516" s="120"/>
      <c r="F516" s="120"/>
    </row>
    <row r="517" ht="16.5" customHeight="1">
      <c r="E517" s="120"/>
      <c r="F517" s="120"/>
    </row>
    <row r="518" ht="16.5" customHeight="1">
      <c r="E518" s="120"/>
      <c r="F518" s="120"/>
    </row>
    <row r="519" ht="16.5" customHeight="1">
      <c r="E519" s="120"/>
      <c r="F519" s="120"/>
    </row>
    <row r="520" ht="16.5" customHeight="1">
      <c r="E520" s="120"/>
      <c r="F520" s="120"/>
    </row>
    <row r="521" ht="16.5" customHeight="1">
      <c r="E521" s="120"/>
      <c r="F521" s="120"/>
    </row>
    <row r="522" ht="16.5" customHeight="1">
      <c r="E522" s="120"/>
      <c r="F522" s="120"/>
    </row>
    <row r="523" ht="16.5" customHeight="1">
      <c r="E523" s="120"/>
      <c r="F523" s="120"/>
    </row>
    <row r="524" ht="16.5" customHeight="1">
      <c r="E524" s="120"/>
      <c r="F524" s="120"/>
    </row>
    <row r="525" ht="16.5" customHeight="1">
      <c r="E525" s="120"/>
      <c r="F525" s="120"/>
    </row>
    <row r="526" ht="16.5" customHeight="1">
      <c r="E526" s="120"/>
      <c r="F526" s="120"/>
    </row>
    <row r="527" ht="16.5" customHeight="1">
      <c r="E527" s="120"/>
      <c r="F527" s="120"/>
    </row>
    <row r="528" ht="16.5" customHeight="1">
      <c r="E528" s="120"/>
      <c r="F528" s="120"/>
    </row>
    <row r="529" ht="16.5" customHeight="1">
      <c r="E529" s="120"/>
      <c r="F529" s="120"/>
    </row>
    <row r="530" ht="16.5" customHeight="1">
      <c r="E530" s="120"/>
      <c r="F530" s="120"/>
    </row>
    <row r="531" ht="16.5" customHeight="1">
      <c r="E531" s="120"/>
      <c r="F531" s="120"/>
    </row>
    <row r="532" ht="16.5" customHeight="1">
      <c r="E532" s="120"/>
      <c r="F532" s="120"/>
    </row>
    <row r="533" ht="16.5" customHeight="1">
      <c r="E533" s="120"/>
      <c r="F533" s="120"/>
    </row>
    <row r="534" ht="16.5" customHeight="1">
      <c r="E534" s="120"/>
      <c r="F534" s="120"/>
    </row>
    <row r="535" ht="16.5" customHeight="1">
      <c r="E535" s="120"/>
      <c r="F535" s="120"/>
    </row>
    <row r="536" ht="16.5" customHeight="1">
      <c r="E536" s="120"/>
      <c r="F536" s="120"/>
    </row>
    <row r="537" ht="16.5" customHeight="1">
      <c r="E537" s="120"/>
      <c r="F537" s="120"/>
    </row>
    <row r="538" ht="16.5" customHeight="1">
      <c r="E538" s="120"/>
      <c r="F538" s="120"/>
    </row>
    <row r="539" ht="16.5" customHeight="1">
      <c r="E539" s="120"/>
      <c r="F539" s="120"/>
    </row>
    <row r="540" ht="16.5" customHeight="1">
      <c r="E540" s="120"/>
      <c r="F540" s="120"/>
    </row>
    <row r="541" ht="16.5" customHeight="1">
      <c r="E541" s="120"/>
      <c r="F541" s="120"/>
    </row>
    <row r="542" ht="16.5" customHeight="1">
      <c r="E542" s="120"/>
      <c r="F542" s="120"/>
    </row>
    <row r="543" ht="16.5" customHeight="1">
      <c r="E543" s="120"/>
      <c r="F543" s="120"/>
    </row>
    <row r="544" ht="16.5" customHeight="1">
      <c r="E544" s="120"/>
      <c r="F544" s="120"/>
    </row>
    <row r="545" ht="16.5" customHeight="1">
      <c r="E545" s="120"/>
      <c r="F545" s="120"/>
    </row>
    <row r="546" ht="16.5" customHeight="1">
      <c r="E546" s="120"/>
      <c r="F546" s="120"/>
    </row>
    <row r="547" ht="16.5" customHeight="1">
      <c r="E547" s="120"/>
      <c r="F547" s="120"/>
    </row>
    <row r="548" ht="16.5" customHeight="1">
      <c r="E548" s="120"/>
      <c r="F548" s="120"/>
    </row>
    <row r="549" ht="16.5" customHeight="1">
      <c r="E549" s="120"/>
      <c r="F549" s="120"/>
    </row>
    <row r="550" ht="16.5" customHeight="1">
      <c r="E550" s="120"/>
      <c r="F550" s="120"/>
    </row>
    <row r="551" ht="16.5" customHeight="1">
      <c r="E551" s="120"/>
      <c r="F551" s="120"/>
    </row>
    <row r="552" ht="16.5" customHeight="1">
      <c r="E552" s="120"/>
      <c r="F552" s="120"/>
    </row>
    <row r="553" ht="16.5" customHeight="1">
      <c r="E553" s="120"/>
      <c r="F553" s="120"/>
    </row>
    <row r="554" ht="16.5" customHeight="1">
      <c r="E554" s="120"/>
      <c r="F554" s="120"/>
    </row>
    <row r="555" ht="16.5" customHeight="1">
      <c r="E555" s="120"/>
      <c r="F555" s="120"/>
    </row>
    <row r="556" ht="16.5" customHeight="1">
      <c r="E556" s="120"/>
      <c r="F556" s="120"/>
    </row>
    <row r="557" ht="16.5" customHeight="1">
      <c r="E557" s="120"/>
      <c r="F557" s="120"/>
    </row>
    <row r="558" ht="16.5" customHeight="1">
      <c r="E558" s="120"/>
      <c r="F558" s="120"/>
    </row>
    <row r="559" ht="16.5" customHeight="1">
      <c r="E559" s="120"/>
      <c r="F559" s="120"/>
    </row>
    <row r="560" ht="16.5" customHeight="1">
      <c r="E560" s="120"/>
      <c r="F560" s="120"/>
    </row>
    <row r="561" ht="16.5" customHeight="1">
      <c r="E561" s="120"/>
      <c r="F561" s="120"/>
    </row>
    <row r="562" ht="16.5" customHeight="1">
      <c r="E562" s="120"/>
      <c r="F562" s="120"/>
    </row>
    <row r="563" ht="16.5" customHeight="1">
      <c r="E563" s="120"/>
      <c r="F563" s="120"/>
    </row>
    <row r="564" ht="16.5" customHeight="1">
      <c r="E564" s="120"/>
      <c r="F564" s="120"/>
    </row>
    <row r="565" ht="16.5" customHeight="1">
      <c r="E565" s="120"/>
      <c r="F565" s="120"/>
    </row>
    <row r="566" ht="16.5" customHeight="1">
      <c r="E566" s="120"/>
      <c r="F566" s="120"/>
    </row>
    <row r="567" ht="16.5" customHeight="1">
      <c r="E567" s="120"/>
      <c r="F567" s="120"/>
    </row>
    <row r="568" ht="16.5" customHeight="1">
      <c r="E568" s="120"/>
      <c r="F568" s="120"/>
    </row>
    <row r="569" ht="16.5" customHeight="1">
      <c r="E569" s="120"/>
      <c r="F569" s="120"/>
    </row>
    <row r="570" ht="16.5" customHeight="1">
      <c r="E570" s="120"/>
      <c r="F570" s="120"/>
    </row>
    <row r="571" ht="16.5" customHeight="1">
      <c r="E571" s="120"/>
      <c r="F571" s="120"/>
    </row>
    <row r="572" ht="16.5" customHeight="1">
      <c r="E572" s="120"/>
      <c r="F572" s="120"/>
    </row>
    <row r="573" ht="16.5" customHeight="1">
      <c r="E573" s="120"/>
      <c r="F573" s="120"/>
    </row>
    <row r="574" ht="16.5" customHeight="1">
      <c r="E574" s="120"/>
      <c r="F574" s="120"/>
    </row>
    <row r="575" ht="16.5" customHeight="1">
      <c r="E575" s="120"/>
      <c r="F575" s="120"/>
    </row>
    <row r="576" ht="16.5" customHeight="1">
      <c r="E576" s="120"/>
      <c r="F576" s="120"/>
    </row>
    <row r="577" ht="16.5" customHeight="1">
      <c r="E577" s="120"/>
      <c r="F577" s="120"/>
    </row>
    <row r="578" ht="16.5" customHeight="1">
      <c r="E578" s="120"/>
      <c r="F578" s="120"/>
    </row>
    <row r="579" ht="16.5" customHeight="1">
      <c r="E579" s="120"/>
      <c r="F579" s="120"/>
    </row>
    <row r="580" ht="16.5" customHeight="1">
      <c r="E580" s="120"/>
      <c r="F580" s="120"/>
    </row>
    <row r="581" ht="16.5" customHeight="1">
      <c r="E581" s="120"/>
      <c r="F581" s="120"/>
    </row>
    <row r="582" ht="16.5" customHeight="1">
      <c r="E582" s="120"/>
      <c r="F582" s="120"/>
    </row>
    <row r="583" ht="16.5" customHeight="1">
      <c r="E583" s="120"/>
      <c r="F583" s="120"/>
    </row>
    <row r="584" ht="16.5" customHeight="1">
      <c r="E584" s="120"/>
      <c r="F584" s="120"/>
    </row>
    <row r="585" ht="16.5" customHeight="1">
      <c r="E585" s="120"/>
      <c r="F585" s="120"/>
    </row>
    <row r="586" ht="16.5" customHeight="1">
      <c r="E586" s="120"/>
      <c r="F586" s="120"/>
    </row>
    <row r="587" ht="16.5" customHeight="1">
      <c r="E587" s="120"/>
      <c r="F587" s="120"/>
    </row>
    <row r="588" ht="16.5" customHeight="1">
      <c r="E588" s="120"/>
      <c r="F588" s="120"/>
    </row>
    <row r="589" ht="16.5" customHeight="1">
      <c r="E589" s="120"/>
      <c r="F589" s="120"/>
    </row>
    <row r="590" ht="16.5" customHeight="1">
      <c r="E590" s="120"/>
      <c r="F590" s="120"/>
    </row>
    <row r="591" ht="16.5" customHeight="1">
      <c r="E591" s="120"/>
      <c r="F591" s="120"/>
    </row>
    <row r="592" ht="16.5" customHeight="1">
      <c r="E592" s="120"/>
      <c r="F592" s="120"/>
    </row>
    <row r="593" ht="16.5" customHeight="1">
      <c r="E593" s="120"/>
      <c r="F593" s="120"/>
    </row>
    <row r="594" ht="16.5" customHeight="1">
      <c r="E594" s="120"/>
      <c r="F594" s="120"/>
    </row>
    <row r="595" ht="16.5" customHeight="1">
      <c r="E595" s="120"/>
      <c r="F595" s="120"/>
    </row>
    <row r="596" ht="16.5" customHeight="1">
      <c r="E596" s="120"/>
      <c r="F596" s="120"/>
    </row>
    <row r="597" ht="16.5" customHeight="1">
      <c r="E597" s="120"/>
      <c r="F597" s="120"/>
    </row>
    <row r="598" ht="16.5" customHeight="1">
      <c r="E598" s="120"/>
      <c r="F598" s="120"/>
    </row>
    <row r="599" ht="16.5" customHeight="1">
      <c r="E599" s="120"/>
      <c r="F599" s="120"/>
    </row>
    <row r="600" ht="16.5" customHeight="1">
      <c r="E600" s="120"/>
      <c r="F600" s="120"/>
    </row>
    <row r="601" ht="16.5" customHeight="1">
      <c r="E601" s="120"/>
      <c r="F601" s="120"/>
    </row>
    <row r="602" ht="16.5" customHeight="1">
      <c r="E602" s="120"/>
      <c r="F602" s="120"/>
    </row>
    <row r="603" ht="16.5" customHeight="1">
      <c r="E603" s="120"/>
      <c r="F603" s="120"/>
    </row>
    <row r="604" ht="16.5" customHeight="1">
      <c r="E604" s="120"/>
      <c r="F604" s="120"/>
    </row>
    <row r="605" ht="16.5" customHeight="1">
      <c r="E605" s="120"/>
      <c r="F605" s="120"/>
    </row>
    <row r="606" ht="16.5" customHeight="1">
      <c r="E606" s="120"/>
      <c r="F606" s="120"/>
    </row>
    <row r="607" ht="16.5" customHeight="1">
      <c r="E607" s="120"/>
      <c r="F607" s="120"/>
    </row>
    <row r="608" ht="16.5" customHeight="1">
      <c r="E608" s="120"/>
      <c r="F608" s="120"/>
    </row>
    <row r="609" ht="16.5" customHeight="1">
      <c r="E609" s="120"/>
      <c r="F609" s="120"/>
    </row>
    <row r="610" ht="16.5" customHeight="1">
      <c r="E610" s="120"/>
      <c r="F610" s="120"/>
    </row>
    <row r="611" ht="16.5" customHeight="1">
      <c r="E611" s="120"/>
      <c r="F611" s="120"/>
    </row>
    <row r="612" ht="16.5" customHeight="1">
      <c r="E612" s="120"/>
      <c r="F612" s="120"/>
    </row>
    <row r="613" ht="16.5" customHeight="1">
      <c r="E613" s="120"/>
      <c r="F613" s="120"/>
    </row>
    <row r="614" ht="16.5" customHeight="1">
      <c r="E614" s="120"/>
      <c r="F614" s="120"/>
    </row>
    <row r="615" ht="16.5" customHeight="1">
      <c r="E615" s="120"/>
      <c r="F615" s="120"/>
    </row>
    <row r="616" ht="16.5" customHeight="1">
      <c r="E616" s="120"/>
      <c r="F616" s="120"/>
    </row>
    <row r="617" ht="16.5" customHeight="1">
      <c r="E617" s="120"/>
      <c r="F617" s="120"/>
    </row>
    <row r="618" ht="16.5" customHeight="1">
      <c r="E618" s="120"/>
      <c r="F618" s="120"/>
    </row>
    <row r="619" ht="16.5" customHeight="1">
      <c r="E619" s="120"/>
      <c r="F619" s="120"/>
    </row>
    <row r="620" ht="16.5" customHeight="1">
      <c r="E620" s="120"/>
      <c r="F620" s="120"/>
    </row>
    <row r="621" ht="16.5" customHeight="1">
      <c r="E621" s="120"/>
      <c r="F621" s="120"/>
    </row>
    <row r="622" ht="16.5" customHeight="1">
      <c r="E622" s="120"/>
      <c r="F622" s="120"/>
    </row>
    <row r="623" ht="16.5" customHeight="1">
      <c r="E623" s="120"/>
      <c r="F623" s="120"/>
    </row>
    <row r="624" ht="16.5" customHeight="1">
      <c r="E624" s="120"/>
      <c r="F624" s="120"/>
    </row>
    <row r="625" ht="16.5" customHeight="1">
      <c r="E625" s="120"/>
      <c r="F625" s="120"/>
    </row>
    <row r="626" ht="16.5" customHeight="1">
      <c r="E626" s="120"/>
      <c r="F626" s="120"/>
    </row>
    <row r="627" ht="16.5" customHeight="1">
      <c r="E627" s="120"/>
      <c r="F627" s="120"/>
    </row>
    <row r="628" ht="16.5" customHeight="1">
      <c r="E628" s="120"/>
      <c r="F628" s="120"/>
    </row>
    <row r="629" ht="16.5" customHeight="1">
      <c r="E629" s="120"/>
      <c r="F629" s="120"/>
    </row>
    <row r="630" ht="16.5" customHeight="1">
      <c r="E630" s="120"/>
      <c r="F630" s="120"/>
    </row>
    <row r="631" ht="16.5" customHeight="1">
      <c r="E631" s="120"/>
      <c r="F631" s="120"/>
    </row>
    <row r="632" ht="16.5" customHeight="1">
      <c r="E632" s="120"/>
      <c r="F632" s="120"/>
    </row>
    <row r="633" ht="16.5" customHeight="1">
      <c r="E633" s="120"/>
      <c r="F633" s="120"/>
    </row>
    <row r="634" ht="16.5" customHeight="1">
      <c r="E634" s="120"/>
      <c r="F634" s="120"/>
    </row>
    <row r="635" ht="16.5" customHeight="1">
      <c r="E635" s="120"/>
      <c r="F635" s="120"/>
    </row>
    <row r="636" ht="16.5" customHeight="1">
      <c r="E636" s="120"/>
      <c r="F636" s="120"/>
    </row>
    <row r="637" ht="16.5" customHeight="1">
      <c r="E637" s="120"/>
      <c r="F637" s="120"/>
    </row>
    <row r="638" ht="16.5" customHeight="1">
      <c r="E638" s="120"/>
      <c r="F638" s="120"/>
    </row>
    <row r="639" ht="16.5" customHeight="1">
      <c r="E639" s="120"/>
      <c r="F639" s="120"/>
    </row>
    <row r="640" ht="16.5" customHeight="1">
      <c r="E640" s="120"/>
      <c r="F640" s="120"/>
    </row>
    <row r="641" ht="16.5" customHeight="1">
      <c r="E641" s="120"/>
      <c r="F641" s="120"/>
    </row>
    <row r="642" ht="16.5" customHeight="1">
      <c r="E642" s="120"/>
      <c r="F642" s="120"/>
    </row>
    <row r="643" ht="16.5" customHeight="1">
      <c r="E643" s="120"/>
      <c r="F643" s="120"/>
    </row>
    <row r="644" ht="16.5" customHeight="1">
      <c r="E644" s="120"/>
      <c r="F644" s="120"/>
    </row>
    <row r="645" ht="16.5" customHeight="1">
      <c r="E645" s="120"/>
      <c r="F645" s="120"/>
    </row>
    <row r="646" ht="16.5" customHeight="1">
      <c r="E646" s="120"/>
      <c r="F646" s="120"/>
    </row>
    <row r="647" ht="16.5" customHeight="1">
      <c r="E647" s="120"/>
      <c r="F647" s="120"/>
    </row>
    <row r="648" ht="16.5" customHeight="1">
      <c r="E648" s="120"/>
      <c r="F648" s="120"/>
    </row>
    <row r="649" ht="16.5" customHeight="1">
      <c r="E649" s="120"/>
      <c r="F649" s="120"/>
    </row>
    <row r="650" ht="16.5" customHeight="1">
      <c r="E650" s="120"/>
      <c r="F650" s="120"/>
    </row>
    <row r="651" ht="16.5" customHeight="1">
      <c r="E651" s="120"/>
      <c r="F651" s="120"/>
    </row>
    <row r="652" ht="16.5" customHeight="1">
      <c r="E652" s="120"/>
      <c r="F652" s="120"/>
    </row>
    <row r="653" ht="16.5" customHeight="1">
      <c r="E653" s="120"/>
      <c r="F653" s="120"/>
    </row>
    <row r="654" ht="16.5" customHeight="1">
      <c r="E654" s="120"/>
      <c r="F654" s="120"/>
    </row>
    <row r="655" ht="16.5" customHeight="1">
      <c r="E655" s="120"/>
      <c r="F655" s="120"/>
    </row>
    <row r="656" ht="16.5" customHeight="1">
      <c r="E656" s="120"/>
      <c r="F656" s="120"/>
    </row>
    <row r="657" ht="16.5" customHeight="1">
      <c r="E657" s="120"/>
      <c r="F657" s="120"/>
    </row>
    <row r="658" ht="16.5" customHeight="1">
      <c r="E658" s="120"/>
      <c r="F658" s="120"/>
    </row>
    <row r="659" ht="16.5" customHeight="1">
      <c r="E659" s="120"/>
      <c r="F659" s="120"/>
    </row>
    <row r="660" ht="16.5" customHeight="1">
      <c r="E660" s="120"/>
      <c r="F660" s="120"/>
    </row>
    <row r="661" ht="16.5" customHeight="1">
      <c r="E661" s="120"/>
      <c r="F661" s="120"/>
    </row>
    <row r="662" ht="16.5" customHeight="1">
      <c r="E662" s="120"/>
      <c r="F662" s="120"/>
    </row>
    <row r="663" ht="16.5" customHeight="1">
      <c r="E663" s="120"/>
      <c r="F663" s="120"/>
    </row>
    <row r="664" ht="16.5" customHeight="1">
      <c r="E664" s="120"/>
      <c r="F664" s="120"/>
    </row>
    <row r="665" ht="16.5" customHeight="1">
      <c r="E665" s="120"/>
      <c r="F665" s="120"/>
    </row>
    <row r="666" ht="16.5" customHeight="1">
      <c r="E666" s="120"/>
      <c r="F666" s="120"/>
    </row>
    <row r="667" ht="16.5" customHeight="1">
      <c r="E667" s="120"/>
      <c r="F667" s="120"/>
    </row>
    <row r="668" ht="16.5" customHeight="1">
      <c r="E668" s="120"/>
      <c r="F668" s="120"/>
    </row>
    <row r="669" ht="16.5" customHeight="1">
      <c r="E669" s="120"/>
      <c r="F669" s="120"/>
    </row>
    <row r="670" ht="16.5" customHeight="1">
      <c r="E670" s="120"/>
      <c r="F670" s="120"/>
    </row>
    <row r="671" ht="16.5" customHeight="1">
      <c r="E671" s="120"/>
      <c r="F671" s="120"/>
    </row>
    <row r="672" ht="16.5" customHeight="1">
      <c r="E672" s="120"/>
      <c r="F672" s="120"/>
    </row>
    <row r="673" ht="16.5" customHeight="1">
      <c r="E673" s="120"/>
      <c r="F673" s="120"/>
    </row>
    <row r="674" ht="16.5" customHeight="1">
      <c r="E674" s="120"/>
      <c r="F674" s="120"/>
    </row>
    <row r="675" ht="16.5" customHeight="1">
      <c r="E675" s="120"/>
      <c r="F675" s="120"/>
    </row>
    <row r="676" ht="16.5" customHeight="1">
      <c r="E676" s="120"/>
      <c r="F676" s="120"/>
    </row>
    <row r="677" ht="16.5" customHeight="1">
      <c r="E677" s="120"/>
      <c r="F677" s="120"/>
    </row>
    <row r="678" ht="16.5" customHeight="1">
      <c r="E678" s="120"/>
      <c r="F678" s="120"/>
    </row>
    <row r="679" ht="16.5" customHeight="1">
      <c r="E679" s="120"/>
      <c r="F679" s="120"/>
    </row>
    <row r="680" ht="16.5" customHeight="1">
      <c r="E680" s="120"/>
      <c r="F680" s="120"/>
    </row>
    <row r="681" ht="16.5" customHeight="1">
      <c r="E681" s="120"/>
      <c r="F681" s="120"/>
    </row>
    <row r="682" ht="16.5" customHeight="1">
      <c r="E682" s="120"/>
      <c r="F682" s="120"/>
    </row>
    <row r="683" ht="16.5" customHeight="1">
      <c r="E683" s="120"/>
      <c r="F683" s="120"/>
    </row>
    <row r="684" ht="16.5" customHeight="1">
      <c r="E684" s="120"/>
      <c r="F684" s="120"/>
    </row>
    <row r="685" ht="16.5" customHeight="1">
      <c r="E685" s="120"/>
      <c r="F685" s="120"/>
    </row>
    <row r="686" ht="16.5" customHeight="1">
      <c r="E686" s="120"/>
      <c r="F686" s="120"/>
    </row>
    <row r="687" ht="16.5" customHeight="1">
      <c r="E687" s="120"/>
      <c r="F687" s="120"/>
    </row>
    <row r="688" ht="16.5" customHeight="1">
      <c r="E688" s="120"/>
      <c r="F688" s="120"/>
    </row>
    <row r="689" ht="16.5" customHeight="1">
      <c r="E689" s="120"/>
      <c r="F689" s="120"/>
    </row>
    <row r="690" ht="16.5" customHeight="1">
      <c r="E690" s="120"/>
      <c r="F690" s="120"/>
    </row>
    <row r="691" ht="16.5" customHeight="1">
      <c r="E691" s="120"/>
      <c r="F691" s="120"/>
    </row>
    <row r="692" ht="16.5" customHeight="1">
      <c r="E692" s="120"/>
      <c r="F692" s="120"/>
    </row>
    <row r="693" ht="16.5" customHeight="1">
      <c r="E693" s="120"/>
      <c r="F693" s="120"/>
    </row>
    <row r="694" ht="16.5" customHeight="1">
      <c r="E694" s="120"/>
      <c r="F694" s="120"/>
    </row>
    <row r="695" ht="16.5" customHeight="1">
      <c r="E695" s="120"/>
      <c r="F695" s="120"/>
    </row>
    <row r="696" ht="16.5" customHeight="1">
      <c r="E696" s="120"/>
      <c r="F696" s="120"/>
    </row>
    <row r="697" ht="16.5" customHeight="1">
      <c r="E697" s="120"/>
      <c r="F697" s="120"/>
    </row>
    <row r="698" ht="16.5" customHeight="1">
      <c r="E698" s="120"/>
      <c r="F698" s="120"/>
    </row>
    <row r="699" ht="16.5" customHeight="1">
      <c r="E699" s="120"/>
      <c r="F699" s="120"/>
    </row>
    <row r="700" ht="16.5" customHeight="1">
      <c r="E700" s="120"/>
      <c r="F700" s="120"/>
    </row>
    <row r="701" ht="16.5" customHeight="1">
      <c r="E701" s="120"/>
      <c r="F701" s="120"/>
    </row>
    <row r="702" ht="16.5" customHeight="1">
      <c r="E702" s="120"/>
      <c r="F702" s="120"/>
    </row>
    <row r="703" ht="16.5" customHeight="1">
      <c r="E703" s="120"/>
      <c r="F703" s="120"/>
    </row>
    <row r="704" ht="16.5" customHeight="1">
      <c r="E704" s="120"/>
      <c r="F704" s="120"/>
    </row>
    <row r="705" ht="16.5" customHeight="1">
      <c r="E705" s="120"/>
      <c r="F705" s="120"/>
    </row>
    <row r="706" ht="16.5" customHeight="1">
      <c r="E706" s="120"/>
      <c r="F706" s="120"/>
    </row>
    <row r="707" ht="16.5" customHeight="1">
      <c r="E707" s="120"/>
      <c r="F707" s="120"/>
    </row>
    <row r="708" ht="16.5" customHeight="1">
      <c r="E708" s="120"/>
      <c r="F708" s="120"/>
    </row>
    <row r="709" ht="16.5" customHeight="1">
      <c r="E709" s="120"/>
      <c r="F709" s="120"/>
    </row>
    <row r="710" ht="16.5" customHeight="1">
      <c r="E710" s="120"/>
      <c r="F710" s="120"/>
    </row>
    <row r="711" ht="16.5" customHeight="1">
      <c r="E711" s="120"/>
      <c r="F711" s="120"/>
    </row>
    <row r="712" ht="16.5" customHeight="1">
      <c r="E712" s="120"/>
      <c r="F712" s="120"/>
    </row>
    <row r="713" ht="16.5" customHeight="1">
      <c r="E713" s="120"/>
      <c r="F713" s="120"/>
    </row>
    <row r="714" ht="16.5" customHeight="1">
      <c r="E714" s="120"/>
      <c r="F714" s="120"/>
    </row>
    <row r="715" ht="16.5" customHeight="1">
      <c r="E715" s="120"/>
      <c r="F715" s="120"/>
    </row>
    <row r="716" ht="16.5" customHeight="1">
      <c r="E716" s="120"/>
      <c r="F716" s="120"/>
    </row>
    <row r="717" ht="16.5" customHeight="1">
      <c r="E717" s="120"/>
      <c r="F717" s="120"/>
    </row>
    <row r="718" ht="16.5" customHeight="1">
      <c r="E718" s="120"/>
      <c r="F718" s="120"/>
    </row>
    <row r="719" ht="16.5" customHeight="1">
      <c r="E719" s="120"/>
      <c r="F719" s="120"/>
    </row>
    <row r="720" ht="16.5" customHeight="1">
      <c r="E720" s="120"/>
      <c r="F720" s="120"/>
    </row>
    <row r="721" ht="16.5" customHeight="1">
      <c r="E721" s="120"/>
      <c r="F721" s="120"/>
    </row>
    <row r="722" ht="16.5" customHeight="1">
      <c r="E722" s="120"/>
      <c r="F722" s="120"/>
    </row>
    <row r="723" ht="16.5" customHeight="1">
      <c r="E723" s="120"/>
      <c r="F723" s="120"/>
    </row>
    <row r="724" ht="16.5" customHeight="1">
      <c r="E724" s="120"/>
      <c r="F724" s="120"/>
    </row>
    <row r="725" ht="16.5" customHeight="1">
      <c r="E725" s="120"/>
      <c r="F725" s="120"/>
    </row>
    <row r="726" ht="16.5" customHeight="1">
      <c r="E726" s="120"/>
      <c r="F726" s="120"/>
    </row>
    <row r="727" ht="16.5" customHeight="1">
      <c r="E727" s="120"/>
      <c r="F727" s="120"/>
    </row>
    <row r="728" ht="16.5" customHeight="1">
      <c r="E728" s="120"/>
      <c r="F728" s="120"/>
    </row>
    <row r="729" ht="16.5" customHeight="1">
      <c r="E729" s="120"/>
      <c r="F729" s="120"/>
    </row>
    <row r="730" ht="16.5" customHeight="1">
      <c r="E730" s="120"/>
      <c r="F730" s="120"/>
    </row>
    <row r="731" ht="16.5" customHeight="1">
      <c r="E731" s="120"/>
      <c r="F731" s="120"/>
    </row>
    <row r="732" ht="16.5" customHeight="1">
      <c r="E732" s="120"/>
      <c r="F732" s="120"/>
    </row>
    <row r="733" ht="16.5" customHeight="1">
      <c r="E733" s="120"/>
      <c r="F733" s="120"/>
    </row>
    <row r="734" ht="16.5" customHeight="1">
      <c r="E734" s="120"/>
      <c r="F734" s="120"/>
    </row>
    <row r="735" ht="16.5" customHeight="1">
      <c r="E735" s="120"/>
      <c r="F735" s="120"/>
    </row>
    <row r="736" ht="16.5" customHeight="1">
      <c r="E736" s="120"/>
      <c r="F736" s="120"/>
    </row>
    <row r="737" ht="16.5" customHeight="1">
      <c r="E737" s="120"/>
      <c r="F737" s="120"/>
    </row>
    <row r="738" ht="16.5" customHeight="1">
      <c r="E738" s="120"/>
      <c r="F738" s="120"/>
    </row>
    <row r="739" ht="16.5" customHeight="1">
      <c r="E739" s="120"/>
      <c r="F739" s="120"/>
    </row>
    <row r="740" ht="16.5" customHeight="1">
      <c r="E740" s="120"/>
      <c r="F740" s="120"/>
    </row>
    <row r="741" ht="16.5" customHeight="1">
      <c r="E741" s="120"/>
      <c r="F741" s="120"/>
    </row>
    <row r="742" ht="16.5" customHeight="1">
      <c r="E742" s="120"/>
      <c r="F742" s="120"/>
    </row>
    <row r="743" ht="16.5" customHeight="1">
      <c r="E743" s="120"/>
      <c r="F743" s="120"/>
    </row>
    <row r="744" ht="16.5" customHeight="1">
      <c r="E744" s="120"/>
      <c r="F744" s="120"/>
    </row>
    <row r="745" ht="16.5" customHeight="1">
      <c r="E745" s="120"/>
      <c r="F745" s="120"/>
    </row>
    <row r="746" ht="16.5" customHeight="1">
      <c r="E746" s="120"/>
      <c r="F746" s="120"/>
    </row>
    <row r="747" ht="16.5" customHeight="1">
      <c r="E747" s="120"/>
      <c r="F747" s="120"/>
    </row>
    <row r="748" ht="16.5" customHeight="1">
      <c r="E748" s="120"/>
      <c r="F748" s="120"/>
    </row>
    <row r="749" ht="16.5" customHeight="1">
      <c r="E749" s="120"/>
      <c r="F749" s="120"/>
    </row>
    <row r="750" ht="16.5" customHeight="1">
      <c r="E750" s="120"/>
      <c r="F750" s="120"/>
    </row>
    <row r="751" ht="16.5" customHeight="1">
      <c r="E751" s="120"/>
      <c r="F751" s="120"/>
    </row>
    <row r="752" ht="16.5" customHeight="1">
      <c r="E752" s="120"/>
      <c r="F752" s="120"/>
    </row>
    <row r="753" ht="16.5" customHeight="1">
      <c r="E753" s="120"/>
      <c r="F753" s="120"/>
    </row>
    <row r="754" ht="16.5" customHeight="1">
      <c r="E754" s="120"/>
      <c r="F754" s="120"/>
    </row>
    <row r="755" ht="16.5" customHeight="1">
      <c r="E755" s="120"/>
      <c r="F755" s="120"/>
    </row>
    <row r="756" ht="16.5" customHeight="1">
      <c r="E756" s="120"/>
      <c r="F756" s="120"/>
    </row>
    <row r="757" ht="16.5" customHeight="1">
      <c r="E757" s="120"/>
      <c r="F757" s="120"/>
    </row>
    <row r="758" ht="16.5" customHeight="1">
      <c r="E758" s="120"/>
      <c r="F758" s="120"/>
    </row>
    <row r="759" ht="16.5" customHeight="1">
      <c r="E759" s="120"/>
      <c r="F759" s="120"/>
    </row>
    <row r="760" ht="16.5" customHeight="1">
      <c r="E760" s="120"/>
      <c r="F760" s="120"/>
    </row>
    <row r="761" ht="16.5" customHeight="1">
      <c r="E761" s="120"/>
      <c r="F761" s="120"/>
    </row>
    <row r="762" ht="16.5" customHeight="1">
      <c r="E762" s="120"/>
      <c r="F762" s="120"/>
    </row>
    <row r="763" ht="16.5" customHeight="1">
      <c r="E763" s="120"/>
      <c r="F763" s="120"/>
    </row>
    <row r="764" ht="16.5" customHeight="1">
      <c r="E764" s="120"/>
      <c r="F764" s="120"/>
    </row>
    <row r="765" ht="16.5" customHeight="1">
      <c r="E765" s="120"/>
      <c r="F765" s="120"/>
    </row>
    <row r="766" ht="16.5" customHeight="1">
      <c r="E766" s="120"/>
      <c r="F766" s="120"/>
    </row>
    <row r="767" ht="16.5" customHeight="1">
      <c r="E767" s="120"/>
      <c r="F767" s="120"/>
    </row>
    <row r="768" ht="16.5" customHeight="1">
      <c r="E768" s="120"/>
      <c r="F768" s="120"/>
    </row>
    <row r="769" ht="16.5" customHeight="1">
      <c r="E769" s="120"/>
      <c r="F769" s="120"/>
    </row>
    <row r="770" ht="16.5" customHeight="1">
      <c r="E770" s="120"/>
      <c r="F770" s="120"/>
    </row>
    <row r="771" ht="16.5" customHeight="1">
      <c r="E771" s="120"/>
      <c r="F771" s="120"/>
    </row>
    <row r="772" ht="16.5" customHeight="1">
      <c r="E772" s="120"/>
      <c r="F772" s="120"/>
    </row>
    <row r="773" ht="16.5" customHeight="1">
      <c r="E773" s="120"/>
      <c r="F773" s="120"/>
    </row>
    <row r="774" ht="16.5" customHeight="1">
      <c r="E774" s="120"/>
      <c r="F774" s="120"/>
    </row>
    <row r="775" ht="16.5" customHeight="1">
      <c r="E775" s="120"/>
      <c r="F775" s="120"/>
    </row>
    <row r="776" ht="16.5" customHeight="1">
      <c r="E776" s="120"/>
      <c r="F776" s="120"/>
    </row>
    <row r="777" ht="16.5" customHeight="1">
      <c r="E777" s="120"/>
      <c r="F777" s="120"/>
    </row>
    <row r="778" ht="16.5" customHeight="1">
      <c r="E778" s="120"/>
      <c r="F778" s="120"/>
    </row>
    <row r="779" ht="16.5" customHeight="1">
      <c r="E779" s="120"/>
      <c r="F779" s="120"/>
    </row>
    <row r="780" ht="16.5" customHeight="1">
      <c r="E780" s="120"/>
      <c r="F780" s="120"/>
    </row>
    <row r="781" ht="16.5" customHeight="1">
      <c r="E781" s="120"/>
      <c r="F781" s="120"/>
    </row>
    <row r="782" ht="16.5" customHeight="1">
      <c r="E782" s="120"/>
      <c r="F782" s="120"/>
    </row>
    <row r="783" ht="16.5" customHeight="1">
      <c r="E783" s="120"/>
      <c r="F783" s="120"/>
    </row>
    <row r="784" ht="16.5" customHeight="1">
      <c r="E784" s="120"/>
      <c r="F784" s="120"/>
    </row>
    <row r="785" ht="16.5" customHeight="1">
      <c r="E785" s="120"/>
      <c r="F785" s="120"/>
    </row>
    <row r="786" ht="16.5" customHeight="1">
      <c r="E786" s="120"/>
      <c r="F786" s="120"/>
    </row>
    <row r="787" ht="16.5" customHeight="1">
      <c r="E787" s="120"/>
      <c r="F787" s="120"/>
    </row>
    <row r="788" ht="16.5" customHeight="1">
      <c r="E788" s="120"/>
      <c r="F788" s="120"/>
    </row>
    <row r="789" ht="16.5" customHeight="1">
      <c r="E789" s="120"/>
      <c r="F789" s="120"/>
    </row>
    <row r="790" ht="16.5" customHeight="1">
      <c r="E790" s="120"/>
      <c r="F790" s="120"/>
    </row>
    <row r="791" ht="16.5" customHeight="1">
      <c r="E791" s="120"/>
      <c r="F791" s="120"/>
    </row>
    <row r="792" ht="16.5" customHeight="1">
      <c r="E792" s="120"/>
      <c r="F792" s="120"/>
    </row>
    <row r="793" ht="16.5" customHeight="1">
      <c r="E793" s="120"/>
      <c r="F793" s="120"/>
    </row>
    <row r="794" ht="16.5" customHeight="1">
      <c r="E794" s="120"/>
      <c r="F794" s="120"/>
    </row>
    <row r="795" ht="16.5" customHeight="1">
      <c r="E795" s="120"/>
      <c r="F795" s="120"/>
    </row>
    <row r="796" ht="16.5" customHeight="1">
      <c r="E796" s="120"/>
      <c r="F796" s="120"/>
    </row>
    <row r="797" ht="16.5" customHeight="1">
      <c r="E797" s="120"/>
      <c r="F797" s="120"/>
    </row>
    <row r="798" ht="16.5" customHeight="1">
      <c r="E798" s="120"/>
      <c r="F798" s="120"/>
    </row>
    <row r="799" ht="16.5" customHeight="1">
      <c r="E799" s="120"/>
      <c r="F799" s="120"/>
    </row>
    <row r="800" ht="16.5" customHeight="1">
      <c r="E800" s="120"/>
      <c r="F800" s="120"/>
    </row>
    <row r="801" ht="16.5" customHeight="1">
      <c r="E801" s="120"/>
      <c r="F801" s="120"/>
    </row>
    <row r="802" ht="16.5" customHeight="1">
      <c r="E802" s="120"/>
      <c r="F802" s="120"/>
    </row>
    <row r="803" ht="16.5" customHeight="1">
      <c r="E803" s="120"/>
      <c r="F803" s="120"/>
    </row>
    <row r="804" ht="16.5" customHeight="1">
      <c r="E804" s="120"/>
      <c r="F804" s="120"/>
    </row>
    <row r="805" ht="16.5" customHeight="1">
      <c r="E805" s="120"/>
      <c r="F805" s="120"/>
    </row>
    <row r="806" ht="16.5" customHeight="1">
      <c r="E806" s="120"/>
      <c r="F806" s="120"/>
    </row>
    <row r="807" ht="16.5" customHeight="1">
      <c r="E807" s="120"/>
      <c r="F807" s="120"/>
    </row>
    <row r="808" ht="16.5" customHeight="1">
      <c r="E808" s="120"/>
      <c r="F808" s="120"/>
    </row>
    <row r="809" ht="16.5" customHeight="1">
      <c r="E809" s="120"/>
      <c r="F809" s="120"/>
    </row>
    <row r="810" ht="16.5" customHeight="1">
      <c r="E810" s="120"/>
      <c r="F810" s="120"/>
    </row>
    <row r="811" ht="16.5" customHeight="1">
      <c r="E811" s="120"/>
      <c r="F811" s="120"/>
    </row>
    <row r="812" ht="16.5" customHeight="1">
      <c r="E812" s="120"/>
      <c r="F812" s="120"/>
    </row>
    <row r="813" ht="16.5" customHeight="1">
      <c r="E813" s="120"/>
      <c r="F813" s="120"/>
    </row>
    <row r="814" ht="16.5" customHeight="1">
      <c r="E814" s="120"/>
      <c r="F814" s="120"/>
    </row>
    <row r="815" ht="16.5" customHeight="1">
      <c r="E815" s="120"/>
      <c r="F815" s="120"/>
    </row>
    <row r="816" ht="16.5" customHeight="1">
      <c r="E816" s="120"/>
      <c r="F816" s="120"/>
    </row>
    <row r="817" ht="16.5" customHeight="1">
      <c r="E817" s="120"/>
      <c r="F817" s="120"/>
    </row>
    <row r="818" ht="16.5" customHeight="1">
      <c r="E818" s="120"/>
      <c r="F818" s="120"/>
    </row>
    <row r="819" ht="16.5" customHeight="1">
      <c r="E819" s="120"/>
      <c r="F819" s="120"/>
    </row>
    <row r="820" ht="16.5" customHeight="1">
      <c r="E820" s="120"/>
      <c r="F820" s="120"/>
    </row>
    <row r="821" ht="16.5" customHeight="1">
      <c r="E821" s="120"/>
      <c r="F821" s="120"/>
    </row>
    <row r="822" ht="16.5" customHeight="1">
      <c r="E822" s="120"/>
      <c r="F822" s="120"/>
    </row>
    <row r="823" ht="16.5" customHeight="1">
      <c r="E823" s="120"/>
      <c r="F823" s="120"/>
    </row>
    <row r="824" ht="16.5" customHeight="1">
      <c r="E824" s="120"/>
      <c r="F824" s="120"/>
    </row>
    <row r="825" ht="16.5" customHeight="1">
      <c r="E825" s="120"/>
      <c r="F825" s="120"/>
    </row>
    <row r="826" ht="16.5" customHeight="1">
      <c r="E826" s="120"/>
      <c r="F826" s="120"/>
    </row>
    <row r="827" ht="16.5" customHeight="1">
      <c r="E827" s="120"/>
      <c r="F827" s="120"/>
    </row>
    <row r="828" ht="16.5" customHeight="1">
      <c r="E828" s="120"/>
      <c r="F828" s="120"/>
    </row>
    <row r="829" ht="16.5" customHeight="1">
      <c r="E829" s="120"/>
      <c r="F829" s="120"/>
    </row>
    <row r="830" ht="16.5" customHeight="1">
      <c r="E830" s="120"/>
      <c r="F830" s="120"/>
    </row>
    <row r="831" ht="16.5" customHeight="1">
      <c r="E831" s="120"/>
      <c r="F831" s="120"/>
    </row>
    <row r="832" ht="16.5" customHeight="1">
      <c r="E832" s="120"/>
      <c r="F832" s="120"/>
    </row>
    <row r="833" ht="16.5" customHeight="1">
      <c r="E833" s="120"/>
      <c r="F833" s="120"/>
    </row>
    <row r="834" ht="16.5" customHeight="1">
      <c r="E834" s="120"/>
      <c r="F834" s="120"/>
    </row>
    <row r="835" ht="16.5" customHeight="1">
      <c r="E835" s="120"/>
      <c r="F835" s="120"/>
    </row>
    <row r="836" ht="16.5" customHeight="1">
      <c r="E836" s="120"/>
      <c r="F836" s="120"/>
    </row>
    <row r="837" ht="16.5" customHeight="1">
      <c r="E837" s="120"/>
      <c r="F837" s="120"/>
    </row>
    <row r="838" ht="16.5" customHeight="1">
      <c r="E838" s="120"/>
      <c r="F838" s="120"/>
    </row>
    <row r="839" ht="16.5" customHeight="1">
      <c r="E839" s="120"/>
      <c r="F839" s="120"/>
    </row>
    <row r="840" ht="16.5" customHeight="1">
      <c r="E840" s="120"/>
      <c r="F840" s="120"/>
    </row>
    <row r="841" ht="16.5" customHeight="1">
      <c r="E841" s="120"/>
      <c r="F841" s="120"/>
    </row>
    <row r="842" ht="16.5" customHeight="1">
      <c r="E842" s="120"/>
      <c r="F842" s="120"/>
    </row>
    <row r="843" ht="16.5" customHeight="1">
      <c r="E843" s="120"/>
      <c r="F843" s="120"/>
    </row>
    <row r="844" ht="16.5" customHeight="1">
      <c r="E844" s="120"/>
      <c r="F844" s="120"/>
    </row>
    <row r="845" ht="16.5" customHeight="1">
      <c r="E845" s="120"/>
      <c r="F845" s="120"/>
    </row>
    <row r="846" ht="16.5" customHeight="1">
      <c r="E846" s="120"/>
      <c r="F846" s="120"/>
    </row>
    <row r="847" ht="16.5" customHeight="1">
      <c r="E847" s="120"/>
      <c r="F847" s="120"/>
    </row>
    <row r="848" ht="16.5" customHeight="1">
      <c r="E848" s="120"/>
      <c r="F848" s="120"/>
    </row>
    <row r="849" ht="16.5" customHeight="1">
      <c r="E849" s="120"/>
      <c r="F849" s="120"/>
    </row>
    <row r="850" ht="16.5" customHeight="1">
      <c r="E850" s="120"/>
      <c r="F850" s="120"/>
    </row>
    <row r="851" ht="16.5" customHeight="1">
      <c r="E851" s="120"/>
      <c r="F851" s="120"/>
    </row>
    <row r="852" ht="16.5" customHeight="1">
      <c r="E852" s="120"/>
      <c r="F852" s="120"/>
    </row>
    <row r="853" ht="16.5" customHeight="1">
      <c r="E853" s="120"/>
      <c r="F853" s="120"/>
    </row>
    <row r="854" ht="16.5" customHeight="1">
      <c r="E854" s="120"/>
      <c r="F854" s="120"/>
    </row>
    <row r="855" ht="16.5" customHeight="1">
      <c r="E855" s="120"/>
      <c r="F855" s="120"/>
    </row>
    <row r="856" ht="16.5" customHeight="1">
      <c r="E856" s="120"/>
      <c r="F856" s="120"/>
    </row>
    <row r="857" ht="16.5" customHeight="1">
      <c r="E857" s="120"/>
      <c r="F857" s="120"/>
    </row>
    <row r="858" ht="16.5" customHeight="1">
      <c r="E858" s="120"/>
      <c r="F858" s="120"/>
    </row>
    <row r="859" ht="16.5" customHeight="1">
      <c r="E859" s="120"/>
      <c r="F859" s="120"/>
    </row>
    <row r="860" ht="16.5" customHeight="1">
      <c r="E860" s="120"/>
      <c r="F860" s="120"/>
    </row>
    <row r="861" ht="16.5" customHeight="1">
      <c r="E861" s="120"/>
      <c r="F861" s="120"/>
    </row>
    <row r="862" ht="16.5" customHeight="1">
      <c r="E862" s="120"/>
      <c r="F862" s="120"/>
    </row>
    <row r="863" ht="16.5" customHeight="1">
      <c r="E863" s="120"/>
      <c r="F863" s="120"/>
    </row>
    <row r="864" ht="16.5" customHeight="1">
      <c r="E864" s="120"/>
      <c r="F864" s="120"/>
    </row>
    <row r="865" ht="16.5" customHeight="1">
      <c r="E865" s="120"/>
      <c r="F865" s="120"/>
    </row>
    <row r="866" ht="16.5" customHeight="1">
      <c r="E866" s="120"/>
      <c r="F866" s="120"/>
    </row>
    <row r="867" ht="16.5" customHeight="1">
      <c r="E867" s="120"/>
      <c r="F867" s="120"/>
    </row>
    <row r="868" ht="16.5" customHeight="1">
      <c r="E868" s="120"/>
      <c r="F868" s="120"/>
    </row>
    <row r="869" ht="16.5" customHeight="1">
      <c r="E869" s="120"/>
      <c r="F869" s="120"/>
    </row>
    <row r="870" ht="16.5" customHeight="1">
      <c r="E870" s="120"/>
      <c r="F870" s="120"/>
    </row>
    <row r="871" ht="16.5" customHeight="1">
      <c r="E871" s="120"/>
      <c r="F871" s="120"/>
    </row>
    <row r="872" ht="16.5" customHeight="1">
      <c r="E872" s="120"/>
      <c r="F872" s="120"/>
    </row>
    <row r="873" ht="16.5" customHeight="1">
      <c r="E873" s="120"/>
      <c r="F873" s="120"/>
    </row>
    <row r="874" ht="16.5" customHeight="1">
      <c r="E874" s="120"/>
      <c r="F874" s="120"/>
    </row>
    <row r="875" ht="16.5" customHeight="1">
      <c r="E875" s="120"/>
      <c r="F875" s="120"/>
    </row>
    <row r="876" ht="16.5" customHeight="1">
      <c r="E876" s="120"/>
      <c r="F876" s="120"/>
    </row>
    <row r="877" ht="16.5" customHeight="1">
      <c r="E877" s="120"/>
      <c r="F877" s="120"/>
    </row>
    <row r="878" ht="16.5" customHeight="1">
      <c r="E878" s="120"/>
      <c r="F878" s="120"/>
    </row>
    <row r="879" ht="16.5" customHeight="1">
      <c r="E879" s="120"/>
      <c r="F879" s="120"/>
    </row>
    <row r="880" ht="16.5" customHeight="1">
      <c r="E880" s="120"/>
      <c r="F880" s="120"/>
    </row>
    <row r="881" ht="16.5" customHeight="1">
      <c r="E881" s="120"/>
      <c r="F881" s="120"/>
    </row>
    <row r="882" ht="16.5" customHeight="1">
      <c r="E882" s="120"/>
      <c r="F882" s="120"/>
    </row>
    <row r="883" ht="16.5" customHeight="1">
      <c r="E883" s="120"/>
      <c r="F883" s="120"/>
    </row>
    <row r="884" ht="16.5" customHeight="1">
      <c r="E884" s="120"/>
      <c r="F884" s="120"/>
    </row>
    <row r="885" ht="16.5" customHeight="1">
      <c r="E885" s="120"/>
      <c r="F885" s="120"/>
    </row>
    <row r="886" ht="16.5" customHeight="1">
      <c r="E886" s="120"/>
      <c r="F886" s="120"/>
    </row>
    <row r="887" ht="16.5" customHeight="1">
      <c r="E887" s="120"/>
      <c r="F887" s="120"/>
    </row>
    <row r="888" ht="16.5" customHeight="1">
      <c r="E888" s="120"/>
      <c r="F888" s="120"/>
    </row>
    <row r="889" ht="16.5" customHeight="1">
      <c r="E889" s="120"/>
      <c r="F889" s="120"/>
    </row>
    <row r="890" ht="16.5" customHeight="1">
      <c r="E890" s="120"/>
      <c r="F890" s="120"/>
    </row>
    <row r="891" ht="16.5" customHeight="1">
      <c r="E891" s="120"/>
      <c r="F891" s="120"/>
    </row>
    <row r="892" ht="16.5" customHeight="1">
      <c r="E892" s="120"/>
      <c r="F892" s="120"/>
    </row>
    <row r="893" ht="16.5" customHeight="1">
      <c r="E893" s="120"/>
      <c r="F893" s="120"/>
    </row>
    <row r="894" ht="16.5" customHeight="1">
      <c r="E894" s="120"/>
      <c r="F894" s="120"/>
    </row>
    <row r="895" ht="16.5" customHeight="1">
      <c r="E895" s="120"/>
      <c r="F895" s="120"/>
    </row>
    <row r="896" ht="16.5" customHeight="1">
      <c r="E896" s="120"/>
      <c r="F896" s="120"/>
    </row>
    <row r="897" ht="16.5" customHeight="1">
      <c r="E897" s="120"/>
      <c r="F897" s="120"/>
    </row>
    <row r="898" ht="16.5" customHeight="1">
      <c r="E898" s="120"/>
      <c r="F898" s="120"/>
    </row>
    <row r="899" ht="16.5" customHeight="1">
      <c r="E899" s="120"/>
      <c r="F899" s="120"/>
    </row>
    <row r="900" ht="16.5" customHeight="1">
      <c r="E900" s="120"/>
      <c r="F900" s="120"/>
    </row>
    <row r="901" ht="16.5" customHeight="1">
      <c r="E901" s="120"/>
      <c r="F901" s="120"/>
    </row>
    <row r="902" ht="16.5" customHeight="1">
      <c r="E902" s="120"/>
      <c r="F902" s="120"/>
    </row>
    <row r="903" ht="16.5" customHeight="1">
      <c r="E903" s="120"/>
      <c r="F903" s="120"/>
    </row>
    <row r="904" ht="16.5" customHeight="1">
      <c r="E904" s="120"/>
      <c r="F904" s="120"/>
    </row>
    <row r="905" ht="16.5" customHeight="1">
      <c r="E905" s="120"/>
      <c r="F905" s="120"/>
    </row>
    <row r="906" ht="16.5" customHeight="1">
      <c r="E906" s="120"/>
      <c r="F906" s="120"/>
    </row>
    <row r="907" ht="16.5" customHeight="1">
      <c r="E907" s="120"/>
      <c r="F907" s="120"/>
    </row>
    <row r="908" ht="16.5" customHeight="1">
      <c r="E908" s="120"/>
      <c r="F908" s="120"/>
    </row>
    <row r="909" ht="16.5" customHeight="1">
      <c r="E909" s="120"/>
      <c r="F909" s="120"/>
    </row>
    <row r="910" ht="16.5" customHeight="1">
      <c r="E910" s="120"/>
      <c r="F910" s="120"/>
    </row>
    <row r="911" ht="16.5" customHeight="1">
      <c r="E911" s="120"/>
      <c r="F911" s="120"/>
    </row>
    <row r="912" ht="16.5" customHeight="1">
      <c r="E912" s="120"/>
      <c r="F912" s="120"/>
    </row>
    <row r="913" ht="16.5" customHeight="1">
      <c r="E913" s="120"/>
      <c r="F913" s="120"/>
    </row>
    <row r="914" ht="16.5" customHeight="1">
      <c r="E914" s="120"/>
      <c r="F914" s="120"/>
    </row>
    <row r="915" ht="16.5" customHeight="1">
      <c r="E915" s="120"/>
      <c r="F915" s="120"/>
    </row>
    <row r="916" ht="16.5" customHeight="1">
      <c r="E916" s="120"/>
      <c r="F916" s="120"/>
    </row>
    <row r="917" ht="16.5" customHeight="1">
      <c r="E917" s="120"/>
      <c r="F917" s="120"/>
    </row>
    <row r="918" ht="16.5" customHeight="1">
      <c r="E918" s="120"/>
      <c r="F918" s="120"/>
    </row>
    <row r="919" ht="16.5" customHeight="1">
      <c r="E919" s="120"/>
      <c r="F919" s="120"/>
    </row>
    <row r="920" ht="16.5" customHeight="1">
      <c r="E920" s="120"/>
      <c r="F920" s="120"/>
    </row>
    <row r="921" ht="16.5" customHeight="1">
      <c r="E921" s="120"/>
      <c r="F921" s="120"/>
    </row>
    <row r="922" ht="16.5" customHeight="1">
      <c r="E922" s="120"/>
      <c r="F922" s="120"/>
    </row>
    <row r="923" ht="16.5" customHeight="1">
      <c r="E923" s="120"/>
      <c r="F923" s="120"/>
    </row>
    <row r="924" ht="16.5" customHeight="1">
      <c r="E924" s="120"/>
      <c r="F924" s="120"/>
    </row>
    <row r="925" ht="16.5" customHeight="1">
      <c r="E925" s="120"/>
      <c r="F925" s="120"/>
    </row>
    <row r="926" ht="16.5" customHeight="1">
      <c r="E926" s="120"/>
      <c r="F926" s="120"/>
    </row>
    <row r="927" ht="16.5" customHeight="1">
      <c r="E927" s="120"/>
      <c r="F927" s="120"/>
    </row>
    <row r="928" ht="16.5" customHeight="1">
      <c r="E928" s="120"/>
      <c r="F928" s="120"/>
    </row>
    <row r="929" ht="16.5" customHeight="1">
      <c r="E929" s="120"/>
      <c r="F929" s="120"/>
    </row>
    <row r="930" ht="16.5" customHeight="1">
      <c r="E930" s="120"/>
      <c r="F930" s="120"/>
    </row>
    <row r="931" ht="16.5" customHeight="1">
      <c r="E931" s="120"/>
      <c r="F931" s="120"/>
    </row>
    <row r="932" ht="16.5" customHeight="1">
      <c r="E932" s="120"/>
      <c r="F932" s="120"/>
    </row>
    <row r="933" ht="16.5" customHeight="1">
      <c r="E933" s="120"/>
      <c r="F933" s="120"/>
    </row>
    <row r="934" ht="16.5" customHeight="1">
      <c r="E934" s="120"/>
      <c r="F934" s="120"/>
    </row>
    <row r="935" ht="16.5" customHeight="1">
      <c r="E935" s="120"/>
      <c r="F935" s="120"/>
    </row>
    <row r="936" ht="16.5" customHeight="1">
      <c r="E936" s="120"/>
      <c r="F936" s="120"/>
    </row>
    <row r="937" ht="16.5" customHeight="1">
      <c r="E937" s="120"/>
      <c r="F937" s="120"/>
    </row>
    <row r="938" ht="16.5" customHeight="1">
      <c r="E938" s="120"/>
      <c r="F938" s="120"/>
    </row>
    <row r="939" ht="16.5" customHeight="1">
      <c r="E939" s="120"/>
      <c r="F939" s="120"/>
    </row>
    <row r="940" ht="16.5" customHeight="1">
      <c r="E940" s="120"/>
      <c r="F940" s="120"/>
    </row>
    <row r="941" ht="16.5" customHeight="1">
      <c r="E941" s="120"/>
      <c r="F941" s="120"/>
    </row>
    <row r="942" ht="16.5" customHeight="1">
      <c r="E942" s="120"/>
      <c r="F942" s="120"/>
    </row>
    <row r="943" ht="16.5" customHeight="1">
      <c r="E943" s="120"/>
      <c r="F943" s="120"/>
    </row>
    <row r="944" ht="16.5" customHeight="1">
      <c r="E944" s="120"/>
      <c r="F944" s="120"/>
    </row>
    <row r="945" ht="16.5" customHeight="1">
      <c r="E945" s="120"/>
      <c r="F945" s="120"/>
    </row>
    <row r="946" ht="16.5" customHeight="1">
      <c r="E946" s="120"/>
      <c r="F946" s="120"/>
    </row>
    <row r="947" ht="16.5" customHeight="1">
      <c r="E947" s="120"/>
      <c r="F947" s="120"/>
    </row>
    <row r="948" ht="16.5" customHeight="1">
      <c r="E948" s="120"/>
      <c r="F948" s="120"/>
    </row>
    <row r="949" ht="16.5" customHeight="1">
      <c r="E949" s="120"/>
      <c r="F949" s="120"/>
    </row>
    <row r="950" ht="16.5" customHeight="1">
      <c r="E950" s="120"/>
      <c r="F950" s="120"/>
    </row>
    <row r="951" ht="16.5" customHeight="1">
      <c r="E951" s="120"/>
      <c r="F951" s="120"/>
    </row>
    <row r="952" ht="16.5" customHeight="1">
      <c r="E952" s="120"/>
      <c r="F952" s="120"/>
    </row>
    <row r="953" ht="16.5" customHeight="1">
      <c r="E953" s="120"/>
      <c r="F953" s="120"/>
    </row>
    <row r="954" ht="16.5" customHeight="1">
      <c r="E954" s="120"/>
      <c r="F954" s="120"/>
    </row>
    <row r="955" ht="16.5" customHeight="1">
      <c r="E955" s="120"/>
      <c r="F955" s="120"/>
    </row>
    <row r="956" ht="16.5" customHeight="1">
      <c r="E956" s="120"/>
      <c r="F956" s="120"/>
    </row>
    <row r="957" ht="16.5" customHeight="1">
      <c r="E957" s="120"/>
      <c r="F957" s="120"/>
    </row>
    <row r="958" ht="16.5" customHeight="1">
      <c r="E958" s="120"/>
      <c r="F958" s="120"/>
    </row>
    <row r="959" ht="16.5" customHeight="1">
      <c r="E959" s="120"/>
      <c r="F959" s="120"/>
    </row>
    <row r="960" ht="16.5" customHeight="1">
      <c r="E960" s="120"/>
      <c r="F960" s="120"/>
    </row>
    <row r="961" ht="16.5" customHeight="1">
      <c r="E961" s="120"/>
      <c r="F961" s="120"/>
    </row>
    <row r="962" ht="16.5" customHeight="1">
      <c r="E962" s="120"/>
      <c r="F962" s="120"/>
    </row>
    <row r="963" ht="16.5" customHeight="1">
      <c r="E963" s="120"/>
      <c r="F963" s="120"/>
    </row>
    <row r="964" ht="16.5" customHeight="1">
      <c r="E964" s="120"/>
      <c r="F964" s="120"/>
    </row>
    <row r="965" ht="16.5" customHeight="1">
      <c r="E965" s="120"/>
      <c r="F965" s="120"/>
    </row>
    <row r="966" ht="16.5" customHeight="1">
      <c r="E966" s="120"/>
      <c r="F966" s="120"/>
    </row>
    <row r="967" ht="16.5" customHeight="1">
      <c r="E967" s="120"/>
      <c r="F967" s="120"/>
    </row>
    <row r="968" ht="16.5" customHeight="1">
      <c r="E968" s="120"/>
      <c r="F968" s="120"/>
    </row>
    <row r="969" ht="16.5" customHeight="1">
      <c r="E969" s="120"/>
      <c r="F969" s="120"/>
    </row>
    <row r="970" ht="16.5" customHeight="1">
      <c r="E970" s="120"/>
      <c r="F970" s="120"/>
    </row>
    <row r="971" ht="16.5" customHeight="1">
      <c r="E971" s="120"/>
      <c r="F971" s="120"/>
    </row>
    <row r="972" ht="16.5" customHeight="1">
      <c r="E972" s="120"/>
      <c r="F972" s="120"/>
    </row>
    <row r="973" ht="16.5" customHeight="1">
      <c r="E973" s="120"/>
      <c r="F973" s="120"/>
    </row>
    <row r="974" ht="16.5" customHeight="1">
      <c r="E974" s="120"/>
      <c r="F974" s="120"/>
    </row>
    <row r="975" ht="16.5" customHeight="1">
      <c r="E975" s="120"/>
      <c r="F975" s="120"/>
    </row>
    <row r="976" ht="16.5" customHeight="1">
      <c r="E976" s="120"/>
      <c r="F976" s="120"/>
    </row>
    <row r="977" ht="16.5" customHeight="1">
      <c r="E977" s="120"/>
      <c r="F977" s="120"/>
    </row>
    <row r="978" ht="16.5" customHeight="1">
      <c r="E978" s="120"/>
      <c r="F978" s="120"/>
    </row>
    <row r="979" ht="16.5" customHeight="1">
      <c r="E979" s="120"/>
      <c r="F979" s="120"/>
    </row>
    <row r="980" ht="16.5" customHeight="1">
      <c r="E980" s="120"/>
      <c r="F980" s="120"/>
    </row>
    <row r="981" ht="16.5" customHeight="1">
      <c r="E981" s="120"/>
      <c r="F981" s="120"/>
    </row>
    <row r="982" ht="16.5" customHeight="1">
      <c r="E982" s="120"/>
      <c r="F982" s="120"/>
    </row>
    <row r="983" ht="16.5" customHeight="1">
      <c r="E983" s="120"/>
      <c r="F983" s="120"/>
    </row>
    <row r="984" ht="16.5" customHeight="1">
      <c r="E984" s="120"/>
      <c r="F984" s="120"/>
    </row>
    <row r="985" ht="16.5" customHeight="1">
      <c r="E985" s="120"/>
      <c r="F985" s="120"/>
    </row>
    <row r="986" ht="16.5" customHeight="1">
      <c r="E986" s="120"/>
      <c r="F986" s="120"/>
    </row>
    <row r="987" ht="16.5" customHeight="1">
      <c r="E987" s="120"/>
      <c r="F987" s="120"/>
    </row>
    <row r="988" ht="16.5" customHeight="1">
      <c r="E988" s="120"/>
      <c r="F988" s="120"/>
    </row>
    <row r="989" ht="16.5" customHeight="1">
      <c r="E989" s="120"/>
      <c r="F989" s="120"/>
    </row>
    <row r="990" ht="16.5" customHeight="1">
      <c r="E990" s="120"/>
      <c r="F990" s="120"/>
    </row>
    <row r="991" ht="16.5" customHeight="1">
      <c r="E991" s="120"/>
      <c r="F991" s="120"/>
    </row>
    <row r="992" ht="16.5" customHeight="1">
      <c r="E992" s="120"/>
      <c r="F992" s="120"/>
    </row>
    <row r="993" ht="16.5" customHeight="1">
      <c r="E993" s="120"/>
      <c r="F993" s="120"/>
    </row>
    <row r="994" ht="16.5" customHeight="1">
      <c r="E994" s="120"/>
      <c r="F994" s="120"/>
    </row>
    <row r="995" ht="16.5" customHeight="1">
      <c r="E995" s="120"/>
      <c r="F995" s="120"/>
    </row>
    <row r="996" ht="16.5" customHeight="1">
      <c r="E996" s="120"/>
      <c r="F996" s="120"/>
    </row>
    <row r="997" ht="16.5" customHeight="1">
      <c r="E997" s="120"/>
      <c r="F997" s="120"/>
    </row>
    <row r="998" ht="16.5" customHeight="1">
      <c r="E998" s="120"/>
      <c r="F998" s="120"/>
    </row>
    <row r="999" ht="16.5" customHeight="1">
      <c r="E999" s="120"/>
      <c r="F999" s="120"/>
    </row>
    <row r="1000" ht="16.5" customHeight="1">
      <c r="E1000" s="120"/>
      <c r="F1000" s="12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2011-12-27T06:40:31Z</dcterms:created>
  <dc:creator>nrc</dc:creator>
</cp:coreProperties>
</file>